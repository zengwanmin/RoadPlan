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课件\研一\论文框架分析\邹振宇论文稿件-2023-10-28和图表\"/>
    </mc:Choice>
  </mc:AlternateContent>
  <xr:revisionPtr revIDLastSave="0" documentId="13_ncr:1_{6EB783BA-3244-4152-B669-C7B6D65E5C5A}" xr6:coauthVersionLast="47" xr6:coauthVersionMax="47" xr10:uidLastSave="{00000000-0000-0000-0000-000000000000}"/>
  <bookViews>
    <workbookView xWindow="-110" yWindow="-110" windowWidth="25820" windowHeight="13900" activeTab="5" xr2:uid="{00000000-000D-0000-FFFF-FFFF00000000}"/>
  </bookViews>
  <sheets>
    <sheet name="回归" sheetId="1" r:id="rId1"/>
    <sheet name="回归-油耗差" sheetId="2" r:id="rId2"/>
    <sheet name="Sheet2" sheetId="6" r:id="rId3"/>
    <sheet name="_xltb_storage_" sheetId="5" state="veryHidden" r:id="rId4"/>
    <sheet name="随机森林" sheetId="3" r:id="rId5"/>
    <sheet name="图10" sheetId="4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4" l="1"/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3" i="1"/>
  <c r="G3" i="4" l="1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F4" i="4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E3" i="4"/>
  <c r="J3" i="3"/>
  <c r="L147" i="3"/>
  <c r="K147" i="3"/>
  <c r="J147" i="3"/>
  <c r="I147" i="3"/>
  <c r="L146" i="3"/>
  <c r="K146" i="3"/>
  <c r="J146" i="3"/>
  <c r="I146" i="3"/>
  <c r="L145" i="3"/>
  <c r="K145" i="3"/>
  <c r="J145" i="3"/>
  <c r="I145" i="3"/>
  <c r="L144" i="3"/>
  <c r="K144" i="3"/>
  <c r="J144" i="3"/>
  <c r="I144" i="3"/>
  <c r="L143" i="3"/>
  <c r="K143" i="3"/>
  <c r="J143" i="3"/>
  <c r="I143" i="3"/>
  <c r="L142" i="3"/>
  <c r="K142" i="3"/>
  <c r="J142" i="3"/>
  <c r="I142" i="3"/>
  <c r="L141" i="3"/>
  <c r="K141" i="3"/>
  <c r="J141" i="3"/>
  <c r="I141" i="3"/>
  <c r="L140" i="3"/>
  <c r="K140" i="3"/>
  <c r="J140" i="3"/>
  <c r="I140" i="3"/>
  <c r="L139" i="3"/>
  <c r="K139" i="3"/>
  <c r="J139" i="3"/>
  <c r="I139" i="3"/>
  <c r="L138" i="3"/>
  <c r="K138" i="3"/>
  <c r="J138" i="3"/>
  <c r="I138" i="3"/>
  <c r="L137" i="3"/>
  <c r="K137" i="3"/>
  <c r="J137" i="3"/>
  <c r="I137" i="3"/>
  <c r="L136" i="3"/>
  <c r="K136" i="3"/>
  <c r="J136" i="3"/>
  <c r="I136" i="3"/>
  <c r="L135" i="3"/>
  <c r="K135" i="3"/>
  <c r="J135" i="3"/>
  <c r="I135" i="3"/>
  <c r="L134" i="3"/>
  <c r="K134" i="3"/>
  <c r="J134" i="3"/>
  <c r="I134" i="3"/>
  <c r="L133" i="3"/>
  <c r="K133" i="3"/>
  <c r="J133" i="3"/>
  <c r="I133" i="3"/>
  <c r="L132" i="3"/>
  <c r="K132" i="3"/>
  <c r="J132" i="3"/>
  <c r="I132" i="3"/>
  <c r="L131" i="3"/>
  <c r="K131" i="3"/>
  <c r="J131" i="3"/>
  <c r="I131" i="3"/>
  <c r="L130" i="3"/>
  <c r="K130" i="3"/>
  <c r="J130" i="3"/>
  <c r="I130" i="3"/>
  <c r="L129" i="3"/>
  <c r="K129" i="3"/>
  <c r="J129" i="3"/>
  <c r="I129" i="3"/>
  <c r="L128" i="3"/>
  <c r="K128" i="3"/>
  <c r="J128" i="3"/>
  <c r="I128" i="3"/>
  <c r="L127" i="3"/>
  <c r="K127" i="3"/>
  <c r="J127" i="3"/>
  <c r="I127" i="3"/>
  <c r="L126" i="3"/>
  <c r="K126" i="3"/>
  <c r="J126" i="3"/>
  <c r="I126" i="3"/>
  <c r="L125" i="3"/>
  <c r="K125" i="3"/>
  <c r="J125" i="3"/>
  <c r="I125" i="3"/>
  <c r="L124" i="3"/>
  <c r="K124" i="3"/>
  <c r="J124" i="3"/>
  <c r="I124" i="3"/>
  <c r="L123" i="3"/>
  <c r="K123" i="3"/>
  <c r="J123" i="3"/>
  <c r="I123" i="3"/>
  <c r="L122" i="3"/>
  <c r="K122" i="3"/>
  <c r="J122" i="3"/>
  <c r="I122" i="3"/>
  <c r="L121" i="3"/>
  <c r="K121" i="3"/>
  <c r="J121" i="3"/>
  <c r="I121" i="3"/>
  <c r="L120" i="3"/>
  <c r="K120" i="3"/>
  <c r="J120" i="3"/>
  <c r="I120" i="3"/>
  <c r="L119" i="3"/>
  <c r="K119" i="3"/>
  <c r="J119" i="3"/>
  <c r="I119" i="3"/>
  <c r="L118" i="3"/>
  <c r="K118" i="3"/>
  <c r="J118" i="3"/>
  <c r="I118" i="3"/>
  <c r="L117" i="3"/>
  <c r="K117" i="3"/>
  <c r="J117" i="3"/>
  <c r="I117" i="3"/>
  <c r="L116" i="3"/>
  <c r="K116" i="3"/>
  <c r="J116" i="3"/>
  <c r="I116" i="3"/>
  <c r="L115" i="3"/>
  <c r="K115" i="3"/>
  <c r="J115" i="3"/>
  <c r="I115" i="3"/>
  <c r="L114" i="3"/>
  <c r="K114" i="3"/>
  <c r="J114" i="3"/>
  <c r="I114" i="3"/>
  <c r="L113" i="3"/>
  <c r="K113" i="3"/>
  <c r="J113" i="3"/>
  <c r="I113" i="3"/>
  <c r="L112" i="3"/>
  <c r="K112" i="3"/>
  <c r="J112" i="3"/>
  <c r="I112" i="3"/>
  <c r="L111" i="3"/>
  <c r="K111" i="3"/>
  <c r="J111" i="3"/>
  <c r="I111" i="3"/>
  <c r="L110" i="3"/>
  <c r="K110" i="3"/>
  <c r="J110" i="3"/>
  <c r="I110" i="3"/>
  <c r="L109" i="3"/>
  <c r="K109" i="3"/>
  <c r="J109" i="3"/>
  <c r="I109" i="3"/>
  <c r="L108" i="3"/>
  <c r="K108" i="3"/>
  <c r="J108" i="3"/>
  <c r="I108" i="3"/>
  <c r="L107" i="3"/>
  <c r="K107" i="3"/>
  <c r="J107" i="3"/>
  <c r="I107" i="3"/>
  <c r="L106" i="3"/>
  <c r="K106" i="3"/>
  <c r="J106" i="3"/>
  <c r="I106" i="3"/>
  <c r="L105" i="3"/>
  <c r="K105" i="3"/>
  <c r="J105" i="3"/>
  <c r="I105" i="3"/>
  <c r="L104" i="3"/>
  <c r="K104" i="3"/>
  <c r="J104" i="3"/>
  <c r="I104" i="3"/>
  <c r="L103" i="3"/>
  <c r="K103" i="3"/>
  <c r="J103" i="3"/>
  <c r="I103" i="3"/>
  <c r="L102" i="3"/>
  <c r="K102" i="3"/>
  <c r="J102" i="3"/>
  <c r="I102" i="3"/>
  <c r="L101" i="3"/>
  <c r="K101" i="3"/>
  <c r="J101" i="3"/>
  <c r="I101" i="3"/>
  <c r="L100" i="3"/>
  <c r="K100" i="3"/>
  <c r="J100" i="3"/>
  <c r="I100" i="3"/>
  <c r="L99" i="3"/>
  <c r="K99" i="3"/>
  <c r="J99" i="3"/>
  <c r="I99" i="3"/>
  <c r="L98" i="3"/>
  <c r="K98" i="3"/>
  <c r="J98" i="3"/>
  <c r="I98" i="3"/>
  <c r="L97" i="3"/>
  <c r="K97" i="3"/>
  <c r="J97" i="3"/>
  <c r="I97" i="3"/>
  <c r="L96" i="3"/>
  <c r="K96" i="3"/>
  <c r="J96" i="3"/>
  <c r="I96" i="3"/>
  <c r="L95" i="3"/>
  <c r="K95" i="3"/>
  <c r="J95" i="3"/>
  <c r="I95" i="3"/>
  <c r="L94" i="3"/>
  <c r="K94" i="3"/>
  <c r="J94" i="3"/>
  <c r="I94" i="3"/>
  <c r="L93" i="3"/>
  <c r="K93" i="3"/>
  <c r="J93" i="3"/>
  <c r="I93" i="3"/>
  <c r="L92" i="3"/>
  <c r="K92" i="3"/>
  <c r="J92" i="3"/>
  <c r="I92" i="3"/>
  <c r="L91" i="3"/>
  <c r="K91" i="3"/>
  <c r="J91" i="3"/>
  <c r="I91" i="3"/>
  <c r="L90" i="3"/>
  <c r="K90" i="3"/>
  <c r="J90" i="3"/>
  <c r="I90" i="3"/>
  <c r="L89" i="3"/>
  <c r="K89" i="3"/>
  <c r="J89" i="3"/>
  <c r="I89" i="3"/>
  <c r="L88" i="3"/>
  <c r="K88" i="3"/>
  <c r="J88" i="3"/>
  <c r="I88" i="3"/>
  <c r="L87" i="3"/>
  <c r="K87" i="3"/>
  <c r="J87" i="3"/>
  <c r="I87" i="3"/>
  <c r="L86" i="3"/>
  <c r="K86" i="3"/>
  <c r="J86" i="3"/>
  <c r="I86" i="3"/>
  <c r="L85" i="3"/>
  <c r="K85" i="3"/>
  <c r="J85" i="3"/>
  <c r="I85" i="3"/>
  <c r="L84" i="3"/>
  <c r="K84" i="3"/>
  <c r="J84" i="3"/>
  <c r="I84" i="3"/>
  <c r="L83" i="3"/>
  <c r="K83" i="3"/>
  <c r="J83" i="3"/>
  <c r="I83" i="3"/>
  <c r="L82" i="3"/>
  <c r="K82" i="3"/>
  <c r="J82" i="3"/>
  <c r="I82" i="3"/>
  <c r="L81" i="3"/>
  <c r="K81" i="3"/>
  <c r="J81" i="3"/>
  <c r="I81" i="3"/>
  <c r="L80" i="3"/>
  <c r="K80" i="3"/>
  <c r="J80" i="3"/>
  <c r="I80" i="3"/>
  <c r="L79" i="3"/>
  <c r="K79" i="3"/>
  <c r="J79" i="3"/>
  <c r="I79" i="3"/>
  <c r="L78" i="3"/>
  <c r="K78" i="3"/>
  <c r="J78" i="3"/>
  <c r="I78" i="3"/>
  <c r="L77" i="3"/>
  <c r="K77" i="3"/>
  <c r="J77" i="3"/>
  <c r="I77" i="3"/>
  <c r="L76" i="3"/>
  <c r="K76" i="3"/>
  <c r="J76" i="3"/>
  <c r="I76" i="3"/>
  <c r="L75" i="3"/>
  <c r="K75" i="3"/>
  <c r="J75" i="3"/>
  <c r="I75" i="3"/>
  <c r="L74" i="3"/>
  <c r="K74" i="3"/>
  <c r="J74" i="3"/>
  <c r="I74" i="3"/>
  <c r="L73" i="3"/>
  <c r="K73" i="3"/>
  <c r="J73" i="3"/>
  <c r="I73" i="3"/>
  <c r="L72" i="3"/>
  <c r="K72" i="3"/>
  <c r="J72" i="3"/>
  <c r="I72" i="3"/>
  <c r="L71" i="3"/>
  <c r="K71" i="3"/>
  <c r="J71" i="3"/>
  <c r="I71" i="3"/>
  <c r="L70" i="3"/>
  <c r="K70" i="3"/>
  <c r="J70" i="3"/>
  <c r="I70" i="3"/>
  <c r="L69" i="3"/>
  <c r="K69" i="3"/>
  <c r="J69" i="3"/>
  <c r="I69" i="3"/>
  <c r="L68" i="3"/>
  <c r="K68" i="3"/>
  <c r="J68" i="3"/>
  <c r="I68" i="3"/>
  <c r="L67" i="3"/>
  <c r="K67" i="3"/>
  <c r="J67" i="3"/>
  <c r="I67" i="3"/>
  <c r="L66" i="3"/>
  <c r="K66" i="3"/>
  <c r="J66" i="3"/>
  <c r="I66" i="3"/>
  <c r="L65" i="3"/>
  <c r="K65" i="3"/>
  <c r="J65" i="3"/>
  <c r="I65" i="3"/>
  <c r="L64" i="3"/>
  <c r="K64" i="3"/>
  <c r="J64" i="3"/>
  <c r="I64" i="3"/>
  <c r="L63" i="3"/>
  <c r="K63" i="3"/>
  <c r="J63" i="3"/>
  <c r="I63" i="3"/>
  <c r="L62" i="3"/>
  <c r="K62" i="3"/>
  <c r="J62" i="3"/>
  <c r="I62" i="3"/>
  <c r="L61" i="3"/>
  <c r="K61" i="3"/>
  <c r="J61" i="3"/>
  <c r="I61" i="3"/>
  <c r="L60" i="3"/>
  <c r="K60" i="3"/>
  <c r="J60" i="3"/>
  <c r="I60" i="3"/>
  <c r="L59" i="3"/>
  <c r="K59" i="3"/>
  <c r="J59" i="3"/>
  <c r="I59" i="3"/>
  <c r="L58" i="3"/>
  <c r="K58" i="3"/>
  <c r="J58" i="3"/>
  <c r="I58" i="3"/>
  <c r="L57" i="3"/>
  <c r="K57" i="3"/>
  <c r="J57" i="3"/>
  <c r="I57" i="3"/>
  <c r="L56" i="3"/>
  <c r="K56" i="3"/>
  <c r="J56" i="3"/>
  <c r="I56" i="3"/>
  <c r="L55" i="3"/>
  <c r="K55" i="3"/>
  <c r="J55" i="3"/>
  <c r="I55" i="3"/>
  <c r="L54" i="3"/>
  <c r="K54" i="3"/>
  <c r="J54" i="3"/>
  <c r="I54" i="3"/>
  <c r="L53" i="3"/>
  <c r="K53" i="3"/>
  <c r="J53" i="3"/>
  <c r="I53" i="3"/>
  <c r="L52" i="3"/>
  <c r="K52" i="3"/>
  <c r="J52" i="3"/>
  <c r="I52" i="3"/>
  <c r="L51" i="3"/>
  <c r="K51" i="3"/>
  <c r="J51" i="3"/>
  <c r="I51" i="3"/>
  <c r="L50" i="3"/>
  <c r="K50" i="3"/>
  <c r="J50" i="3"/>
  <c r="I50" i="3"/>
  <c r="L49" i="3"/>
  <c r="K49" i="3"/>
  <c r="J49" i="3"/>
  <c r="I49" i="3"/>
  <c r="L48" i="3"/>
  <c r="K48" i="3"/>
  <c r="J48" i="3"/>
  <c r="I48" i="3"/>
  <c r="L47" i="3"/>
  <c r="K47" i="3"/>
  <c r="J47" i="3"/>
  <c r="I47" i="3"/>
  <c r="L46" i="3"/>
  <c r="K46" i="3"/>
  <c r="J46" i="3"/>
  <c r="I46" i="3"/>
  <c r="L45" i="3"/>
  <c r="K45" i="3"/>
  <c r="J45" i="3"/>
  <c r="I45" i="3"/>
  <c r="L44" i="3"/>
  <c r="K44" i="3"/>
  <c r="J44" i="3"/>
  <c r="I44" i="3"/>
  <c r="L43" i="3"/>
  <c r="K43" i="3"/>
  <c r="J43" i="3"/>
  <c r="I43" i="3"/>
  <c r="L42" i="3"/>
  <c r="K42" i="3"/>
  <c r="J42" i="3"/>
  <c r="I42" i="3"/>
  <c r="L41" i="3"/>
  <c r="K41" i="3"/>
  <c r="J41" i="3"/>
  <c r="I41" i="3"/>
  <c r="L40" i="3"/>
  <c r="K40" i="3"/>
  <c r="J40" i="3"/>
  <c r="I40" i="3"/>
  <c r="L39" i="3"/>
  <c r="K39" i="3"/>
  <c r="J39" i="3"/>
  <c r="I39" i="3"/>
  <c r="L38" i="3"/>
  <c r="K38" i="3"/>
  <c r="J38" i="3"/>
  <c r="I38" i="3"/>
  <c r="L37" i="3"/>
  <c r="K37" i="3"/>
  <c r="J37" i="3"/>
  <c r="I37" i="3"/>
  <c r="L36" i="3"/>
  <c r="K36" i="3"/>
  <c r="J36" i="3"/>
  <c r="I36" i="3"/>
  <c r="L35" i="3"/>
  <c r="K35" i="3"/>
  <c r="J35" i="3"/>
  <c r="I35" i="3"/>
  <c r="L34" i="3"/>
  <c r="K34" i="3"/>
  <c r="J34" i="3"/>
  <c r="I34" i="3"/>
  <c r="L33" i="3"/>
  <c r="K33" i="3"/>
  <c r="J33" i="3"/>
  <c r="I33" i="3"/>
  <c r="L32" i="3"/>
  <c r="K32" i="3"/>
  <c r="J32" i="3"/>
  <c r="I32" i="3"/>
  <c r="L31" i="3"/>
  <c r="K31" i="3"/>
  <c r="J31" i="3"/>
  <c r="I31" i="3"/>
  <c r="L30" i="3"/>
  <c r="K30" i="3"/>
  <c r="J30" i="3"/>
  <c r="I30" i="3"/>
  <c r="L29" i="3"/>
  <c r="K29" i="3"/>
  <c r="J29" i="3"/>
  <c r="I29" i="3"/>
  <c r="L28" i="3"/>
  <c r="K28" i="3"/>
  <c r="J28" i="3"/>
  <c r="I28" i="3"/>
  <c r="L27" i="3"/>
  <c r="K27" i="3"/>
  <c r="J27" i="3"/>
  <c r="I27" i="3"/>
  <c r="L26" i="3"/>
  <c r="K26" i="3"/>
  <c r="J26" i="3"/>
  <c r="I26" i="3"/>
  <c r="L25" i="3"/>
  <c r="K25" i="3"/>
  <c r="J25" i="3"/>
  <c r="I25" i="3"/>
  <c r="L24" i="3"/>
  <c r="K24" i="3"/>
  <c r="J24" i="3"/>
  <c r="I24" i="3"/>
  <c r="L23" i="3"/>
  <c r="K23" i="3"/>
  <c r="J23" i="3"/>
  <c r="I23" i="3"/>
  <c r="L22" i="3"/>
  <c r="K22" i="3"/>
  <c r="J22" i="3"/>
  <c r="I22" i="3"/>
  <c r="L21" i="3"/>
  <c r="K21" i="3"/>
  <c r="J21" i="3"/>
  <c r="I21" i="3"/>
  <c r="L20" i="3"/>
  <c r="K20" i="3"/>
  <c r="J20" i="3"/>
  <c r="I20" i="3"/>
  <c r="L19" i="3"/>
  <c r="K19" i="3"/>
  <c r="J19" i="3"/>
  <c r="I19" i="3"/>
  <c r="L18" i="3"/>
  <c r="K18" i="3"/>
  <c r="J18" i="3"/>
  <c r="I18" i="3"/>
  <c r="L17" i="3"/>
  <c r="K17" i="3"/>
  <c r="J17" i="3"/>
  <c r="I17" i="3"/>
  <c r="L16" i="3"/>
  <c r="K16" i="3"/>
  <c r="J16" i="3"/>
  <c r="I16" i="3"/>
  <c r="L15" i="3"/>
  <c r="K15" i="3"/>
  <c r="J15" i="3"/>
  <c r="I15" i="3"/>
  <c r="L14" i="3"/>
  <c r="K14" i="3"/>
  <c r="J14" i="3"/>
  <c r="I14" i="3"/>
  <c r="L13" i="3"/>
  <c r="K13" i="3"/>
  <c r="J13" i="3"/>
  <c r="I13" i="3"/>
  <c r="L12" i="3"/>
  <c r="K12" i="3"/>
  <c r="J12" i="3"/>
  <c r="I12" i="3"/>
  <c r="L11" i="3"/>
  <c r="K11" i="3"/>
  <c r="J11" i="3"/>
  <c r="I11" i="3"/>
  <c r="L10" i="3"/>
  <c r="K10" i="3"/>
  <c r="J10" i="3"/>
  <c r="I10" i="3"/>
  <c r="L9" i="3"/>
  <c r="K9" i="3"/>
  <c r="J9" i="3"/>
  <c r="I9" i="3"/>
  <c r="L8" i="3"/>
  <c r="K8" i="3"/>
  <c r="J8" i="3"/>
  <c r="I8" i="3"/>
  <c r="L7" i="3"/>
  <c r="K7" i="3"/>
  <c r="J7" i="3"/>
  <c r="I7" i="3"/>
  <c r="L6" i="3"/>
  <c r="K6" i="3"/>
  <c r="J6" i="3"/>
  <c r="I6" i="3"/>
  <c r="L5" i="3"/>
  <c r="K5" i="3"/>
  <c r="J5" i="3"/>
  <c r="I5" i="3"/>
  <c r="L4" i="3"/>
  <c r="K4" i="3"/>
  <c r="J4" i="3"/>
  <c r="I4" i="3"/>
  <c r="L3" i="3"/>
  <c r="K3" i="3"/>
  <c r="I3" i="3"/>
  <c r="G5" i="2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G110" i="2" s="1"/>
  <c r="G111" i="2" s="1"/>
  <c r="G112" i="2" s="1"/>
  <c r="G113" i="2" s="1"/>
  <c r="G114" i="2" s="1"/>
  <c r="G115" i="2" s="1"/>
  <c r="G116" i="2" s="1"/>
  <c r="G117" i="2" s="1"/>
  <c r="G118" i="2" s="1"/>
  <c r="G119" i="2" s="1"/>
  <c r="G120" i="2" s="1"/>
  <c r="G121" i="2" s="1"/>
  <c r="G122" i="2" s="1"/>
  <c r="G123" i="2" s="1"/>
  <c r="G124" i="2" s="1"/>
  <c r="G125" i="2" s="1"/>
  <c r="G126" i="2" s="1"/>
  <c r="G127" i="2" s="1"/>
  <c r="G128" i="2" s="1"/>
  <c r="G129" i="2" s="1"/>
  <c r="G130" i="2" s="1"/>
  <c r="G131" i="2" s="1"/>
  <c r="G132" i="2" s="1"/>
  <c r="G133" i="2" s="1"/>
  <c r="G134" i="2" s="1"/>
  <c r="G135" i="2" s="1"/>
  <c r="G136" i="2" s="1"/>
  <c r="G137" i="2" s="1"/>
  <c r="G138" i="2" s="1"/>
  <c r="G139" i="2" s="1"/>
  <c r="G140" i="2" s="1"/>
  <c r="G141" i="2" s="1"/>
  <c r="G142" i="2" s="1"/>
  <c r="G143" i="2" s="1"/>
  <c r="G144" i="2" s="1"/>
  <c r="G145" i="2" s="1"/>
  <c r="G146" i="2" s="1"/>
  <c r="G4" i="2"/>
  <c r="H4" i="2" s="1"/>
  <c r="G3" i="2"/>
  <c r="H3" i="2" s="1"/>
  <c r="F5" i="2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F143" i="2" s="1"/>
  <c r="F144" i="2" s="1"/>
  <c r="F145" i="2" s="1"/>
  <c r="F146" i="2" s="1"/>
  <c r="F4" i="2"/>
  <c r="F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3" i="2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3" i="1"/>
  <c r="J4" i="1"/>
  <c r="K4" i="1"/>
  <c r="L4" i="1"/>
  <c r="J5" i="1"/>
  <c r="K5" i="1"/>
  <c r="L5" i="1"/>
  <c r="J6" i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J59" i="1"/>
  <c r="K59" i="1"/>
  <c r="L59" i="1"/>
  <c r="J60" i="1"/>
  <c r="K60" i="1"/>
  <c r="L60" i="1"/>
  <c r="J61" i="1"/>
  <c r="K61" i="1"/>
  <c r="L61" i="1"/>
  <c r="J62" i="1"/>
  <c r="K62" i="1"/>
  <c r="L62" i="1"/>
  <c r="J63" i="1"/>
  <c r="K63" i="1"/>
  <c r="L63" i="1"/>
  <c r="J64" i="1"/>
  <c r="K64" i="1"/>
  <c r="L64" i="1"/>
  <c r="J65" i="1"/>
  <c r="K65" i="1"/>
  <c r="L65" i="1"/>
  <c r="J66" i="1"/>
  <c r="K66" i="1"/>
  <c r="L66" i="1"/>
  <c r="J67" i="1"/>
  <c r="K67" i="1"/>
  <c r="L67" i="1"/>
  <c r="J68" i="1"/>
  <c r="K68" i="1"/>
  <c r="L68" i="1"/>
  <c r="J69" i="1"/>
  <c r="K69" i="1"/>
  <c r="L69" i="1"/>
  <c r="J70" i="1"/>
  <c r="K70" i="1"/>
  <c r="L70" i="1"/>
  <c r="J71" i="1"/>
  <c r="K71" i="1"/>
  <c r="L71" i="1"/>
  <c r="J72" i="1"/>
  <c r="K72" i="1"/>
  <c r="L72" i="1"/>
  <c r="J73" i="1"/>
  <c r="K73" i="1"/>
  <c r="L73" i="1"/>
  <c r="J74" i="1"/>
  <c r="K74" i="1"/>
  <c r="L74" i="1"/>
  <c r="J75" i="1"/>
  <c r="K75" i="1"/>
  <c r="L75" i="1"/>
  <c r="J76" i="1"/>
  <c r="K76" i="1"/>
  <c r="L76" i="1"/>
  <c r="J77" i="1"/>
  <c r="K77" i="1"/>
  <c r="L77" i="1"/>
  <c r="J78" i="1"/>
  <c r="K78" i="1"/>
  <c r="L78" i="1"/>
  <c r="J79" i="1"/>
  <c r="K79" i="1"/>
  <c r="L79" i="1"/>
  <c r="J80" i="1"/>
  <c r="K80" i="1"/>
  <c r="L80" i="1"/>
  <c r="J81" i="1"/>
  <c r="K81" i="1"/>
  <c r="L81" i="1"/>
  <c r="J82" i="1"/>
  <c r="K82" i="1"/>
  <c r="L82" i="1"/>
  <c r="J83" i="1"/>
  <c r="K83" i="1"/>
  <c r="L83" i="1"/>
  <c r="J84" i="1"/>
  <c r="K84" i="1"/>
  <c r="L84" i="1"/>
  <c r="J85" i="1"/>
  <c r="K85" i="1"/>
  <c r="L85" i="1"/>
  <c r="J86" i="1"/>
  <c r="K86" i="1"/>
  <c r="L86" i="1"/>
  <c r="J87" i="1"/>
  <c r="K87" i="1"/>
  <c r="L87" i="1"/>
  <c r="J88" i="1"/>
  <c r="K88" i="1"/>
  <c r="L88" i="1"/>
  <c r="J89" i="1"/>
  <c r="K89" i="1"/>
  <c r="L89" i="1"/>
  <c r="J90" i="1"/>
  <c r="K90" i="1"/>
  <c r="L90" i="1"/>
  <c r="J91" i="1"/>
  <c r="K91" i="1"/>
  <c r="L91" i="1"/>
  <c r="J92" i="1"/>
  <c r="K92" i="1"/>
  <c r="L92" i="1"/>
  <c r="J93" i="1"/>
  <c r="K93" i="1"/>
  <c r="L93" i="1"/>
  <c r="J94" i="1"/>
  <c r="K94" i="1"/>
  <c r="L94" i="1"/>
  <c r="J95" i="1"/>
  <c r="K95" i="1"/>
  <c r="L95" i="1"/>
  <c r="J96" i="1"/>
  <c r="K96" i="1"/>
  <c r="L96" i="1"/>
  <c r="J97" i="1"/>
  <c r="K97" i="1"/>
  <c r="L97" i="1"/>
  <c r="J98" i="1"/>
  <c r="K98" i="1"/>
  <c r="L98" i="1"/>
  <c r="J99" i="1"/>
  <c r="K99" i="1"/>
  <c r="L99" i="1"/>
  <c r="J100" i="1"/>
  <c r="K100" i="1"/>
  <c r="L100" i="1"/>
  <c r="J101" i="1"/>
  <c r="K101" i="1"/>
  <c r="L101" i="1"/>
  <c r="J102" i="1"/>
  <c r="K102" i="1"/>
  <c r="L102" i="1"/>
  <c r="J103" i="1"/>
  <c r="K103" i="1"/>
  <c r="L103" i="1"/>
  <c r="J104" i="1"/>
  <c r="K104" i="1"/>
  <c r="L104" i="1"/>
  <c r="J105" i="1"/>
  <c r="K105" i="1"/>
  <c r="L105" i="1"/>
  <c r="J106" i="1"/>
  <c r="K106" i="1"/>
  <c r="L106" i="1"/>
  <c r="J107" i="1"/>
  <c r="K107" i="1"/>
  <c r="L107" i="1"/>
  <c r="J108" i="1"/>
  <c r="K108" i="1"/>
  <c r="L108" i="1"/>
  <c r="J109" i="1"/>
  <c r="K109" i="1"/>
  <c r="L109" i="1"/>
  <c r="J110" i="1"/>
  <c r="K110" i="1"/>
  <c r="L110" i="1"/>
  <c r="J111" i="1"/>
  <c r="K111" i="1"/>
  <c r="L111" i="1"/>
  <c r="J112" i="1"/>
  <c r="K112" i="1"/>
  <c r="L112" i="1"/>
  <c r="J113" i="1"/>
  <c r="K113" i="1"/>
  <c r="L113" i="1"/>
  <c r="J114" i="1"/>
  <c r="K114" i="1"/>
  <c r="L114" i="1"/>
  <c r="J115" i="1"/>
  <c r="K115" i="1"/>
  <c r="L115" i="1"/>
  <c r="J116" i="1"/>
  <c r="K116" i="1"/>
  <c r="L116" i="1"/>
  <c r="J117" i="1"/>
  <c r="K117" i="1"/>
  <c r="L117" i="1"/>
  <c r="J118" i="1"/>
  <c r="K118" i="1"/>
  <c r="L118" i="1"/>
  <c r="J119" i="1"/>
  <c r="K119" i="1"/>
  <c r="L119" i="1"/>
  <c r="J120" i="1"/>
  <c r="K120" i="1"/>
  <c r="L120" i="1"/>
  <c r="J121" i="1"/>
  <c r="K121" i="1"/>
  <c r="L121" i="1"/>
  <c r="J122" i="1"/>
  <c r="K122" i="1"/>
  <c r="L122" i="1"/>
  <c r="J123" i="1"/>
  <c r="K123" i="1"/>
  <c r="L123" i="1"/>
  <c r="J124" i="1"/>
  <c r="K124" i="1"/>
  <c r="L124" i="1"/>
  <c r="J125" i="1"/>
  <c r="K125" i="1"/>
  <c r="L125" i="1"/>
  <c r="J126" i="1"/>
  <c r="K126" i="1"/>
  <c r="L126" i="1"/>
  <c r="J127" i="1"/>
  <c r="K127" i="1"/>
  <c r="L127" i="1"/>
  <c r="J128" i="1"/>
  <c r="K128" i="1"/>
  <c r="L128" i="1"/>
  <c r="J129" i="1"/>
  <c r="K129" i="1"/>
  <c r="L129" i="1"/>
  <c r="J130" i="1"/>
  <c r="K130" i="1"/>
  <c r="L130" i="1"/>
  <c r="J131" i="1"/>
  <c r="K131" i="1"/>
  <c r="L131" i="1"/>
  <c r="J132" i="1"/>
  <c r="K132" i="1"/>
  <c r="L132" i="1"/>
  <c r="J133" i="1"/>
  <c r="K133" i="1"/>
  <c r="L133" i="1"/>
  <c r="J134" i="1"/>
  <c r="K134" i="1"/>
  <c r="L134" i="1"/>
  <c r="J135" i="1"/>
  <c r="K135" i="1"/>
  <c r="L135" i="1"/>
  <c r="J136" i="1"/>
  <c r="K136" i="1"/>
  <c r="L136" i="1"/>
  <c r="J137" i="1"/>
  <c r="K137" i="1"/>
  <c r="L137" i="1"/>
  <c r="J138" i="1"/>
  <c r="K138" i="1"/>
  <c r="L138" i="1"/>
  <c r="J139" i="1"/>
  <c r="K139" i="1"/>
  <c r="L139" i="1"/>
  <c r="J140" i="1"/>
  <c r="K140" i="1"/>
  <c r="L140" i="1"/>
  <c r="J141" i="1"/>
  <c r="K141" i="1"/>
  <c r="L141" i="1"/>
  <c r="J142" i="1"/>
  <c r="K142" i="1"/>
  <c r="L142" i="1"/>
  <c r="J143" i="1"/>
  <c r="K143" i="1"/>
  <c r="L143" i="1"/>
  <c r="J144" i="1"/>
  <c r="K144" i="1"/>
  <c r="L144" i="1"/>
  <c r="J145" i="1"/>
  <c r="K145" i="1"/>
  <c r="L145" i="1"/>
  <c r="J146" i="1"/>
  <c r="K146" i="1"/>
  <c r="L146" i="1"/>
  <c r="J147" i="1"/>
  <c r="K147" i="1"/>
  <c r="L147" i="1"/>
  <c r="K3" i="1"/>
  <c r="L3" i="1"/>
  <c r="J3" i="1"/>
  <c r="H3" i="4" l="1"/>
  <c r="G4" i="4"/>
  <c r="G5" i="4" l="1"/>
  <c r="H4" i="4"/>
  <c r="H5" i="2"/>
  <c r="G6" i="4" l="1"/>
  <c r="H5" i="4"/>
  <c r="H6" i="2"/>
  <c r="H6" i="4" l="1"/>
  <c r="G7" i="4"/>
  <c r="H7" i="2"/>
  <c r="G8" i="4" l="1"/>
  <c r="H7" i="4"/>
  <c r="H8" i="2"/>
  <c r="G9" i="4" l="1"/>
  <c r="H8" i="4"/>
  <c r="H9" i="2"/>
  <c r="H9" i="4" l="1"/>
  <c r="G10" i="4"/>
  <c r="H10" i="2"/>
  <c r="G11" i="4" l="1"/>
  <c r="H10" i="4"/>
  <c r="H11" i="2"/>
  <c r="G12" i="4" l="1"/>
  <c r="H11" i="4"/>
  <c r="H12" i="2"/>
  <c r="H12" i="4" l="1"/>
  <c r="G13" i="4"/>
  <c r="H13" i="2"/>
  <c r="G14" i="4" l="1"/>
  <c r="H13" i="4"/>
  <c r="H14" i="2"/>
  <c r="G15" i="4" l="1"/>
  <c r="H14" i="4"/>
  <c r="H15" i="2"/>
  <c r="H15" i="4" l="1"/>
  <c r="G16" i="4"/>
  <c r="H16" i="2"/>
  <c r="G17" i="4" l="1"/>
  <c r="H16" i="4"/>
  <c r="H17" i="2"/>
  <c r="G18" i="4" l="1"/>
  <c r="H17" i="4"/>
  <c r="H18" i="2"/>
  <c r="H18" i="4" l="1"/>
  <c r="G19" i="4"/>
  <c r="H19" i="2"/>
  <c r="G20" i="4" l="1"/>
  <c r="H19" i="4"/>
  <c r="H20" i="2"/>
  <c r="G21" i="4" l="1"/>
  <c r="H20" i="4"/>
  <c r="H21" i="2"/>
  <c r="H21" i="4" l="1"/>
  <c r="G22" i="4"/>
  <c r="H22" i="2"/>
  <c r="G23" i="4" l="1"/>
  <c r="H22" i="4"/>
  <c r="H23" i="2"/>
  <c r="G24" i="4" l="1"/>
  <c r="H23" i="4"/>
  <c r="H24" i="2"/>
  <c r="H24" i="4" l="1"/>
  <c r="G25" i="4"/>
  <c r="H25" i="2"/>
  <c r="G26" i="4" l="1"/>
  <c r="H25" i="4"/>
  <c r="H26" i="2"/>
  <c r="G27" i="4" l="1"/>
  <c r="H26" i="4"/>
  <c r="H27" i="2"/>
  <c r="H27" i="4" l="1"/>
  <c r="G28" i="4"/>
  <c r="H28" i="2"/>
  <c r="G29" i="4" l="1"/>
  <c r="H28" i="4"/>
  <c r="H29" i="2"/>
  <c r="G30" i="4" l="1"/>
  <c r="H29" i="4"/>
  <c r="H30" i="2"/>
  <c r="H30" i="4" l="1"/>
  <c r="G31" i="4"/>
  <c r="H31" i="2"/>
  <c r="G32" i="4" l="1"/>
  <c r="H31" i="4"/>
  <c r="H32" i="2"/>
  <c r="G33" i="4" l="1"/>
  <c r="H32" i="4"/>
  <c r="H33" i="2"/>
  <c r="H33" i="4" l="1"/>
  <c r="G34" i="4"/>
  <c r="H34" i="2"/>
  <c r="G35" i="4" l="1"/>
  <c r="H34" i="4"/>
  <c r="H35" i="2"/>
  <c r="G36" i="4" l="1"/>
  <c r="H35" i="4"/>
  <c r="H36" i="2"/>
  <c r="H36" i="4" l="1"/>
  <c r="G37" i="4"/>
  <c r="H37" i="2"/>
  <c r="G38" i="4" l="1"/>
  <c r="H37" i="4"/>
  <c r="H38" i="2"/>
  <c r="G39" i="4" l="1"/>
  <c r="H38" i="4"/>
  <c r="H39" i="2"/>
  <c r="H39" i="4" l="1"/>
  <c r="G40" i="4"/>
  <c r="H40" i="2"/>
  <c r="G41" i="4" l="1"/>
  <c r="H40" i="4"/>
  <c r="H41" i="2"/>
  <c r="G42" i="4" l="1"/>
  <c r="H41" i="4"/>
  <c r="H42" i="2"/>
  <c r="H42" i="4" l="1"/>
  <c r="G43" i="4"/>
  <c r="H43" i="2"/>
  <c r="G44" i="4" l="1"/>
  <c r="H43" i="4"/>
  <c r="H44" i="2"/>
  <c r="G45" i="4" l="1"/>
  <c r="H44" i="4"/>
  <c r="H45" i="2"/>
  <c r="H45" i="4" l="1"/>
  <c r="G46" i="4"/>
  <c r="H46" i="2"/>
  <c r="G47" i="4" l="1"/>
  <c r="H46" i="4"/>
  <c r="H47" i="2"/>
  <c r="G48" i="4" l="1"/>
  <c r="H47" i="4"/>
  <c r="H48" i="2"/>
  <c r="H48" i="4" l="1"/>
  <c r="G49" i="4"/>
  <c r="H49" i="2"/>
  <c r="G50" i="4" l="1"/>
  <c r="H49" i="4"/>
  <c r="H50" i="2"/>
  <c r="G51" i="4" l="1"/>
  <c r="H50" i="4"/>
  <c r="H51" i="2"/>
  <c r="H51" i="4" l="1"/>
  <c r="G52" i="4"/>
  <c r="H52" i="2"/>
  <c r="G53" i="4" l="1"/>
  <c r="H52" i="4"/>
  <c r="H53" i="2"/>
  <c r="G54" i="4" l="1"/>
  <c r="H53" i="4"/>
  <c r="H54" i="2"/>
  <c r="H54" i="4" l="1"/>
  <c r="G55" i="4"/>
  <c r="H55" i="2"/>
  <c r="G56" i="4" l="1"/>
  <c r="H55" i="4"/>
  <c r="H56" i="2"/>
  <c r="G57" i="4" l="1"/>
  <c r="H56" i="4"/>
  <c r="H57" i="2"/>
  <c r="H57" i="4" l="1"/>
  <c r="G58" i="4"/>
  <c r="H58" i="2"/>
  <c r="G59" i="4" l="1"/>
  <c r="H58" i="4"/>
  <c r="H59" i="2"/>
  <c r="G60" i="4" l="1"/>
  <c r="H59" i="4"/>
  <c r="H60" i="2"/>
  <c r="H60" i="4" l="1"/>
  <c r="G61" i="4"/>
  <c r="H61" i="2"/>
  <c r="G62" i="4" l="1"/>
  <c r="H61" i="4"/>
  <c r="H62" i="2"/>
  <c r="G63" i="4" l="1"/>
  <c r="H62" i="4"/>
  <c r="H63" i="2"/>
  <c r="H63" i="4" l="1"/>
  <c r="G64" i="4"/>
  <c r="H64" i="2"/>
  <c r="G65" i="4" l="1"/>
  <c r="H64" i="4"/>
  <c r="H65" i="2"/>
  <c r="G66" i="4" l="1"/>
  <c r="H65" i="4"/>
  <c r="H66" i="2"/>
  <c r="H66" i="4" l="1"/>
  <c r="G67" i="4"/>
  <c r="H67" i="2"/>
  <c r="G68" i="4" l="1"/>
  <c r="H67" i="4"/>
  <c r="H68" i="2"/>
  <c r="G69" i="4" l="1"/>
  <c r="H68" i="4"/>
  <c r="H69" i="2"/>
  <c r="H69" i="4" l="1"/>
  <c r="G70" i="4"/>
  <c r="H70" i="2"/>
  <c r="G71" i="4" l="1"/>
  <c r="H70" i="4"/>
  <c r="H71" i="2"/>
  <c r="G72" i="4" l="1"/>
  <c r="H71" i="4"/>
  <c r="H72" i="2"/>
  <c r="H72" i="4" l="1"/>
  <c r="G73" i="4"/>
  <c r="H73" i="2"/>
  <c r="G74" i="4" l="1"/>
  <c r="H73" i="4"/>
  <c r="H74" i="2"/>
  <c r="G75" i="4" l="1"/>
  <c r="H74" i="4"/>
  <c r="H75" i="2"/>
  <c r="H75" i="4" l="1"/>
  <c r="G76" i="4"/>
  <c r="H76" i="2"/>
  <c r="G77" i="4" l="1"/>
  <c r="H76" i="4"/>
  <c r="H77" i="2"/>
  <c r="G78" i="4" l="1"/>
  <c r="H77" i="4"/>
  <c r="H78" i="2"/>
  <c r="H78" i="4" l="1"/>
  <c r="G79" i="4"/>
  <c r="H79" i="2"/>
  <c r="G80" i="4" l="1"/>
  <c r="H79" i="4"/>
  <c r="H80" i="2"/>
  <c r="G81" i="4" l="1"/>
  <c r="H80" i="4"/>
  <c r="H81" i="2"/>
  <c r="H81" i="4" l="1"/>
  <c r="G82" i="4"/>
  <c r="H82" i="2"/>
  <c r="G83" i="4" l="1"/>
  <c r="H82" i="4"/>
  <c r="H83" i="2"/>
  <c r="G84" i="4" l="1"/>
  <c r="H83" i="4"/>
  <c r="H84" i="2"/>
  <c r="H84" i="4" l="1"/>
  <c r="G85" i="4"/>
  <c r="H85" i="2"/>
  <c r="G86" i="4" l="1"/>
  <c r="H85" i="4"/>
  <c r="H86" i="2"/>
  <c r="G87" i="4" l="1"/>
  <c r="H86" i="4"/>
  <c r="H87" i="2"/>
  <c r="H87" i="4" l="1"/>
  <c r="G88" i="4"/>
  <c r="H88" i="2"/>
  <c r="G89" i="4" l="1"/>
  <c r="H88" i="4"/>
  <c r="H89" i="2"/>
  <c r="G90" i="4" l="1"/>
  <c r="H89" i="4"/>
  <c r="H90" i="2"/>
  <c r="H90" i="4" l="1"/>
  <c r="G91" i="4"/>
  <c r="H91" i="2"/>
  <c r="G92" i="4" l="1"/>
  <c r="H91" i="4"/>
  <c r="H92" i="2"/>
  <c r="G93" i="4" l="1"/>
  <c r="H92" i="4"/>
  <c r="H93" i="2"/>
  <c r="H93" i="4" l="1"/>
  <c r="G94" i="4"/>
  <c r="H94" i="2"/>
  <c r="G95" i="4" l="1"/>
  <c r="H94" i="4"/>
  <c r="H95" i="2"/>
  <c r="G96" i="4" l="1"/>
  <c r="H95" i="4"/>
  <c r="H96" i="2"/>
  <c r="H96" i="4" l="1"/>
  <c r="G97" i="4"/>
  <c r="H97" i="2"/>
  <c r="G98" i="4" l="1"/>
  <c r="H97" i="4"/>
  <c r="H98" i="2"/>
  <c r="G99" i="4" l="1"/>
  <c r="H98" i="4"/>
  <c r="H99" i="2"/>
  <c r="H99" i="4" l="1"/>
  <c r="G100" i="4"/>
  <c r="H100" i="2"/>
  <c r="G101" i="4" l="1"/>
  <c r="H100" i="4"/>
  <c r="H101" i="2"/>
  <c r="G102" i="4" l="1"/>
  <c r="H101" i="4"/>
  <c r="H102" i="2"/>
  <c r="H102" i="4" l="1"/>
  <c r="G103" i="4"/>
  <c r="H103" i="2"/>
  <c r="G104" i="4" l="1"/>
  <c r="H103" i="4"/>
  <c r="H104" i="2"/>
  <c r="G105" i="4" l="1"/>
  <c r="H104" i="4"/>
  <c r="H105" i="2"/>
  <c r="H105" i="4" l="1"/>
  <c r="G106" i="4"/>
  <c r="H106" i="2"/>
  <c r="G107" i="4" l="1"/>
  <c r="H106" i="4"/>
  <c r="H107" i="2"/>
  <c r="G108" i="4" l="1"/>
  <c r="H107" i="4"/>
  <c r="H108" i="2"/>
  <c r="H108" i="4" l="1"/>
  <c r="G109" i="4"/>
  <c r="H109" i="2"/>
  <c r="G110" i="4" l="1"/>
  <c r="H109" i="4"/>
  <c r="H110" i="2"/>
  <c r="G111" i="4" l="1"/>
  <c r="H110" i="4"/>
  <c r="H111" i="2"/>
  <c r="H111" i="4" l="1"/>
  <c r="G112" i="4"/>
  <c r="H112" i="2"/>
  <c r="G113" i="4" l="1"/>
  <c r="H112" i="4"/>
  <c r="H113" i="2"/>
  <c r="G114" i="4" l="1"/>
  <c r="H113" i="4"/>
  <c r="H114" i="2"/>
  <c r="H114" i="4" l="1"/>
  <c r="G115" i="4"/>
  <c r="H115" i="2"/>
  <c r="G116" i="4" l="1"/>
  <c r="H115" i="4"/>
  <c r="H116" i="2"/>
  <c r="G117" i="4" l="1"/>
  <c r="H116" i="4"/>
  <c r="H117" i="2"/>
  <c r="H117" i="4" l="1"/>
  <c r="G118" i="4"/>
  <c r="H118" i="2"/>
  <c r="G119" i="4" l="1"/>
  <c r="H118" i="4"/>
  <c r="H119" i="2"/>
  <c r="G120" i="4" l="1"/>
  <c r="H119" i="4"/>
  <c r="H120" i="2"/>
  <c r="H120" i="4" l="1"/>
  <c r="G121" i="4"/>
  <c r="H121" i="2"/>
  <c r="G122" i="4" l="1"/>
  <c r="H121" i="4"/>
  <c r="H122" i="2"/>
  <c r="G123" i="4" l="1"/>
  <c r="H122" i="4"/>
  <c r="H123" i="2"/>
  <c r="H123" i="4" l="1"/>
  <c r="G124" i="4"/>
  <c r="H124" i="2"/>
  <c r="G125" i="4" l="1"/>
  <c r="H124" i="4"/>
  <c r="H125" i="2"/>
  <c r="G126" i="4" l="1"/>
  <c r="H125" i="4"/>
  <c r="H126" i="2"/>
  <c r="H126" i="4" l="1"/>
  <c r="G127" i="4"/>
  <c r="H127" i="2"/>
  <c r="G128" i="4" l="1"/>
  <c r="H127" i="4"/>
  <c r="H128" i="2"/>
  <c r="G129" i="4" l="1"/>
  <c r="H128" i="4"/>
  <c r="H129" i="2"/>
  <c r="H129" i="4" l="1"/>
  <c r="G130" i="4"/>
  <c r="H130" i="2"/>
  <c r="G131" i="4" l="1"/>
  <c r="H130" i="4"/>
  <c r="H131" i="2"/>
  <c r="G132" i="4" l="1"/>
  <c r="H131" i="4"/>
  <c r="H132" i="2"/>
  <c r="H132" i="4" l="1"/>
  <c r="G133" i="4"/>
  <c r="H133" i="2"/>
  <c r="G134" i="4" l="1"/>
  <c r="H133" i="4"/>
  <c r="H134" i="2"/>
  <c r="G135" i="4" l="1"/>
  <c r="H134" i="4"/>
  <c r="H135" i="2"/>
  <c r="H135" i="4" l="1"/>
  <c r="G136" i="4"/>
  <c r="H136" i="2"/>
  <c r="G137" i="4" l="1"/>
  <c r="H136" i="4"/>
  <c r="H137" i="2"/>
  <c r="G138" i="4" l="1"/>
  <c r="H137" i="4"/>
  <c r="H138" i="2"/>
  <c r="H138" i="4" l="1"/>
  <c r="G139" i="4"/>
  <c r="H139" i="2"/>
  <c r="G140" i="4" l="1"/>
  <c r="H139" i="4"/>
  <c r="H140" i="2"/>
  <c r="G141" i="4" l="1"/>
  <c r="H140" i="4"/>
  <c r="H141" i="2"/>
  <c r="H141" i="4" l="1"/>
  <c r="G142" i="4"/>
  <c r="H142" i="2"/>
  <c r="G143" i="4" l="1"/>
  <c r="H142" i="4"/>
  <c r="H143" i="2"/>
  <c r="G144" i="4" l="1"/>
  <c r="H143" i="4"/>
  <c r="H144" i="2"/>
  <c r="H144" i="4" l="1"/>
  <c r="G145" i="4"/>
  <c r="H146" i="2"/>
  <c r="H145" i="2"/>
  <c r="G146" i="4" l="1"/>
  <c r="H145" i="4"/>
  <c r="G147" i="4" l="1"/>
  <c r="H147" i="4" s="1"/>
  <c r="H146" i="4"/>
</calcChain>
</file>

<file path=xl/sharedStrings.xml><?xml version="1.0" encoding="utf-8"?>
<sst xmlns="http://schemas.openxmlformats.org/spreadsheetml/2006/main" count="49" uniqueCount="17">
  <si>
    <t>实际路线</t>
  </si>
  <si>
    <t>单弧路线</t>
  </si>
  <si>
    <t>多弧路线</t>
  </si>
  <si>
    <t>实验</t>
    <phoneticPr fontId="1" type="noConversion"/>
  </si>
  <si>
    <t>单弧路线规划车速</t>
    <phoneticPr fontId="1" type="noConversion"/>
  </si>
  <si>
    <t>多弧路线规划车速</t>
    <phoneticPr fontId="1" type="noConversion"/>
  </si>
  <si>
    <t>实车实验车速</t>
    <phoneticPr fontId="1" type="noConversion"/>
  </si>
  <si>
    <t>差值</t>
    <phoneticPr fontId="1" type="noConversion"/>
  </si>
  <si>
    <t>实际路线规划车速</t>
    <phoneticPr fontId="1" type="noConversion"/>
  </si>
  <si>
    <t>实验车速</t>
    <phoneticPr fontId="1" type="noConversion"/>
  </si>
  <si>
    <t>XL Toolbox Settings</t>
  </si>
  <si>
    <t>export_preset</t>
  </si>
  <si>
    <t>&lt;?xml version="1.0" encoding="utf-16"?&gt;_x000D_
&lt;Preset xmlns:xsd="http://www.w3.org/2001/XMLSchema" xmlns:xsi="http://www.w3.org/2001/XMLSchema-instance"&gt;_x000D_
  &lt;Name&gt;Png, 300 dpi, RGB, Transparent canvas&lt;/Name&gt;_x000D_
  &lt;Dpi&gt;300&lt;/Dpi&gt;_x000D_
  &lt;FileType&gt;Png&lt;/FileType&gt;_x000D_
  &lt;ColorSpace&gt;Rgb&lt;/ColorSpace&gt;_x000D_
  &lt;Transparency&gt;TransparentCanvas&lt;/Transparency&gt;_x000D_
  &lt;UseColorProfile&gt;false&lt;/UseColorProfile&gt;_x000D_
  &lt;ColorProfile&gt;ProPhoto&lt;/ColorProfile&gt;_x000D_
&lt;/Preset&gt;</t>
  </si>
  <si>
    <t>export_path</t>
  </si>
  <si>
    <t>F:\桌面\OneDrive - mail.scut.edu.cn\00-论文\毕业论文\04开展\05.1速度规划\多弧车速随机对比.png</t>
  </si>
  <si>
    <t>Multi-arc path</t>
    <phoneticPr fontId="1" type="noConversion"/>
  </si>
  <si>
    <t>Actual path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</si>
</sst>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59A95A"/>
      <color rgb="FF4D85BD"/>
      <color rgb="FFF7903D"/>
      <color rgb="FF81B8DF"/>
      <color rgb="FFFE817D"/>
      <color rgb="FF070707"/>
      <color rgb="FFFAC00F"/>
      <color rgb="FFF3764A"/>
      <color rgb="FF54AC75"/>
      <color rgb="FF015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508547008547006E-2"/>
          <c:y val="5.0925925925925923E-2"/>
          <c:w val="0.86553383190883193"/>
          <c:h val="0.77536818314377365"/>
        </c:manualLayout>
      </c:layout>
      <c:lineChart>
        <c:grouping val="standard"/>
        <c:varyColors val="0"/>
        <c:ser>
          <c:idx val="3"/>
          <c:order val="0"/>
          <c:tx>
            <c:strRef>
              <c:f>回归!$M$2</c:f>
              <c:strCache>
                <c:ptCount val="1"/>
                <c:pt idx="0">
                  <c:v>实车实验车速</c:v>
                </c:pt>
              </c:strCache>
            </c:strRef>
          </c:tx>
          <c:spPr>
            <a:ln w="28575" cap="rnd">
              <a:solidFill>
                <a:srgbClr val="015699"/>
              </a:solidFill>
              <a:round/>
            </a:ln>
            <a:effectLst/>
          </c:spPr>
          <c:marker>
            <c:symbol val="none"/>
          </c:marker>
          <c:val>
            <c:numRef>
              <c:f>回归!$M$3:$M$147</c:f>
              <c:numCache>
                <c:formatCode>General</c:formatCode>
                <c:ptCount val="145"/>
                <c:pt idx="0">
                  <c:v>93.585599999999999</c:v>
                </c:pt>
                <c:pt idx="1">
                  <c:v>94.492440000000002</c:v>
                </c:pt>
                <c:pt idx="2">
                  <c:v>95.792760000000001</c:v>
                </c:pt>
                <c:pt idx="3">
                  <c:v>97.124039999999994</c:v>
                </c:pt>
                <c:pt idx="4">
                  <c:v>98.376840000000001</c:v>
                </c:pt>
                <c:pt idx="5">
                  <c:v>98.408519999999996</c:v>
                </c:pt>
                <c:pt idx="6">
                  <c:v>97.424999999999997</c:v>
                </c:pt>
                <c:pt idx="7">
                  <c:v>95.839200000000005</c:v>
                </c:pt>
                <c:pt idx="8">
                  <c:v>94.698000000000008</c:v>
                </c:pt>
                <c:pt idx="9">
                  <c:v>94.015440000000012</c:v>
                </c:pt>
                <c:pt idx="10">
                  <c:v>94.652640000000005</c:v>
                </c:pt>
                <c:pt idx="11">
                  <c:v>95.164200000000008</c:v>
                </c:pt>
                <c:pt idx="12">
                  <c:v>93.982320000000001</c:v>
                </c:pt>
                <c:pt idx="13">
                  <c:v>92.664360000000002</c:v>
                </c:pt>
                <c:pt idx="14">
                  <c:v>92.069280000000006</c:v>
                </c:pt>
                <c:pt idx="15">
                  <c:v>91.510199999999998</c:v>
                </c:pt>
                <c:pt idx="16">
                  <c:v>90.521640000000005</c:v>
                </c:pt>
                <c:pt idx="17">
                  <c:v>90.09684</c:v>
                </c:pt>
                <c:pt idx="18">
                  <c:v>88.846560000000011</c:v>
                </c:pt>
                <c:pt idx="19">
                  <c:v>86.802120000000002</c:v>
                </c:pt>
                <c:pt idx="20">
                  <c:v>85.832640000000012</c:v>
                </c:pt>
                <c:pt idx="21">
                  <c:v>85.124880000000005</c:v>
                </c:pt>
                <c:pt idx="22">
                  <c:v>84.271320000000003</c:v>
                </c:pt>
                <c:pt idx="23">
                  <c:v>83.862000000000009</c:v>
                </c:pt>
                <c:pt idx="24">
                  <c:v>85.346640000000008</c:v>
                </c:pt>
                <c:pt idx="25">
                  <c:v>87.201000000000008</c:v>
                </c:pt>
                <c:pt idx="26">
                  <c:v>89.120519999999999</c:v>
                </c:pt>
                <c:pt idx="27">
                  <c:v>91.323719999999994</c:v>
                </c:pt>
                <c:pt idx="28">
                  <c:v>93.164400000000001</c:v>
                </c:pt>
                <c:pt idx="29">
                  <c:v>92.297880000000006</c:v>
                </c:pt>
                <c:pt idx="30">
                  <c:v>91.445039999999992</c:v>
                </c:pt>
                <c:pt idx="31">
                  <c:v>91.839600000000004</c:v>
                </c:pt>
                <c:pt idx="32">
                  <c:v>92.162520000000001</c:v>
                </c:pt>
                <c:pt idx="33">
                  <c:v>90.293760000000006</c:v>
                </c:pt>
                <c:pt idx="34">
                  <c:v>88.765200000000007</c:v>
                </c:pt>
                <c:pt idx="35">
                  <c:v>87.61572000000001</c:v>
                </c:pt>
                <c:pt idx="36">
                  <c:v>85.932000000000002</c:v>
                </c:pt>
                <c:pt idx="37">
                  <c:v>83.97072</c:v>
                </c:pt>
                <c:pt idx="38">
                  <c:v>82.161720000000003</c:v>
                </c:pt>
                <c:pt idx="39">
                  <c:v>80.02152000000001</c:v>
                </c:pt>
                <c:pt idx="40">
                  <c:v>78.461640000000003</c:v>
                </c:pt>
                <c:pt idx="41">
                  <c:v>77.52564000000001</c:v>
                </c:pt>
                <c:pt idx="42">
                  <c:v>76.909680000000009</c:v>
                </c:pt>
                <c:pt idx="43">
                  <c:v>78.005160000000004</c:v>
                </c:pt>
                <c:pt idx="44">
                  <c:v>78.950880000000012</c:v>
                </c:pt>
                <c:pt idx="45">
                  <c:v>80.712720000000004</c:v>
                </c:pt>
                <c:pt idx="46">
                  <c:v>82.89864</c:v>
                </c:pt>
                <c:pt idx="47">
                  <c:v>82.372320000000002</c:v>
                </c:pt>
                <c:pt idx="48">
                  <c:v>81.429479999999998</c:v>
                </c:pt>
                <c:pt idx="49">
                  <c:v>82.306080000000009</c:v>
                </c:pt>
                <c:pt idx="50">
                  <c:v>81.699119999999994</c:v>
                </c:pt>
                <c:pt idx="51">
                  <c:v>83.170079999999999</c:v>
                </c:pt>
                <c:pt idx="52">
                  <c:v>85.493160000000003</c:v>
                </c:pt>
                <c:pt idx="53">
                  <c:v>86.487120000000004</c:v>
                </c:pt>
                <c:pt idx="54">
                  <c:v>86.265360000000001</c:v>
                </c:pt>
                <c:pt idx="55">
                  <c:v>85.879800000000003</c:v>
                </c:pt>
                <c:pt idx="56">
                  <c:v>86.865120000000005</c:v>
                </c:pt>
                <c:pt idx="57">
                  <c:v>88.360559999999992</c:v>
                </c:pt>
                <c:pt idx="58">
                  <c:v>90.13427999999999</c:v>
                </c:pt>
                <c:pt idx="59">
                  <c:v>90.150120000000001</c:v>
                </c:pt>
                <c:pt idx="60">
                  <c:v>89.317080000000004</c:v>
                </c:pt>
                <c:pt idx="61">
                  <c:v>88.2774</c:v>
                </c:pt>
                <c:pt idx="62">
                  <c:v>87.464880000000008</c:v>
                </c:pt>
                <c:pt idx="63">
                  <c:v>87.81156</c:v>
                </c:pt>
                <c:pt idx="64">
                  <c:v>88.975439999999992</c:v>
                </c:pt>
                <c:pt idx="65">
                  <c:v>90.063720000000004</c:v>
                </c:pt>
                <c:pt idx="66">
                  <c:v>90.772919999999999</c:v>
                </c:pt>
                <c:pt idx="67">
                  <c:v>90.186840000000004</c:v>
                </c:pt>
                <c:pt idx="68">
                  <c:v>90.318240000000003</c:v>
                </c:pt>
                <c:pt idx="69">
                  <c:v>91.584000000000003</c:v>
                </c:pt>
                <c:pt idx="70">
                  <c:v>91.846800000000002</c:v>
                </c:pt>
                <c:pt idx="71">
                  <c:v>90.948599999999999</c:v>
                </c:pt>
                <c:pt idx="72">
                  <c:v>90.172079999999994</c:v>
                </c:pt>
                <c:pt idx="73">
                  <c:v>90.179280000000006</c:v>
                </c:pt>
                <c:pt idx="74">
                  <c:v>89.649720000000002</c:v>
                </c:pt>
                <c:pt idx="75">
                  <c:v>88.797960000000003</c:v>
                </c:pt>
                <c:pt idx="76">
                  <c:v>87.982559999999992</c:v>
                </c:pt>
                <c:pt idx="77">
                  <c:v>87.897240000000011</c:v>
                </c:pt>
                <c:pt idx="78">
                  <c:v>87.31331999999999</c:v>
                </c:pt>
                <c:pt idx="79">
                  <c:v>86.649840000000012</c:v>
                </c:pt>
                <c:pt idx="80">
                  <c:v>87.663600000000002</c:v>
                </c:pt>
                <c:pt idx="81">
                  <c:v>88.467120000000008</c:v>
                </c:pt>
                <c:pt idx="82">
                  <c:v>89.435879999999997</c:v>
                </c:pt>
                <c:pt idx="83">
                  <c:v>89.547840000000008</c:v>
                </c:pt>
                <c:pt idx="84">
                  <c:v>89.863200000000006</c:v>
                </c:pt>
                <c:pt idx="85">
                  <c:v>90.059400000000011</c:v>
                </c:pt>
                <c:pt idx="86">
                  <c:v>89.97120000000001</c:v>
                </c:pt>
                <c:pt idx="87">
                  <c:v>90.16704</c:v>
                </c:pt>
                <c:pt idx="88">
                  <c:v>91.506600000000006</c:v>
                </c:pt>
                <c:pt idx="89">
                  <c:v>92.129400000000004</c:v>
                </c:pt>
                <c:pt idx="90">
                  <c:v>91.11348000000001</c:v>
                </c:pt>
                <c:pt idx="91">
                  <c:v>89.69256</c:v>
                </c:pt>
                <c:pt idx="92">
                  <c:v>88.280640000000005</c:v>
                </c:pt>
                <c:pt idx="93">
                  <c:v>87.582599999999999</c:v>
                </c:pt>
                <c:pt idx="94">
                  <c:v>88.849440000000001</c:v>
                </c:pt>
                <c:pt idx="95">
                  <c:v>90.838080000000005</c:v>
                </c:pt>
                <c:pt idx="96">
                  <c:v>92.435400000000001</c:v>
                </c:pt>
                <c:pt idx="97">
                  <c:v>94.152240000000006</c:v>
                </c:pt>
                <c:pt idx="98">
                  <c:v>94.00500000000001</c:v>
                </c:pt>
                <c:pt idx="99">
                  <c:v>94.681080000000009</c:v>
                </c:pt>
                <c:pt idx="100">
                  <c:v>95.583240000000004</c:v>
                </c:pt>
                <c:pt idx="101">
                  <c:v>95.801400000000001</c:v>
                </c:pt>
                <c:pt idx="102">
                  <c:v>95.424840000000003</c:v>
                </c:pt>
                <c:pt idx="103">
                  <c:v>95.565600000000003</c:v>
                </c:pt>
                <c:pt idx="104">
                  <c:v>95.896800000000013</c:v>
                </c:pt>
                <c:pt idx="105">
                  <c:v>95.118120000000005</c:v>
                </c:pt>
                <c:pt idx="106">
                  <c:v>96.045480000000012</c:v>
                </c:pt>
                <c:pt idx="107">
                  <c:v>96.914519999999996</c:v>
                </c:pt>
                <c:pt idx="108">
                  <c:v>95.860080000000011</c:v>
                </c:pt>
                <c:pt idx="109">
                  <c:v>94.307040000000001</c:v>
                </c:pt>
                <c:pt idx="110">
                  <c:v>92.690280000000001</c:v>
                </c:pt>
                <c:pt idx="111">
                  <c:v>90.620280000000008</c:v>
                </c:pt>
                <c:pt idx="112">
                  <c:v>89.488440000000011</c:v>
                </c:pt>
                <c:pt idx="113">
                  <c:v>89.82</c:v>
                </c:pt>
                <c:pt idx="114">
                  <c:v>89.930520000000001</c:v>
                </c:pt>
                <c:pt idx="115">
                  <c:v>89.587800000000001</c:v>
                </c:pt>
                <c:pt idx="116">
                  <c:v>89.098200000000006</c:v>
                </c:pt>
                <c:pt idx="117">
                  <c:v>89.809200000000004</c:v>
                </c:pt>
                <c:pt idx="118">
                  <c:v>89.416800000000009</c:v>
                </c:pt>
                <c:pt idx="119">
                  <c:v>88.664040000000014</c:v>
                </c:pt>
                <c:pt idx="120">
                  <c:v>87.772679999999994</c:v>
                </c:pt>
                <c:pt idx="121">
                  <c:v>85.740120000000005</c:v>
                </c:pt>
                <c:pt idx="122">
                  <c:v>83.989800000000002</c:v>
                </c:pt>
                <c:pt idx="123">
                  <c:v>83.604240000000004</c:v>
                </c:pt>
                <c:pt idx="124">
                  <c:v>85.052160000000001</c:v>
                </c:pt>
                <c:pt idx="125">
                  <c:v>87.046559999999999</c:v>
                </c:pt>
                <c:pt idx="126">
                  <c:v>87.564959999999999</c:v>
                </c:pt>
                <c:pt idx="127">
                  <c:v>87.768720000000002</c:v>
                </c:pt>
                <c:pt idx="128">
                  <c:v>87.82056</c:v>
                </c:pt>
                <c:pt idx="129">
                  <c:v>85.307400000000001</c:v>
                </c:pt>
                <c:pt idx="130">
                  <c:v>83.90664000000001</c:v>
                </c:pt>
                <c:pt idx="131">
                  <c:v>83.456280000000007</c:v>
                </c:pt>
                <c:pt idx="132">
                  <c:v>84.601079999999996</c:v>
                </c:pt>
                <c:pt idx="133">
                  <c:v>84.188519999999997</c:v>
                </c:pt>
                <c:pt idx="134">
                  <c:v>84.574439999999996</c:v>
                </c:pt>
                <c:pt idx="135">
                  <c:v>85.229640000000003</c:v>
                </c:pt>
                <c:pt idx="136">
                  <c:v>84.650040000000004</c:v>
                </c:pt>
                <c:pt idx="137">
                  <c:v>84.259799999999998</c:v>
                </c:pt>
                <c:pt idx="138">
                  <c:v>85.777200000000008</c:v>
                </c:pt>
                <c:pt idx="139">
                  <c:v>87.781320000000008</c:v>
                </c:pt>
                <c:pt idx="140">
                  <c:v>89.986680000000007</c:v>
                </c:pt>
                <c:pt idx="141">
                  <c:v>92.057040000000001</c:v>
                </c:pt>
                <c:pt idx="142">
                  <c:v>93.979079999999996</c:v>
                </c:pt>
                <c:pt idx="143">
                  <c:v>94.510440000000003</c:v>
                </c:pt>
                <c:pt idx="144">
                  <c:v>94.84920000000001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E4-451A-B632-AC9836F8A207}"/>
            </c:ext>
          </c:extLst>
        </c:ser>
        <c:ser>
          <c:idx val="0"/>
          <c:order val="1"/>
          <c:tx>
            <c:strRef>
              <c:f>回归!$J$2</c:f>
              <c:strCache>
                <c:ptCount val="1"/>
                <c:pt idx="0">
                  <c:v>实际路线规划车速</c:v>
                </c:pt>
              </c:strCache>
            </c:strRef>
          </c:tx>
          <c:spPr>
            <a:ln w="28575" cap="rnd">
              <a:solidFill>
                <a:srgbClr val="F3764A"/>
              </a:solidFill>
              <a:round/>
            </a:ln>
            <a:effectLst/>
          </c:spPr>
          <c:marker>
            <c:symbol val="none"/>
          </c:marker>
          <c:cat>
            <c:numRef>
              <c:f>回归!$A$3:$A$147</c:f>
              <c:numCache>
                <c:formatCode>General</c:formatCode>
                <c:ptCount val="14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  <c:pt idx="101">
                  <c:v>2525</c:v>
                </c:pt>
                <c:pt idx="102">
                  <c:v>2550</c:v>
                </c:pt>
                <c:pt idx="103">
                  <c:v>2575</c:v>
                </c:pt>
                <c:pt idx="104">
                  <c:v>2600</c:v>
                </c:pt>
                <c:pt idx="105">
                  <c:v>2625</c:v>
                </c:pt>
                <c:pt idx="106">
                  <c:v>2650</c:v>
                </c:pt>
                <c:pt idx="107">
                  <c:v>2675</c:v>
                </c:pt>
                <c:pt idx="108">
                  <c:v>2700</c:v>
                </c:pt>
                <c:pt idx="109">
                  <c:v>2725</c:v>
                </c:pt>
                <c:pt idx="110">
                  <c:v>2750</c:v>
                </c:pt>
                <c:pt idx="111">
                  <c:v>2775</c:v>
                </c:pt>
                <c:pt idx="112">
                  <c:v>2800</c:v>
                </c:pt>
                <c:pt idx="113">
                  <c:v>2825</c:v>
                </c:pt>
                <c:pt idx="114">
                  <c:v>2850</c:v>
                </c:pt>
                <c:pt idx="115">
                  <c:v>2875</c:v>
                </c:pt>
                <c:pt idx="116">
                  <c:v>2900</c:v>
                </c:pt>
                <c:pt idx="117">
                  <c:v>2925</c:v>
                </c:pt>
                <c:pt idx="118">
                  <c:v>2950</c:v>
                </c:pt>
                <c:pt idx="119">
                  <c:v>2975</c:v>
                </c:pt>
                <c:pt idx="120">
                  <c:v>3000</c:v>
                </c:pt>
                <c:pt idx="121">
                  <c:v>3025</c:v>
                </c:pt>
                <c:pt idx="122">
                  <c:v>3050</c:v>
                </c:pt>
                <c:pt idx="123">
                  <c:v>3075</c:v>
                </c:pt>
                <c:pt idx="124">
                  <c:v>3100</c:v>
                </c:pt>
                <c:pt idx="125">
                  <c:v>3125</c:v>
                </c:pt>
                <c:pt idx="126">
                  <c:v>3150</c:v>
                </c:pt>
                <c:pt idx="127">
                  <c:v>3175</c:v>
                </c:pt>
                <c:pt idx="128">
                  <c:v>3200</c:v>
                </c:pt>
                <c:pt idx="129">
                  <c:v>3225</c:v>
                </c:pt>
                <c:pt idx="130">
                  <c:v>3250</c:v>
                </c:pt>
                <c:pt idx="131">
                  <c:v>3275</c:v>
                </c:pt>
                <c:pt idx="132">
                  <c:v>3300</c:v>
                </c:pt>
                <c:pt idx="133">
                  <c:v>3325</c:v>
                </c:pt>
                <c:pt idx="134">
                  <c:v>3350</c:v>
                </c:pt>
                <c:pt idx="135">
                  <c:v>3375</c:v>
                </c:pt>
                <c:pt idx="136">
                  <c:v>3400</c:v>
                </c:pt>
                <c:pt idx="137">
                  <c:v>3425</c:v>
                </c:pt>
                <c:pt idx="138">
                  <c:v>3450</c:v>
                </c:pt>
                <c:pt idx="139">
                  <c:v>3475</c:v>
                </c:pt>
                <c:pt idx="140">
                  <c:v>3500</c:v>
                </c:pt>
                <c:pt idx="141">
                  <c:v>3525</c:v>
                </c:pt>
                <c:pt idx="142">
                  <c:v>3550</c:v>
                </c:pt>
                <c:pt idx="143">
                  <c:v>3575</c:v>
                </c:pt>
                <c:pt idx="144">
                  <c:v>3600</c:v>
                </c:pt>
              </c:numCache>
            </c:numRef>
          </c:cat>
          <c:val>
            <c:numRef>
              <c:f>回归!$J$3:$J$147</c:f>
              <c:numCache>
                <c:formatCode>General</c:formatCode>
                <c:ptCount val="145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  <c:pt idx="14">
                  <c:v>90</c:v>
                </c:pt>
                <c:pt idx="15">
                  <c:v>90</c:v>
                </c:pt>
                <c:pt idx="16">
                  <c:v>90</c:v>
                </c:pt>
                <c:pt idx="17">
                  <c:v>90</c:v>
                </c:pt>
                <c:pt idx="18">
                  <c:v>90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90</c:v>
                </c:pt>
                <c:pt idx="23">
                  <c:v>90</c:v>
                </c:pt>
                <c:pt idx="24">
                  <c:v>90</c:v>
                </c:pt>
                <c:pt idx="25">
                  <c:v>90</c:v>
                </c:pt>
                <c:pt idx="26">
                  <c:v>90</c:v>
                </c:pt>
                <c:pt idx="27">
                  <c:v>90</c:v>
                </c:pt>
                <c:pt idx="28">
                  <c:v>90</c:v>
                </c:pt>
                <c:pt idx="29">
                  <c:v>90</c:v>
                </c:pt>
                <c:pt idx="30">
                  <c:v>90</c:v>
                </c:pt>
                <c:pt idx="31">
                  <c:v>90</c:v>
                </c:pt>
                <c:pt idx="32">
                  <c:v>90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  <c:pt idx="36">
                  <c:v>90</c:v>
                </c:pt>
                <c:pt idx="37">
                  <c:v>90</c:v>
                </c:pt>
                <c:pt idx="38">
                  <c:v>90</c:v>
                </c:pt>
                <c:pt idx="39">
                  <c:v>90</c:v>
                </c:pt>
                <c:pt idx="40">
                  <c:v>90</c:v>
                </c:pt>
                <c:pt idx="41">
                  <c:v>90</c:v>
                </c:pt>
                <c:pt idx="42">
                  <c:v>90</c:v>
                </c:pt>
                <c:pt idx="43">
                  <c:v>90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90</c:v>
                </c:pt>
                <c:pt idx="49">
                  <c:v>90</c:v>
                </c:pt>
                <c:pt idx="50">
                  <c:v>90</c:v>
                </c:pt>
                <c:pt idx="51">
                  <c:v>90</c:v>
                </c:pt>
                <c:pt idx="52">
                  <c:v>90</c:v>
                </c:pt>
                <c:pt idx="53">
                  <c:v>90.360000000000014</c:v>
                </c:pt>
                <c:pt idx="54">
                  <c:v>90.72</c:v>
                </c:pt>
                <c:pt idx="55">
                  <c:v>91.08</c:v>
                </c:pt>
                <c:pt idx="56">
                  <c:v>91.44</c:v>
                </c:pt>
                <c:pt idx="57">
                  <c:v>91.8</c:v>
                </c:pt>
                <c:pt idx="58">
                  <c:v>92.160000000000011</c:v>
                </c:pt>
                <c:pt idx="59">
                  <c:v>92.52</c:v>
                </c:pt>
                <c:pt idx="60">
                  <c:v>92.88000000000001</c:v>
                </c:pt>
                <c:pt idx="61">
                  <c:v>93.600000000000009</c:v>
                </c:pt>
                <c:pt idx="62">
                  <c:v>93.960000000000008</c:v>
                </c:pt>
                <c:pt idx="63">
                  <c:v>94.68</c:v>
                </c:pt>
                <c:pt idx="64">
                  <c:v>95.4</c:v>
                </c:pt>
                <c:pt idx="65">
                  <c:v>96.12</c:v>
                </c:pt>
                <c:pt idx="66">
                  <c:v>96.48</c:v>
                </c:pt>
                <c:pt idx="67">
                  <c:v>96.84</c:v>
                </c:pt>
                <c:pt idx="68">
                  <c:v>97.2</c:v>
                </c:pt>
                <c:pt idx="69">
                  <c:v>97.56</c:v>
                </c:pt>
                <c:pt idx="70">
                  <c:v>97.92</c:v>
                </c:pt>
                <c:pt idx="71">
                  <c:v>98.28</c:v>
                </c:pt>
                <c:pt idx="72">
                  <c:v>98.64</c:v>
                </c:pt>
                <c:pt idx="73">
                  <c:v>99</c:v>
                </c:pt>
                <c:pt idx="74">
                  <c:v>99.360000000000014</c:v>
                </c:pt>
                <c:pt idx="75">
                  <c:v>99.72</c:v>
                </c:pt>
                <c:pt idx="76">
                  <c:v>100.00800000000001</c:v>
                </c:pt>
                <c:pt idx="77">
                  <c:v>100.00800000000001</c:v>
                </c:pt>
                <c:pt idx="78">
                  <c:v>100.00800000000001</c:v>
                </c:pt>
                <c:pt idx="79">
                  <c:v>100.00800000000001</c:v>
                </c:pt>
                <c:pt idx="80">
                  <c:v>100.00800000000001</c:v>
                </c:pt>
                <c:pt idx="81">
                  <c:v>100.00800000000001</c:v>
                </c:pt>
                <c:pt idx="82">
                  <c:v>100.00800000000001</c:v>
                </c:pt>
                <c:pt idx="83">
                  <c:v>100.00800000000001</c:v>
                </c:pt>
                <c:pt idx="84">
                  <c:v>99.72</c:v>
                </c:pt>
                <c:pt idx="85">
                  <c:v>99.360000000000014</c:v>
                </c:pt>
                <c:pt idx="86">
                  <c:v>99</c:v>
                </c:pt>
                <c:pt idx="87">
                  <c:v>98.64</c:v>
                </c:pt>
                <c:pt idx="88">
                  <c:v>98.28</c:v>
                </c:pt>
                <c:pt idx="89">
                  <c:v>97.92</c:v>
                </c:pt>
                <c:pt idx="90">
                  <c:v>97.56</c:v>
                </c:pt>
                <c:pt idx="91">
                  <c:v>97.2</c:v>
                </c:pt>
                <c:pt idx="92">
                  <c:v>96.84</c:v>
                </c:pt>
                <c:pt idx="93">
                  <c:v>96.48</c:v>
                </c:pt>
                <c:pt idx="94">
                  <c:v>96.12</c:v>
                </c:pt>
                <c:pt idx="95">
                  <c:v>95.76</c:v>
                </c:pt>
                <c:pt idx="96">
                  <c:v>95.4</c:v>
                </c:pt>
                <c:pt idx="97">
                  <c:v>94.68</c:v>
                </c:pt>
                <c:pt idx="98">
                  <c:v>93.960000000000008</c:v>
                </c:pt>
                <c:pt idx="99">
                  <c:v>93.600000000000009</c:v>
                </c:pt>
                <c:pt idx="100">
                  <c:v>93.24</c:v>
                </c:pt>
                <c:pt idx="101">
                  <c:v>92.88000000000001</c:v>
                </c:pt>
                <c:pt idx="102">
                  <c:v>92.52</c:v>
                </c:pt>
                <c:pt idx="103">
                  <c:v>92.160000000000011</c:v>
                </c:pt>
                <c:pt idx="104">
                  <c:v>91.8</c:v>
                </c:pt>
                <c:pt idx="105">
                  <c:v>91.44</c:v>
                </c:pt>
                <c:pt idx="106">
                  <c:v>91.08</c:v>
                </c:pt>
                <c:pt idx="107">
                  <c:v>90.72</c:v>
                </c:pt>
                <c:pt idx="108">
                  <c:v>90.360000000000014</c:v>
                </c:pt>
                <c:pt idx="109">
                  <c:v>90</c:v>
                </c:pt>
                <c:pt idx="110">
                  <c:v>90</c:v>
                </c:pt>
                <c:pt idx="111">
                  <c:v>90</c:v>
                </c:pt>
                <c:pt idx="112">
                  <c:v>90</c:v>
                </c:pt>
                <c:pt idx="113">
                  <c:v>90</c:v>
                </c:pt>
                <c:pt idx="114">
                  <c:v>90</c:v>
                </c:pt>
                <c:pt idx="115">
                  <c:v>90</c:v>
                </c:pt>
                <c:pt idx="116">
                  <c:v>90</c:v>
                </c:pt>
                <c:pt idx="117">
                  <c:v>90</c:v>
                </c:pt>
                <c:pt idx="118">
                  <c:v>90</c:v>
                </c:pt>
                <c:pt idx="119">
                  <c:v>90</c:v>
                </c:pt>
                <c:pt idx="120">
                  <c:v>90</c:v>
                </c:pt>
                <c:pt idx="121">
                  <c:v>90</c:v>
                </c:pt>
                <c:pt idx="122">
                  <c:v>90</c:v>
                </c:pt>
                <c:pt idx="123">
                  <c:v>90.360000000000014</c:v>
                </c:pt>
                <c:pt idx="124">
                  <c:v>90.360000000000014</c:v>
                </c:pt>
                <c:pt idx="125">
                  <c:v>90.72</c:v>
                </c:pt>
                <c:pt idx="126">
                  <c:v>91.08</c:v>
                </c:pt>
                <c:pt idx="127">
                  <c:v>91.08</c:v>
                </c:pt>
                <c:pt idx="128">
                  <c:v>91.08</c:v>
                </c:pt>
                <c:pt idx="129">
                  <c:v>91.08</c:v>
                </c:pt>
                <c:pt idx="130">
                  <c:v>91.08</c:v>
                </c:pt>
                <c:pt idx="131">
                  <c:v>91.08</c:v>
                </c:pt>
                <c:pt idx="132">
                  <c:v>91.08</c:v>
                </c:pt>
                <c:pt idx="133">
                  <c:v>91.08</c:v>
                </c:pt>
                <c:pt idx="134">
                  <c:v>91.08</c:v>
                </c:pt>
                <c:pt idx="135">
                  <c:v>91.08</c:v>
                </c:pt>
                <c:pt idx="136">
                  <c:v>91.08</c:v>
                </c:pt>
                <c:pt idx="137">
                  <c:v>91.08</c:v>
                </c:pt>
                <c:pt idx="138">
                  <c:v>91.08</c:v>
                </c:pt>
                <c:pt idx="139">
                  <c:v>91.08</c:v>
                </c:pt>
                <c:pt idx="140">
                  <c:v>91.08</c:v>
                </c:pt>
                <c:pt idx="141">
                  <c:v>91.08</c:v>
                </c:pt>
                <c:pt idx="142">
                  <c:v>90.72</c:v>
                </c:pt>
                <c:pt idx="143">
                  <c:v>90.360000000000014</c:v>
                </c:pt>
                <c:pt idx="144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E4-451A-B632-AC9836F8A207}"/>
            </c:ext>
          </c:extLst>
        </c:ser>
        <c:ser>
          <c:idx val="1"/>
          <c:order val="2"/>
          <c:tx>
            <c:strRef>
              <c:f>回归!$K$2</c:f>
              <c:strCache>
                <c:ptCount val="1"/>
                <c:pt idx="0">
                  <c:v>单弧路线规划车速</c:v>
                </c:pt>
              </c:strCache>
            </c:strRef>
          </c:tx>
          <c:spPr>
            <a:ln w="28575" cap="rnd">
              <a:solidFill>
                <a:srgbClr val="FAC00F"/>
              </a:solidFill>
              <a:round/>
            </a:ln>
            <a:effectLst/>
          </c:spPr>
          <c:marker>
            <c:symbol val="none"/>
          </c:marker>
          <c:cat>
            <c:numRef>
              <c:f>回归!$A$3:$A$147</c:f>
              <c:numCache>
                <c:formatCode>General</c:formatCode>
                <c:ptCount val="14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  <c:pt idx="101">
                  <c:v>2525</c:v>
                </c:pt>
                <c:pt idx="102">
                  <c:v>2550</c:v>
                </c:pt>
                <c:pt idx="103">
                  <c:v>2575</c:v>
                </c:pt>
                <c:pt idx="104">
                  <c:v>2600</c:v>
                </c:pt>
                <c:pt idx="105">
                  <c:v>2625</c:v>
                </c:pt>
                <c:pt idx="106">
                  <c:v>2650</c:v>
                </c:pt>
                <c:pt idx="107">
                  <c:v>2675</c:v>
                </c:pt>
                <c:pt idx="108">
                  <c:v>2700</c:v>
                </c:pt>
                <c:pt idx="109">
                  <c:v>2725</c:v>
                </c:pt>
                <c:pt idx="110">
                  <c:v>2750</c:v>
                </c:pt>
                <c:pt idx="111">
                  <c:v>2775</c:v>
                </c:pt>
                <c:pt idx="112">
                  <c:v>2800</c:v>
                </c:pt>
                <c:pt idx="113">
                  <c:v>2825</c:v>
                </c:pt>
                <c:pt idx="114">
                  <c:v>2850</c:v>
                </c:pt>
                <c:pt idx="115">
                  <c:v>2875</c:v>
                </c:pt>
                <c:pt idx="116">
                  <c:v>2900</c:v>
                </c:pt>
                <c:pt idx="117">
                  <c:v>2925</c:v>
                </c:pt>
                <c:pt idx="118">
                  <c:v>2950</c:v>
                </c:pt>
                <c:pt idx="119">
                  <c:v>2975</c:v>
                </c:pt>
                <c:pt idx="120">
                  <c:v>3000</c:v>
                </c:pt>
                <c:pt idx="121">
                  <c:v>3025</c:v>
                </c:pt>
                <c:pt idx="122">
                  <c:v>3050</c:v>
                </c:pt>
                <c:pt idx="123">
                  <c:v>3075</c:v>
                </c:pt>
                <c:pt idx="124">
                  <c:v>3100</c:v>
                </c:pt>
                <c:pt idx="125">
                  <c:v>3125</c:v>
                </c:pt>
                <c:pt idx="126">
                  <c:v>3150</c:v>
                </c:pt>
                <c:pt idx="127">
                  <c:v>3175</c:v>
                </c:pt>
                <c:pt idx="128">
                  <c:v>3200</c:v>
                </c:pt>
                <c:pt idx="129">
                  <c:v>3225</c:v>
                </c:pt>
                <c:pt idx="130">
                  <c:v>3250</c:v>
                </c:pt>
                <c:pt idx="131">
                  <c:v>3275</c:v>
                </c:pt>
                <c:pt idx="132">
                  <c:v>3300</c:v>
                </c:pt>
                <c:pt idx="133">
                  <c:v>3325</c:v>
                </c:pt>
                <c:pt idx="134">
                  <c:v>3350</c:v>
                </c:pt>
                <c:pt idx="135">
                  <c:v>3375</c:v>
                </c:pt>
                <c:pt idx="136">
                  <c:v>3400</c:v>
                </c:pt>
                <c:pt idx="137">
                  <c:v>3425</c:v>
                </c:pt>
                <c:pt idx="138">
                  <c:v>3450</c:v>
                </c:pt>
                <c:pt idx="139">
                  <c:v>3475</c:v>
                </c:pt>
                <c:pt idx="140">
                  <c:v>3500</c:v>
                </c:pt>
                <c:pt idx="141">
                  <c:v>3525</c:v>
                </c:pt>
                <c:pt idx="142">
                  <c:v>3550</c:v>
                </c:pt>
                <c:pt idx="143">
                  <c:v>3575</c:v>
                </c:pt>
                <c:pt idx="144">
                  <c:v>3600</c:v>
                </c:pt>
              </c:numCache>
            </c:numRef>
          </c:cat>
          <c:val>
            <c:numRef>
              <c:f>回归!$K$3:$K$147</c:f>
              <c:numCache>
                <c:formatCode>General</c:formatCode>
                <c:ptCount val="145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  <c:pt idx="14">
                  <c:v>90</c:v>
                </c:pt>
                <c:pt idx="15">
                  <c:v>90</c:v>
                </c:pt>
                <c:pt idx="16">
                  <c:v>90</c:v>
                </c:pt>
                <c:pt idx="17">
                  <c:v>90</c:v>
                </c:pt>
                <c:pt idx="18">
                  <c:v>90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90</c:v>
                </c:pt>
                <c:pt idx="23">
                  <c:v>90</c:v>
                </c:pt>
                <c:pt idx="24">
                  <c:v>90</c:v>
                </c:pt>
                <c:pt idx="25">
                  <c:v>90</c:v>
                </c:pt>
                <c:pt idx="26">
                  <c:v>90</c:v>
                </c:pt>
                <c:pt idx="27">
                  <c:v>90</c:v>
                </c:pt>
                <c:pt idx="28">
                  <c:v>90</c:v>
                </c:pt>
                <c:pt idx="29">
                  <c:v>90</c:v>
                </c:pt>
                <c:pt idx="30">
                  <c:v>90</c:v>
                </c:pt>
                <c:pt idx="31">
                  <c:v>90</c:v>
                </c:pt>
                <c:pt idx="32">
                  <c:v>90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  <c:pt idx="36">
                  <c:v>90</c:v>
                </c:pt>
                <c:pt idx="37">
                  <c:v>90</c:v>
                </c:pt>
                <c:pt idx="38">
                  <c:v>90</c:v>
                </c:pt>
                <c:pt idx="39">
                  <c:v>90</c:v>
                </c:pt>
                <c:pt idx="40">
                  <c:v>90</c:v>
                </c:pt>
                <c:pt idx="41">
                  <c:v>90</c:v>
                </c:pt>
                <c:pt idx="42">
                  <c:v>90</c:v>
                </c:pt>
                <c:pt idx="43">
                  <c:v>90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90</c:v>
                </c:pt>
                <c:pt idx="49">
                  <c:v>90</c:v>
                </c:pt>
                <c:pt idx="50">
                  <c:v>90</c:v>
                </c:pt>
                <c:pt idx="51">
                  <c:v>90</c:v>
                </c:pt>
                <c:pt idx="52">
                  <c:v>90</c:v>
                </c:pt>
                <c:pt idx="53">
                  <c:v>90</c:v>
                </c:pt>
                <c:pt idx="54">
                  <c:v>90</c:v>
                </c:pt>
                <c:pt idx="55">
                  <c:v>90</c:v>
                </c:pt>
                <c:pt idx="56">
                  <c:v>90</c:v>
                </c:pt>
                <c:pt idx="57">
                  <c:v>90</c:v>
                </c:pt>
                <c:pt idx="58">
                  <c:v>90</c:v>
                </c:pt>
                <c:pt idx="59">
                  <c:v>90</c:v>
                </c:pt>
                <c:pt idx="60">
                  <c:v>90</c:v>
                </c:pt>
                <c:pt idx="61">
                  <c:v>90</c:v>
                </c:pt>
                <c:pt idx="62">
                  <c:v>90</c:v>
                </c:pt>
                <c:pt idx="63">
                  <c:v>90</c:v>
                </c:pt>
                <c:pt idx="64">
                  <c:v>90</c:v>
                </c:pt>
                <c:pt idx="65">
                  <c:v>90</c:v>
                </c:pt>
                <c:pt idx="66">
                  <c:v>90</c:v>
                </c:pt>
                <c:pt idx="67">
                  <c:v>90</c:v>
                </c:pt>
                <c:pt idx="68">
                  <c:v>90</c:v>
                </c:pt>
                <c:pt idx="69">
                  <c:v>90</c:v>
                </c:pt>
                <c:pt idx="70">
                  <c:v>90</c:v>
                </c:pt>
                <c:pt idx="71">
                  <c:v>90</c:v>
                </c:pt>
                <c:pt idx="72">
                  <c:v>90</c:v>
                </c:pt>
                <c:pt idx="73">
                  <c:v>90</c:v>
                </c:pt>
                <c:pt idx="74">
                  <c:v>90</c:v>
                </c:pt>
                <c:pt idx="75">
                  <c:v>90</c:v>
                </c:pt>
                <c:pt idx="76">
                  <c:v>90</c:v>
                </c:pt>
                <c:pt idx="77">
                  <c:v>90</c:v>
                </c:pt>
                <c:pt idx="78">
                  <c:v>90</c:v>
                </c:pt>
                <c:pt idx="79">
                  <c:v>90</c:v>
                </c:pt>
                <c:pt idx="80">
                  <c:v>90</c:v>
                </c:pt>
                <c:pt idx="81">
                  <c:v>90</c:v>
                </c:pt>
                <c:pt idx="82">
                  <c:v>90</c:v>
                </c:pt>
                <c:pt idx="83">
                  <c:v>90</c:v>
                </c:pt>
                <c:pt idx="84">
                  <c:v>90</c:v>
                </c:pt>
                <c:pt idx="85">
                  <c:v>90</c:v>
                </c:pt>
                <c:pt idx="86">
                  <c:v>90</c:v>
                </c:pt>
                <c:pt idx="87">
                  <c:v>90</c:v>
                </c:pt>
                <c:pt idx="88">
                  <c:v>90</c:v>
                </c:pt>
                <c:pt idx="89">
                  <c:v>90</c:v>
                </c:pt>
                <c:pt idx="90">
                  <c:v>90</c:v>
                </c:pt>
                <c:pt idx="91">
                  <c:v>90</c:v>
                </c:pt>
                <c:pt idx="92">
                  <c:v>90</c:v>
                </c:pt>
                <c:pt idx="93">
                  <c:v>90</c:v>
                </c:pt>
                <c:pt idx="94">
                  <c:v>90</c:v>
                </c:pt>
                <c:pt idx="95">
                  <c:v>90</c:v>
                </c:pt>
                <c:pt idx="96">
                  <c:v>90</c:v>
                </c:pt>
                <c:pt idx="97">
                  <c:v>90</c:v>
                </c:pt>
                <c:pt idx="98">
                  <c:v>90</c:v>
                </c:pt>
                <c:pt idx="99">
                  <c:v>90</c:v>
                </c:pt>
                <c:pt idx="100">
                  <c:v>90</c:v>
                </c:pt>
                <c:pt idx="101">
                  <c:v>90</c:v>
                </c:pt>
                <c:pt idx="102">
                  <c:v>90</c:v>
                </c:pt>
                <c:pt idx="103">
                  <c:v>90</c:v>
                </c:pt>
                <c:pt idx="104">
                  <c:v>90</c:v>
                </c:pt>
                <c:pt idx="105">
                  <c:v>90</c:v>
                </c:pt>
                <c:pt idx="106">
                  <c:v>90</c:v>
                </c:pt>
                <c:pt idx="107">
                  <c:v>90</c:v>
                </c:pt>
                <c:pt idx="108">
                  <c:v>90</c:v>
                </c:pt>
                <c:pt idx="109">
                  <c:v>90</c:v>
                </c:pt>
                <c:pt idx="110">
                  <c:v>90</c:v>
                </c:pt>
                <c:pt idx="111">
                  <c:v>90</c:v>
                </c:pt>
                <c:pt idx="112">
                  <c:v>90</c:v>
                </c:pt>
                <c:pt idx="113">
                  <c:v>90</c:v>
                </c:pt>
                <c:pt idx="114">
                  <c:v>90</c:v>
                </c:pt>
                <c:pt idx="115">
                  <c:v>90</c:v>
                </c:pt>
                <c:pt idx="116">
                  <c:v>90</c:v>
                </c:pt>
                <c:pt idx="117">
                  <c:v>90</c:v>
                </c:pt>
                <c:pt idx="118">
                  <c:v>90</c:v>
                </c:pt>
                <c:pt idx="119">
                  <c:v>90</c:v>
                </c:pt>
                <c:pt idx="120">
                  <c:v>90</c:v>
                </c:pt>
                <c:pt idx="121">
                  <c:v>90</c:v>
                </c:pt>
                <c:pt idx="122">
                  <c:v>90</c:v>
                </c:pt>
                <c:pt idx="123">
                  <c:v>90</c:v>
                </c:pt>
                <c:pt idx="124">
                  <c:v>90</c:v>
                </c:pt>
                <c:pt idx="125">
                  <c:v>90</c:v>
                </c:pt>
                <c:pt idx="126">
                  <c:v>90</c:v>
                </c:pt>
                <c:pt idx="127">
                  <c:v>90</c:v>
                </c:pt>
                <c:pt idx="128">
                  <c:v>90</c:v>
                </c:pt>
                <c:pt idx="129">
                  <c:v>90</c:v>
                </c:pt>
                <c:pt idx="130">
                  <c:v>90</c:v>
                </c:pt>
                <c:pt idx="131">
                  <c:v>90</c:v>
                </c:pt>
                <c:pt idx="132">
                  <c:v>90</c:v>
                </c:pt>
                <c:pt idx="133">
                  <c:v>90</c:v>
                </c:pt>
                <c:pt idx="134">
                  <c:v>90</c:v>
                </c:pt>
                <c:pt idx="135">
                  <c:v>90</c:v>
                </c:pt>
                <c:pt idx="136">
                  <c:v>90</c:v>
                </c:pt>
                <c:pt idx="137">
                  <c:v>90</c:v>
                </c:pt>
                <c:pt idx="138">
                  <c:v>90</c:v>
                </c:pt>
                <c:pt idx="139">
                  <c:v>90</c:v>
                </c:pt>
                <c:pt idx="140">
                  <c:v>90</c:v>
                </c:pt>
                <c:pt idx="141">
                  <c:v>90</c:v>
                </c:pt>
                <c:pt idx="142">
                  <c:v>90</c:v>
                </c:pt>
                <c:pt idx="143">
                  <c:v>90</c:v>
                </c:pt>
                <c:pt idx="144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E4-451A-B632-AC9836F8A207}"/>
            </c:ext>
          </c:extLst>
        </c:ser>
        <c:ser>
          <c:idx val="2"/>
          <c:order val="3"/>
          <c:tx>
            <c:strRef>
              <c:f>回归!$L$2</c:f>
              <c:strCache>
                <c:ptCount val="1"/>
                <c:pt idx="0">
                  <c:v>多弧路线规划车速</c:v>
                </c:pt>
              </c:strCache>
            </c:strRef>
          </c:tx>
          <c:spPr>
            <a:ln w="28575" cap="rnd">
              <a:solidFill>
                <a:srgbClr val="54AC75"/>
              </a:solidFill>
              <a:round/>
            </a:ln>
            <a:effectLst/>
          </c:spPr>
          <c:marker>
            <c:symbol val="none"/>
          </c:marker>
          <c:cat>
            <c:numRef>
              <c:f>回归!$A$3:$A$147</c:f>
              <c:numCache>
                <c:formatCode>General</c:formatCode>
                <c:ptCount val="14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  <c:pt idx="101">
                  <c:v>2525</c:v>
                </c:pt>
                <c:pt idx="102">
                  <c:v>2550</c:v>
                </c:pt>
                <c:pt idx="103">
                  <c:v>2575</c:v>
                </c:pt>
                <c:pt idx="104">
                  <c:v>2600</c:v>
                </c:pt>
                <c:pt idx="105">
                  <c:v>2625</c:v>
                </c:pt>
                <c:pt idx="106">
                  <c:v>2650</c:v>
                </c:pt>
                <c:pt idx="107">
                  <c:v>2675</c:v>
                </c:pt>
                <c:pt idx="108">
                  <c:v>2700</c:v>
                </c:pt>
                <c:pt idx="109">
                  <c:v>2725</c:v>
                </c:pt>
                <c:pt idx="110">
                  <c:v>2750</c:v>
                </c:pt>
                <c:pt idx="111">
                  <c:v>2775</c:v>
                </c:pt>
                <c:pt idx="112">
                  <c:v>2800</c:v>
                </c:pt>
                <c:pt idx="113">
                  <c:v>2825</c:v>
                </c:pt>
                <c:pt idx="114">
                  <c:v>2850</c:v>
                </c:pt>
                <c:pt idx="115">
                  <c:v>2875</c:v>
                </c:pt>
                <c:pt idx="116">
                  <c:v>2900</c:v>
                </c:pt>
                <c:pt idx="117">
                  <c:v>2925</c:v>
                </c:pt>
                <c:pt idx="118">
                  <c:v>2950</c:v>
                </c:pt>
                <c:pt idx="119">
                  <c:v>2975</c:v>
                </c:pt>
                <c:pt idx="120">
                  <c:v>3000</c:v>
                </c:pt>
                <c:pt idx="121">
                  <c:v>3025</c:v>
                </c:pt>
                <c:pt idx="122">
                  <c:v>3050</c:v>
                </c:pt>
                <c:pt idx="123">
                  <c:v>3075</c:v>
                </c:pt>
                <c:pt idx="124">
                  <c:v>3100</c:v>
                </c:pt>
                <c:pt idx="125">
                  <c:v>3125</c:v>
                </c:pt>
                <c:pt idx="126">
                  <c:v>3150</c:v>
                </c:pt>
                <c:pt idx="127">
                  <c:v>3175</c:v>
                </c:pt>
                <c:pt idx="128">
                  <c:v>3200</c:v>
                </c:pt>
                <c:pt idx="129">
                  <c:v>3225</c:v>
                </c:pt>
                <c:pt idx="130">
                  <c:v>3250</c:v>
                </c:pt>
                <c:pt idx="131">
                  <c:v>3275</c:v>
                </c:pt>
                <c:pt idx="132">
                  <c:v>3300</c:v>
                </c:pt>
                <c:pt idx="133">
                  <c:v>3325</c:v>
                </c:pt>
                <c:pt idx="134">
                  <c:v>3350</c:v>
                </c:pt>
                <c:pt idx="135">
                  <c:v>3375</c:v>
                </c:pt>
                <c:pt idx="136">
                  <c:v>3400</c:v>
                </c:pt>
                <c:pt idx="137">
                  <c:v>3425</c:v>
                </c:pt>
                <c:pt idx="138">
                  <c:v>3450</c:v>
                </c:pt>
                <c:pt idx="139">
                  <c:v>3475</c:v>
                </c:pt>
                <c:pt idx="140">
                  <c:v>3500</c:v>
                </c:pt>
                <c:pt idx="141">
                  <c:v>3525</c:v>
                </c:pt>
                <c:pt idx="142">
                  <c:v>3550</c:v>
                </c:pt>
                <c:pt idx="143">
                  <c:v>3575</c:v>
                </c:pt>
                <c:pt idx="144">
                  <c:v>3600</c:v>
                </c:pt>
              </c:numCache>
            </c:numRef>
          </c:cat>
          <c:val>
            <c:numRef>
              <c:f>回归!$L$3:$L$147</c:f>
              <c:numCache>
                <c:formatCode>General</c:formatCode>
                <c:ptCount val="145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  <c:pt idx="14">
                  <c:v>90</c:v>
                </c:pt>
                <c:pt idx="15">
                  <c:v>90</c:v>
                </c:pt>
                <c:pt idx="16">
                  <c:v>90.360000000000014</c:v>
                </c:pt>
                <c:pt idx="17">
                  <c:v>90.72</c:v>
                </c:pt>
                <c:pt idx="18">
                  <c:v>91.08</c:v>
                </c:pt>
                <c:pt idx="19">
                  <c:v>91.44</c:v>
                </c:pt>
                <c:pt idx="20">
                  <c:v>91.8</c:v>
                </c:pt>
                <c:pt idx="21">
                  <c:v>92.160000000000011</c:v>
                </c:pt>
                <c:pt idx="22">
                  <c:v>92.52</c:v>
                </c:pt>
                <c:pt idx="23">
                  <c:v>93.24</c:v>
                </c:pt>
                <c:pt idx="24">
                  <c:v>93.960000000000008</c:v>
                </c:pt>
                <c:pt idx="25">
                  <c:v>94.68</c:v>
                </c:pt>
                <c:pt idx="26">
                  <c:v>95.4</c:v>
                </c:pt>
                <c:pt idx="27">
                  <c:v>96.12</c:v>
                </c:pt>
                <c:pt idx="28">
                  <c:v>96.84</c:v>
                </c:pt>
                <c:pt idx="29">
                  <c:v>97.56</c:v>
                </c:pt>
                <c:pt idx="30">
                  <c:v>97.92</c:v>
                </c:pt>
                <c:pt idx="31">
                  <c:v>98.28</c:v>
                </c:pt>
                <c:pt idx="32">
                  <c:v>98.64</c:v>
                </c:pt>
                <c:pt idx="33">
                  <c:v>99</c:v>
                </c:pt>
                <c:pt idx="34">
                  <c:v>99.360000000000014</c:v>
                </c:pt>
                <c:pt idx="35">
                  <c:v>99.72</c:v>
                </c:pt>
                <c:pt idx="36">
                  <c:v>100.00800000000001</c:v>
                </c:pt>
                <c:pt idx="37">
                  <c:v>100.00800000000001</c:v>
                </c:pt>
                <c:pt idx="38">
                  <c:v>100.00800000000001</c:v>
                </c:pt>
                <c:pt idx="39">
                  <c:v>100.00800000000001</c:v>
                </c:pt>
                <c:pt idx="40">
                  <c:v>100.00800000000001</c:v>
                </c:pt>
                <c:pt idx="41">
                  <c:v>100.00800000000001</c:v>
                </c:pt>
                <c:pt idx="42">
                  <c:v>100.00800000000001</c:v>
                </c:pt>
                <c:pt idx="43">
                  <c:v>99.72</c:v>
                </c:pt>
                <c:pt idx="44">
                  <c:v>99.360000000000014</c:v>
                </c:pt>
                <c:pt idx="45">
                  <c:v>99</c:v>
                </c:pt>
                <c:pt idx="46">
                  <c:v>98.64</c:v>
                </c:pt>
                <c:pt idx="47">
                  <c:v>98.28</c:v>
                </c:pt>
                <c:pt idx="48">
                  <c:v>97.92</c:v>
                </c:pt>
                <c:pt idx="49">
                  <c:v>97.56</c:v>
                </c:pt>
                <c:pt idx="50">
                  <c:v>97.2</c:v>
                </c:pt>
                <c:pt idx="51">
                  <c:v>96.48</c:v>
                </c:pt>
                <c:pt idx="52">
                  <c:v>95.76</c:v>
                </c:pt>
                <c:pt idx="53">
                  <c:v>95.039999999999992</c:v>
                </c:pt>
                <c:pt idx="54">
                  <c:v>94.32</c:v>
                </c:pt>
                <c:pt idx="55">
                  <c:v>93.960000000000008</c:v>
                </c:pt>
                <c:pt idx="56">
                  <c:v>93.600000000000009</c:v>
                </c:pt>
                <c:pt idx="57">
                  <c:v>93.24</c:v>
                </c:pt>
                <c:pt idx="58">
                  <c:v>92.88000000000001</c:v>
                </c:pt>
                <c:pt idx="59">
                  <c:v>92.52</c:v>
                </c:pt>
                <c:pt idx="60">
                  <c:v>92.160000000000011</c:v>
                </c:pt>
                <c:pt idx="61">
                  <c:v>91.8</c:v>
                </c:pt>
                <c:pt idx="62">
                  <c:v>91.44</c:v>
                </c:pt>
                <c:pt idx="63">
                  <c:v>91.08</c:v>
                </c:pt>
                <c:pt idx="64">
                  <c:v>90.72</c:v>
                </c:pt>
                <c:pt idx="65">
                  <c:v>90.72</c:v>
                </c:pt>
                <c:pt idx="66">
                  <c:v>90.72</c:v>
                </c:pt>
                <c:pt idx="67">
                  <c:v>90.72</c:v>
                </c:pt>
                <c:pt idx="68">
                  <c:v>90.72</c:v>
                </c:pt>
                <c:pt idx="69">
                  <c:v>91.08</c:v>
                </c:pt>
                <c:pt idx="70">
                  <c:v>91.44</c:v>
                </c:pt>
                <c:pt idx="71">
                  <c:v>91.8</c:v>
                </c:pt>
                <c:pt idx="72">
                  <c:v>92.160000000000011</c:v>
                </c:pt>
                <c:pt idx="73">
                  <c:v>92.52</c:v>
                </c:pt>
                <c:pt idx="74">
                  <c:v>92.88000000000001</c:v>
                </c:pt>
                <c:pt idx="75">
                  <c:v>93.24</c:v>
                </c:pt>
                <c:pt idx="76">
                  <c:v>93.600000000000009</c:v>
                </c:pt>
                <c:pt idx="77">
                  <c:v>94.32</c:v>
                </c:pt>
                <c:pt idx="78">
                  <c:v>95.039999999999992</c:v>
                </c:pt>
                <c:pt idx="79">
                  <c:v>95.76</c:v>
                </c:pt>
                <c:pt idx="80">
                  <c:v>96.48</c:v>
                </c:pt>
                <c:pt idx="81">
                  <c:v>97.2</c:v>
                </c:pt>
                <c:pt idx="82">
                  <c:v>97.56</c:v>
                </c:pt>
                <c:pt idx="83">
                  <c:v>97.92</c:v>
                </c:pt>
                <c:pt idx="84">
                  <c:v>98.28</c:v>
                </c:pt>
                <c:pt idx="85">
                  <c:v>98.64</c:v>
                </c:pt>
                <c:pt idx="86">
                  <c:v>99</c:v>
                </c:pt>
                <c:pt idx="87">
                  <c:v>99.360000000000014</c:v>
                </c:pt>
                <c:pt idx="88">
                  <c:v>99.72</c:v>
                </c:pt>
                <c:pt idx="89">
                  <c:v>100.00800000000001</c:v>
                </c:pt>
                <c:pt idx="90">
                  <c:v>100.00800000000001</c:v>
                </c:pt>
                <c:pt idx="91">
                  <c:v>100.00800000000001</c:v>
                </c:pt>
                <c:pt idx="92">
                  <c:v>100.00800000000001</c:v>
                </c:pt>
                <c:pt idx="93">
                  <c:v>100.00800000000001</c:v>
                </c:pt>
                <c:pt idx="94">
                  <c:v>100.00800000000001</c:v>
                </c:pt>
                <c:pt idx="95">
                  <c:v>100.00800000000001</c:v>
                </c:pt>
                <c:pt idx="96">
                  <c:v>100.00800000000001</c:v>
                </c:pt>
                <c:pt idx="97">
                  <c:v>100.00800000000001</c:v>
                </c:pt>
                <c:pt idx="98">
                  <c:v>100.00800000000001</c:v>
                </c:pt>
                <c:pt idx="99">
                  <c:v>99.72</c:v>
                </c:pt>
                <c:pt idx="100">
                  <c:v>99.360000000000014</c:v>
                </c:pt>
                <c:pt idx="101">
                  <c:v>99</c:v>
                </c:pt>
                <c:pt idx="102">
                  <c:v>98.64</c:v>
                </c:pt>
                <c:pt idx="103">
                  <c:v>98.28</c:v>
                </c:pt>
                <c:pt idx="104">
                  <c:v>97.92</c:v>
                </c:pt>
                <c:pt idx="105">
                  <c:v>97.2</c:v>
                </c:pt>
                <c:pt idx="106">
                  <c:v>96.84</c:v>
                </c:pt>
                <c:pt idx="107">
                  <c:v>96.12</c:v>
                </c:pt>
                <c:pt idx="108">
                  <c:v>95.4</c:v>
                </c:pt>
                <c:pt idx="109">
                  <c:v>94.68</c:v>
                </c:pt>
                <c:pt idx="110">
                  <c:v>93.960000000000008</c:v>
                </c:pt>
                <c:pt idx="111">
                  <c:v>93.24</c:v>
                </c:pt>
                <c:pt idx="112">
                  <c:v>92.88000000000001</c:v>
                </c:pt>
                <c:pt idx="113">
                  <c:v>92.52</c:v>
                </c:pt>
                <c:pt idx="114">
                  <c:v>92.160000000000011</c:v>
                </c:pt>
                <c:pt idx="115">
                  <c:v>91.8</c:v>
                </c:pt>
                <c:pt idx="116">
                  <c:v>91.44</c:v>
                </c:pt>
                <c:pt idx="117">
                  <c:v>91.08</c:v>
                </c:pt>
                <c:pt idx="118">
                  <c:v>90.72</c:v>
                </c:pt>
                <c:pt idx="119">
                  <c:v>90.360000000000014</c:v>
                </c:pt>
                <c:pt idx="120">
                  <c:v>90</c:v>
                </c:pt>
                <c:pt idx="121">
                  <c:v>90</c:v>
                </c:pt>
                <c:pt idx="122">
                  <c:v>90</c:v>
                </c:pt>
                <c:pt idx="123">
                  <c:v>90</c:v>
                </c:pt>
                <c:pt idx="124">
                  <c:v>90</c:v>
                </c:pt>
                <c:pt idx="125">
                  <c:v>90</c:v>
                </c:pt>
                <c:pt idx="126">
                  <c:v>90</c:v>
                </c:pt>
                <c:pt idx="127">
                  <c:v>90</c:v>
                </c:pt>
                <c:pt idx="128">
                  <c:v>90</c:v>
                </c:pt>
                <c:pt idx="129">
                  <c:v>90</c:v>
                </c:pt>
                <c:pt idx="130">
                  <c:v>90</c:v>
                </c:pt>
                <c:pt idx="131">
                  <c:v>90</c:v>
                </c:pt>
                <c:pt idx="132">
                  <c:v>90</c:v>
                </c:pt>
                <c:pt idx="133">
                  <c:v>90</c:v>
                </c:pt>
                <c:pt idx="134">
                  <c:v>90</c:v>
                </c:pt>
                <c:pt idx="135">
                  <c:v>90</c:v>
                </c:pt>
                <c:pt idx="136">
                  <c:v>90</c:v>
                </c:pt>
                <c:pt idx="137">
                  <c:v>90</c:v>
                </c:pt>
                <c:pt idx="138">
                  <c:v>90</c:v>
                </c:pt>
                <c:pt idx="139">
                  <c:v>90</c:v>
                </c:pt>
                <c:pt idx="140">
                  <c:v>90</c:v>
                </c:pt>
                <c:pt idx="141">
                  <c:v>90</c:v>
                </c:pt>
                <c:pt idx="142">
                  <c:v>90</c:v>
                </c:pt>
                <c:pt idx="143">
                  <c:v>90</c:v>
                </c:pt>
                <c:pt idx="144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E4-451A-B632-AC9836F8A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4778784"/>
        <c:axId val="254777120"/>
      </c:lineChart>
      <c:catAx>
        <c:axId val="254778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/>
                  <a:t>距离（</a:t>
                </a:r>
                <a:r>
                  <a:rPr lang="en-US" altLang="zh-CN"/>
                  <a:t>m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254777120"/>
        <c:crosses val="autoZero"/>
        <c:auto val="1"/>
        <c:lblAlgn val="ctr"/>
        <c:lblOffset val="100"/>
        <c:tickLblSkip val="16"/>
        <c:tickMarkSkip val="16"/>
        <c:noMultiLvlLbl val="0"/>
      </c:catAx>
      <c:valAx>
        <c:axId val="254777120"/>
        <c:scaling>
          <c:orientation val="minMax"/>
          <c:max val="105"/>
          <c:min val="7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/>
                  <a:t>车速（</a:t>
                </a:r>
                <a:r>
                  <a:rPr lang="en-US" altLang="zh-CN"/>
                  <a:t>km/h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25477878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4440883190883194"/>
          <c:y val="0.53248429434550204"/>
          <c:w val="0.33858618233618237"/>
          <c:h val="0.281829250510352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 baseline="0">
          <a:solidFill>
            <a:schemeClr val="tx1"/>
          </a:solidFill>
          <a:latin typeface="Times New Roman" panose="02020603050405020304" pitchFamily="18" charset="0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508547008547006E-2"/>
          <c:y val="5.0925925925925923E-2"/>
          <c:w val="0.86553383190883193"/>
          <c:h val="0.77536818314377365"/>
        </c:manualLayout>
      </c:layout>
      <c:lineChart>
        <c:grouping val="standard"/>
        <c:varyColors val="0"/>
        <c:ser>
          <c:idx val="0"/>
          <c:order val="0"/>
          <c:tx>
            <c:strRef>
              <c:f>回归!$J$2</c:f>
              <c:strCache>
                <c:ptCount val="1"/>
                <c:pt idx="0">
                  <c:v>实际路线规划车速</c:v>
                </c:pt>
              </c:strCache>
            </c:strRef>
          </c:tx>
          <c:spPr>
            <a:ln w="28575" cap="rnd">
              <a:solidFill>
                <a:srgbClr val="81B8DF"/>
              </a:solidFill>
              <a:round/>
            </a:ln>
            <a:effectLst/>
          </c:spPr>
          <c:marker>
            <c:symbol val="none"/>
          </c:marker>
          <c:cat>
            <c:numRef>
              <c:f>回归!$A$3:$A$147</c:f>
              <c:numCache>
                <c:formatCode>General</c:formatCode>
                <c:ptCount val="14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  <c:pt idx="101">
                  <c:v>2525</c:v>
                </c:pt>
                <c:pt idx="102">
                  <c:v>2550</c:v>
                </c:pt>
                <c:pt idx="103">
                  <c:v>2575</c:v>
                </c:pt>
                <c:pt idx="104">
                  <c:v>2600</c:v>
                </c:pt>
                <c:pt idx="105">
                  <c:v>2625</c:v>
                </c:pt>
                <c:pt idx="106">
                  <c:v>2650</c:v>
                </c:pt>
                <c:pt idx="107">
                  <c:v>2675</c:v>
                </c:pt>
                <c:pt idx="108">
                  <c:v>2700</c:v>
                </c:pt>
                <c:pt idx="109">
                  <c:v>2725</c:v>
                </c:pt>
                <c:pt idx="110">
                  <c:v>2750</c:v>
                </c:pt>
                <c:pt idx="111">
                  <c:v>2775</c:v>
                </c:pt>
                <c:pt idx="112">
                  <c:v>2800</c:v>
                </c:pt>
                <c:pt idx="113">
                  <c:v>2825</c:v>
                </c:pt>
                <c:pt idx="114">
                  <c:v>2850</c:v>
                </c:pt>
                <c:pt idx="115">
                  <c:v>2875</c:v>
                </c:pt>
                <c:pt idx="116">
                  <c:v>2900</c:v>
                </c:pt>
                <c:pt idx="117">
                  <c:v>2925</c:v>
                </c:pt>
                <c:pt idx="118">
                  <c:v>2950</c:v>
                </c:pt>
                <c:pt idx="119">
                  <c:v>2975</c:v>
                </c:pt>
                <c:pt idx="120">
                  <c:v>3000</c:v>
                </c:pt>
                <c:pt idx="121">
                  <c:v>3025</c:v>
                </c:pt>
                <c:pt idx="122">
                  <c:v>3050</c:v>
                </c:pt>
                <c:pt idx="123">
                  <c:v>3075</c:v>
                </c:pt>
                <c:pt idx="124">
                  <c:v>3100</c:v>
                </c:pt>
                <c:pt idx="125">
                  <c:v>3125</c:v>
                </c:pt>
                <c:pt idx="126">
                  <c:v>3150</c:v>
                </c:pt>
                <c:pt idx="127">
                  <c:v>3175</c:v>
                </c:pt>
                <c:pt idx="128">
                  <c:v>3200</c:v>
                </c:pt>
                <c:pt idx="129">
                  <c:v>3225</c:v>
                </c:pt>
                <c:pt idx="130">
                  <c:v>3250</c:v>
                </c:pt>
                <c:pt idx="131">
                  <c:v>3275</c:v>
                </c:pt>
                <c:pt idx="132">
                  <c:v>3300</c:v>
                </c:pt>
                <c:pt idx="133">
                  <c:v>3325</c:v>
                </c:pt>
                <c:pt idx="134">
                  <c:v>3350</c:v>
                </c:pt>
                <c:pt idx="135">
                  <c:v>3375</c:v>
                </c:pt>
                <c:pt idx="136">
                  <c:v>3400</c:v>
                </c:pt>
                <c:pt idx="137">
                  <c:v>3425</c:v>
                </c:pt>
                <c:pt idx="138">
                  <c:v>3450</c:v>
                </c:pt>
                <c:pt idx="139">
                  <c:v>3475</c:v>
                </c:pt>
                <c:pt idx="140">
                  <c:v>3500</c:v>
                </c:pt>
                <c:pt idx="141">
                  <c:v>3525</c:v>
                </c:pt>
                <c:pt idx="142">
                  <c:v>3550</c:v>
                </c:pt>
                <c:pt idx="143">
                  <c:v>3575</c:v>
                </c:pt>
                <c:pt idx="144">
                  <c:v>3600</c:v>
                </c:pt>
              </c:numCache>
            </c:numRef>
          </c:cat>
          <c:val>
            <c:numRef>
              <c:f>回归!$J$3:$J$147</c:f>
              <c:numCache>
                <c:formatCode>General</c:formatCode>
                <c:ptCount val="145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  <c:pt idx="14">
                  <c:v>90</c:v>
                </c:pt>
                <c:pt idx="15">
                  <c:v>90</c:v>
                </c:pt>
                <c:pt idx="16">
                  <c:v>90</c:v>
                </c:pt>
                <c:pt idx="17">
                  <c:v>90</c:v>
                </c:pt>
                <c:pt idx="18">
                  <c:v>90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90</c:v>
                </c:pt>
                <c:pt idx="23">
                  <c:v>90</c:v>
                </c:pt>
                <c:pt idx="24">
                  <c:v>90</c:v>
                </c:pt>
                <c:pt idx="25">
                  <c:v>90</c:v>
                </c:pt>
                <c:pt idx="26">
                  <c:v>90</c:v>
                </c:pt>
                <c:pt idx="27">
                  <c:v>90</c:v>
                </c:pt>
                <c:pt idx="28">
                  <c:v>90</c:v>
                </c:pt>
                <c:pt idx="29">
                  <c:v>90</c:v>
                </c:pt>
                <c:pt idx="30">
                  <c:v>90</c:v>
                </c:pt>
                <c:pt idx="31">
                  <c:v>90</c:v>
                </c:pt>
                <c:pt idx="32">
                  <c:v>90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  <c:pt idx="36">
                  <c:v>90</c:v>
                </c:pt>
                <c:pt idx="37">
                  <c:v>90</c:v>
                </c:pt>
                <c:pt idx="38">
                  <c:v>90</c:v>
                </c:pt>
                <c:pt idx="39">
                  <c:v>90</c:v>
                </c:pt>
                <c:pt idx="40">
                  <c:v>90</c:v>
                </c:pt>
                <c:pt idx="41">
                  <c:v>90</c:v>
                </c:pt>
                <c:pt idx="42">
                  <c:v>90</c:v>
                </c:pt>
                <c:pt idx="43">
                  <c:v>90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90</c:v>
                </c:pt>
                <c:pt idx="49">
                  <c:v>90</c:v>
                </c:pt>
                <c:pt idx="50">
                  <c:v>90</c:v>
                </c:pt>
                <c:pt idx="51">
                  <c:v>90</c:v>
                </c:pt>
                <c:pt idx="52">
                  <c:v>90</c:v>
                </c:pt>
                <c:pt idx="53">
                  <c:v>90.360000000000014</c:v>
                </c:pt>
                <c:pt idx="54">
                  <c:v>90.72</c:v>
                </c:pt>
                <c:pt idx="55">
                  <c:v>91.08</c:v>
                </c:pt>
                <c:pt idx="56">
                  <c:v>91.44</c:v>
                </c:pt>
                <c:pt idx="57">
                  <c:v>91.8</c:v>
                </c:pt>
                <c:pt idx="58">
                  <c:v>92.160000000000011</c:v>
                </c:pt>
                <c:pt idx="59">
                  <c:v>92.52</c:v>
                </c:pt>
                <c:pt idx="60">
                  <c:v>92.88000000000001</c:v>
                </c:pt>
                <c:pt idx="61">
                  <c:v>93.600000000000009</c:v>
                </c:pt>
                <c:pt idx="62">
                  <c:v>93.960000000000008</c:v>
                </c:pt>
                <c:pt idx="63">
                  <c:v>94.68</c:v>
                </c:pt>
                <c:pt idx="64">
                  <c:v>95.4</c:v>
                </c:pt>
                <c:pt idx="65">
                  <c:v>96.12</c:v>
                </c:pt>
                <c:pt idx="66">
                  <c:v>96.48</c:v>
                </c:pt>
                <c:pt idx="67">
                  <c:v>96.84</c:v>
                </c:pt>
                <c:pt idx="68">
                  <c:v>97.2</c:v>
                </c:pt>
                <c:pt idx="69">
                  <c:v>97.56</c:v>
                </c:pt>
                <c:pt idx="70">
                  <c:v>97.92</c:v>
                </c:pt>
                <c:pt idx="71">
                  <c:v>98.28</c:v>
                </c:pt>
                <c:pt idx="72">
                  <c:v>98.64</c:v>
                </c:pt>
                <c:pt idx="73">
                  <c:v>99</c:v>
                </c:pt>
                <c:pt idx="74">
                  <c:v>99.360000000000014</c:v>
                </c:pt>
                <c:pt idx="75">
                  <c:v>99.72</c:v>
                </c:pt>
                <c:pt idx="76">
                  <c:v>100.00800000000001</c:v>
                </c:pt>
                <c:pt idx="77">
                  <c:v>100.00800000000001</c:v>
                </c:pt>
                <c:pt idx="78">
                  <c:v>100.00800000000001</c:v>
                </c:pt>
                <c:pt idx="79">
                  <c:v>100.00800000000001</c:v>
                </c:pt>
                <c:pt idx="80">
                  <c:v>100.00800000000001</c:v>
                </c:pt>
                <c:pt idx="81">
                  <c:v>100.00800000000001</c:v>
                </c:pt>
                <c:pt idx="82">
                  <c:v>100.00800000000001</c:v>
                </c:pt>
                <c:pt idx="83">
                  <c:v>100.00800000000001</c:v>
                </c:pt>
                <c:pt idx="84">
                  <c:v>99.72</c:v>
                </c:pt>
                <c:pt idx="85">
                  <c:v>99.360000000000014</c:v>
                </c:pt>
                <c:pt idx="86">
                  <c:v>99</c:v>
                </c:pt>
                <c:pt idx="87">
                  <c:v>98.64</c:v>
                </c:pt>
                <c:pt idx="88">
                  <c:v>98.28</c:v>
                </c:pt>
                <c:pt idx="89">
                  <c:v>97.92</c:v>
                </c:pt>
                <c:pt idx="90">
                  <c:v>97.56</c:v>
                </c:pt>
                <c:pt idx="91">
                  <c:v>97.2</c:v>
                </c:pt>
                <c:pt idx="92">
                  <c:v>96.84</c:v>
                </c:pt>
                <c:pt idx="93">
                  <c:v>96.48</c:v>
                </c:pt>
                <c:pt idx="94">
                  <c:v>96.12</c:v>
                </c:pt>
                <c:pt idx="95">
                  <c:v>95.76</c:v>
                </c:pt>
                <c:pt idx="96">
                  <c:v>95.4</c:v>
                </c:pt>
                <c:pt idx="97">
                  <c:v>94.68</c:v>
                </c:pt>
                <c:pt idx="98">
                  <c:v>93.960000000000008</c:v>
                </c:pt>
                <c:pt idx="99">
                  <c:v>93.600000000000009</c:v>
                </c:pt>
                <c:pt idx="100">
                  <c:v>93.24</c:v>
                </c:pt>
                <c:pt idx="101">
                  <c:v>92.88000000000001</c:v>
                </c:pt>
                <c:pt idx="102">
                  <c:v>92.52</c:v>
                </c:pt>
                <c:pt idx="103">
                  <c:v>92.160000000000011</c:v>
                </c:pt>
                <c:pt idx="104">
                  <c:v>91.8</c:v>
                </c:pt>
                <c:pt idx="105">
                  <c:v>91.44</c:v>
                </c:pt>
                <c:pt idx="106">
                  <c:v>91.08</c:v>
                </c:pt>
                <c:pt idx="107">
                  <c:v>90.72</c:v>
                </c:pt>
                <c:pt idx="108">
                  <c:v>90.360000000000014</c:v>
                </c:pt>
                <c:pt idx="109">
                  <c:v>90</c:v>
                </c:pt>
                <c:pt idx="110">
                  <c:v>90</c:v>
                </c:pt>
                <c:pt idx="111">
                  <c:v>90</c:v>
                </c:pt>
                <c:pt idx="112">
                  <c:v>90</c:v>
                </c:pt>
                <c:pt idx="113">
                  <c:v>90</c:v>
                </c:pt>
                <c:pt idx="114">
                  <c:v>90</c:v>
                </c:pt>
                <c:pt idx="115">
                  <c:v>90</c:v>
                </c:pt>
                <c:pt idx="116">
                  <c:v>90</c:v>
                </c:pt>
                <c:pt idx="117">
                  <c:v>90</c:v>
                </c:pt>
                <c:pt idx="118">
                  <c:v>90</c:v>
                </c:pt>
                <c:pt idx="119">
                  <c:v>90</c:v>
                </c:pt>
                <c:pt idx="120">
                  <c:v>90</c:v>
                </c:pt>
                <c:pt idx="121">
                  <c:v>90</c:v>
                </c:pt>
                <c:pt idx="122">
                  <c:v>90</c:v>
                </c:pt>
                <c:pt idx="123">
                  <c:v>90.360000000000014</c:v>
                </c:pt>
                <c:pt idx="124">
                  <c:v>90.360000000000014</c:v>
                </c:pt>
                <c:pt idx="125">
                  <c:v>90.72</c:v>
                </c:pt>
                <c:pt idx="126">
                  <c:v>91.08</c:v>
                </c:pt>
                <c:pt idx="127">
                  <c:v>91.08</c:v>
                </c:pt>
                <c:pt idx="128">
                  <c:v>91.08</c:v>
                </c:pt>
                <c:pt idx="129">
                  <c:v>91.08</c:v>
                </c:pt>
                <c:pt idx="130">
                  <c:v>91.08</c:v>
                </c:pt>
                <c:pt idx="131">
                  <c:v>91.08</c:v>
                </c:pt>
                <c:pt idx="132">
                  <c:v>91.08</c:v>
                </c:pt>
                <c:pt idx="133">
                  <c:v>91.08</c:v>
                </c:pt>
                <c:pt idx="134">
                  <c:v>91.08</c:v>
                </c:pt>
                <c:pt idx="135">
                  <c:v>91.08</c:v>
                </c:pt>
                <c:pt idx="136">
                  <c:v>91.08</c:v>
                </c:pt>
                <c:pt idx="137">
                  <c:v>91.08</c:v>
                </c:pt>
                <c:pt idx="138">
                  <c:v>91.08</c:v>
                </c:pt>
                <c:pt idx="139">
                  <c:v>91.08</c:v>
                </c:pt>
                <c:pt idx="140">
                  <c:v>91.08</c:v>
                </c:pt>
                <c:pt idx="141">
                  <c:v>91.08</c:v>
                </c:pt>
                <c:pt idx="142">
                  <c:v>90.72</c:v>
                </c:pt>
                <c:pt idx="143">
                  <c:v>90.360000000000014</c:v>
                </c:pt>
                <c:pt idx="144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90-4230-97C2-77043A4C4994}"/>
            </c:ext>
          </c:extLst>
        </c:ser>
        <c:ser>
          <c:idx val="2"/>
          <c:order val="1"/>
          <c:tx>
            <c:strRef>
              <c:f>回归!$L$2</c:f>
              <c:strCache>
                <c:ptCount val="1"/>
                <c:pt idx="0">
                  <c:v>多弧路线规划车速</c:v>
                </c:pt>
              </c:strCache>
            </c:strRef>
          </c:tx>
          <c:spPr>
            <a:ln w="28575" cap="rnd">
              <a:solidFill>
                <a:srgbClr val="FE817D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回归!$A$3:$A$147</c:f>
              <c:numCache>
                <c:formatCode>General</c:formatCode>
                <c:ptCount val="14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  <c:pt idx="101">
                  <c:v>2525</c:v>
                </c:pt>
                <c:pt idx="102">
                  <c:v>2550</c:v>
                </c:pt>
                <c:pt idx="103">
                  <c:v>2575</c:v>
                </c:pt>
                <c:pt idx="104">
                  <c:v>2600</c:v>
                </c:pt>
                <c:pt idx="105">
                  <c:v>2625</c:v>
                </c:pt>
                <c:pt idx="106">
                  <c:v>2650</c:v>
                </c:pt>
                <c:pt idx="107">
                  <c:v>2675</c:v>
                </c:pt>
                <c:pt idx="108">
                  <c:v>2700</c:v>
                </c:pt>
                <c:pt idx="109">
                  <c:v>2725</c:v>
                </c:pt>
                <c:pt idx="110">
                  <c:v>2750</c:v>
                </c:pt>
                <c:pt idx="111">
                  <c:v>2775</c:v>
                </c:pt>
                <c:pt idx="112">
                  <c:v>2800</c:v>
                </c:pt>
                <c:pt idx="113">
                  <c:v>2825</c:v>
                </c:pt>
                <c:pt idx="114">
                  <c:v>2850</c:v>
                </c:pt>
                <c:pt idx="115">
                  <c:v>2875</c:v>
                </c:pt>
                <c:pt idx="116">
                  <c:v>2900</c:v>
                </c:pt>
                <c:pt idx="117">
                  <c:v>2925</c:v>
                </c:pt>
                <c:pt idx="118">
                  <c:v>2950</c:v>
                </c:pt>
                <c:pt idx="119">
                  <c:v>2975</c:v>
                </c:pt>
                <c:pt idx="120">
                  <c:v>3000</c:v>
                </c:pt>
                <c:pt idx="121">
                  <c:v>3025</c:v>
                </c:pt>
                <c:pt idx="122">
                  <c:v>3050</c:v>
                </c:pt>
                <c:pt idx="123">
                  <c:v>3075</c:v>
                </c:pt>
                <c:pt idx="124">
                  <c:v>3100</c:v>
                </c:pt>
                <c:pt idx="125">
                  <c:v>3125</c:v>
                </c:pt>
                <c:pt idx="126">
                  <c:v>3150</c:v>
                </c:pt>
                <c:pt idx="127">
                  <c:v>3175</c:v>
                </c:pt>
                <c:pt idx="128">
                  <c:v>3200</c:v>
                </c:pt>
                <c:pt idx="129">
                  <c:v>3225</c:v>
                </c:pt>
                <c:pt idx="130">
                  <c:v>3250</c:v>
                </c:pt>
                <c:pt idx="131">
                  <c:v>3275</c:v>
                </c:pt>
                <c:pt idx="132">
                  <c:v>3300</c:v>
                </c:pt>
                <c:pt idx="133">
                  <c:v>3325</c:v>
                </c:pt>
                <c:pt idx="134">
                  <c:v>3350</c:v>
                </c:pt>
                <c:pt idx="135">
                  <c:v>3375</c:v>
                </c:pt>
                <c:pt idx="136">
                  <c:v>3400</c:v>
                </c:pt>
                <c:pt idx="137">
                  <c:v>3425</c:v>
                </c:pt>
                <c:pt idx="138">
                  <c:v>3450</c:v>
                </c:pt>
                <c:pt idx="139">
                  <c:v>3475</c:v>
                </c:pt>
                <c:pt idx="140">
                  <c:v>3500</c:v>
                </c:pt>
                <c:pt idx="141">
                  <c:v>3525</c:v>
                </c:pt>
                <c:pt idx="142">
                  <c:v>3550</c:v>
                </c:pt>
                <c:pt idx="143">
                  <c:v>3575</c:v>
                </c:pt>
                <c:pt idx="144">
                  <c:v>3600</c:v>
                </c:pt>
              </c:numCache>
            </c:numRef>
          </c:cat>
          <c:val>
            <c:numRef>
              <c:f>回归!$L$3:$L$147</c:f>
              <c:numCache>
                <c:formatCode>General</c:formatCode>
                <c:ptCount val="145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  <c:pt idx="14">
                  <c:v>90</c:v>
                </c:pt>
                <c:pt idx="15">
                  <c:v>90</c:v>
                </c:pt>
                <c:pt idx="16">
                  <c:v>90.360000000000014</c:v>
                </c:pt>
                <c:pt idx="17">
                  <c:v>90.72</c:v>
                </c:pt>
                <c:pt idx="18">
                  <c:v>91.08</c:v>
                </c:pt>
                <c:pt idx="19">
                  <c:v>91.44</c:v>
                </c:pt>
                <c:pt idx="20">
                  <c:v>91.8</c:v>
                </c:pt>
                <c:pt idx="21">
                  <c:v>92.160000000000011</c:v>
                </c:pt>
                <c:pt idx="22">
                  <c:v>92.52</c:v>
                </c:pt>
                <c:pt idx="23">
                  <c:v>93.24</c:v>
                </c:pt>
                <c:pt idx="24">
                  <c:v>93.960000000000008</c:v>
                </c:pt>
                <c:pt idx="25">
                  <c:v>94.68</c:v>
                </c:pt>
                <c:pt idx="26">
                  <c:v>95.4</c:v>
                </c:pt>
                <c:pt idx="27">
                  <c:v>96.12</c:v>
                </c:pt>
                <c:pt idx="28">
                  <c:v>96.84</c:v>
                </c:pt>
                <c:pt idx="29">
                  <c:v>97.56</c:v>
                </c:pt>
                <c:pt idx="30">
                  <c:v>97.92</c:v>
                </c:pt>
                <c:pt idx="31">
                  <c:v>98.28</c:v>
                </c:pt>
                <c:pt idx="32">
                  <c:v>98.64</c:v>
                </c:pt>
                <c:pt idx="33">
                  <c:v>99</c:v>
                </c:pt>
                <c:pt idx="34">
                  <c:v>99.360000000000014</c:v>
                </c:pt>
                <c:pt idx="35">
                  <c:v>99.72</c:v>
                </c:pt>
                <c:pt idx="36">
                  <c:v>100.00800000000001</c:v>
                </c:pt>
                <c:pt idx="37">
                  <c:v>100.00800000000001</c:v>
                </c:pt>
                <c:pt idx="38">
                  <c:v>100.00800000000001</c:v>
                </c:pt>
                <c:pt idx="39">
                  <c:v>100.00800000000001</c:v>
                </c:pt>
                <c:pt idx="40">
                  <c:v>100.00800000000001</c:v>
                </c:pt>
                <c:pt idx="41">
                  <c:v>100.00800000000001</c:v>
                </c:pt>
                <c:pt idx="42">
                  <c:v>100.00800000000001</c:v>
                </c:pt>
                <c:pt idx="43">
                  <c:v>99.72</c:v>
                </c:pt>
                <c:pt idx="44">
                  <c:v>99.360000000000014</c:v>
                </c:pt>
                <c:pt idx="45">
                  <c:v>99</c:v>
                </c:pt>
                <c:pt idx="46">
                  <c:v>98.64</c:v>
                </c:pt>
                <c:pt idx="47">
                  <c:v>98.28</c:v>
                </c:pt>
                <c:pt idx="48">
                  <c:v>97.92</c:v>
                </c:pt>
                <c:pt idx="49">
                  <c:v>97.56</c:v>
                </c:pt>
                <c:pt idx="50">
                  <c:v>97.2</c:v>
                </c:pt>
                <c:pt idx="51">
                  <c:v>96.48</c:v>
                </c:pt>
                <c:pt idx="52">
                  <c:v>95.76</c:v>
                </c:pt>
                <c:pt idx="53">
                  <c:v>95.039999999999992</c:v>
                </c:pt>
                <c:pt idx="54">
                  <c:v>94.32</c:v>
                </c:pt>
                <c:pt idx="55">
                  <c:v>93.960000000000008</c:v>
                </c:pt>
                <c:pt idx="56">
                  <c:v>93.600000000000009</c:v>
                </c:pt>
                <c:pt idx="57">
                  <c:v>93.24</c:v>
                </c:pt>
                <c:pt idx="58">
                  <c:v>92.88000000000001</c:v>
                </c:pt>
                <c:pt idx="59">
                  <c:v>92.52</c:v>
                </c:pt>
                <c:pt idx="60">
                  <c:v>92.160000000000011</c:v>
                </c:pt>
                <c:pt idx="61">
                  <c:v>91.8</c:v>
                </c:pt>
                <c:pt idx="62">
                  <c:v>91.44</c:v>
                </c:pt>
                <c:pt idx="63">
                  <c:v>91.08</c:v>
                </c:pt>
                <c:pt idx="64">
                  <c:v>90.72</c:v>
                </c:pt>
                <c:pt idx="65">
                  <c:v>90.72</c:v>
                </c:pt>
                <c:pt idx="66">
                  <c:v>90.72</c:v>
                </c:pt>
                <c:pt idx="67">
                  <c:v>90.72</c:v>
                </c:pt>
                <c:pt idx="68">
                  <c:v>90.72</c:v>
                </c:pt>
                <c:pt idx="69">
                  <c:v>91.08</c:v>
                </c:pt>
                <c:pt idx="70">
                  <c:v>91.44</c:v>
                </c:pt>
                <c:pt idx="71">
                  <c:v>91.8</c:v>
                </c:pt>
                <c:pt idx="72">
                  <c:v>92.160000000000011</c:v>
                </c:pt>
                <c:pt idx="73">
                  <c:v>92.52</c:v>
                </c:pt>
                <c:pt idx="74">
                  <c:v>92.88000000000001</c:v>
                </c:pt>
                <c:pt idx="75">
                  <c:v>93.24</c:v>
                </c:pt>
                <c:pt idx="76">
                  <c:v>93.600000000000009</c:v>
                </c:pt>
                <c:pt idx="77">
                  <c:v>94.32</c:v>
                </c:pt>
                <c:pt idx="78">
                  <c:v>95.039999999999992</c:v>
                </c:pt>
                <c:pt idx="79">
                  <c:v>95.76</c:v>
                </c:pt>
                <c:pt idx="80">
                  <c:v>96.48</c:v>
                </c:pt>
                <c:pt idx="81">
                  <c:v>97.2</c:v>
                </c:pt>
                <c:pt idx="82">
                  <c:v>97.56</c:v>
                </c:pt>
                <c:pt idx="83">
                  <c:v>97.92</c:v>
                </c:pt>
                <c:pt idx="84">
                  <c:v>98.28</c:v>
                </c:pt>
                <c:pt idx="85">
                  <c:v>98.64</c:v>
                </c:pt>
                <c:pt idx="86">
                  <c:v>99</c:v>
                </c:pt>
                <c:pt idx="87">
                  <c:v>99.360000000000014</c:v>
                </c:pt>
                <c:pt idx="88">
                  <c:v>99.72</c:v>
                </c:pt>
                <c:pt idx="89">
                  <c:v>100.00800000000001</c:v>
                </c:pt>
                <c:pt idx="90">
                  <c:v>100.00800000000001</c:v>
                </c:pt>
                <c:pt idx="91">
                  <c:v>100.00800000000001</c:v>
                </c:pt>
                <c:pt idx="92">
                  <c:v>100.00800000000001</c:v>
                </c:pt>
                <c:pt idx="93">
                  <c:v>100.00800000000001</c:v>
                </c:pt>
                <c:pt idx="94">
                  <c:v>100.00800000000001</c:v>
                </c:pt>
                <c:pt idx="95">
                  <c:v>100.00800000000001</c:v>
                </c:pt>
                <c:pt idx="96">
                  <c:v>100.00800000000001</c:v>
                </c:pt>
                <c:pt idx="97">
                  <c:v>100.00800000000001</c:v>
                </c:pt>
                <c:pt idx="98">
                  <c:v>100.00800000000001</c:v>
                </c:pt>
                <c:pt idx="99">
                  <c:v>99.72</c:v>
                </c:pt>
                <c:pt idx="100">
                  <c:v>99.360000000000014</c:v>
                </c:pt>
                <c:pt idx="101">
                  <c:v>99</c:v>
                </c:pt>
                <c:pt idx="102">
                  <c:v>98.64</c:v>
                </c:pt>
                <c:pt idx="103">
                  <c:v>98.28</c:v>
                </c:pt>
                <c:pt idx="104">
                  <c:v>97.92</c:v>
                </c:pt>
                <c:pt idx="105">
                  <c:v>97.2</c:v>
                </c:pt>
                <c:pt idx="106">
                  <c:v>96.84</c:v>
                </c:pt>
                <c:pt idx="107">
                  <c:v>96.12</c:v>
                </c:pt>
                <c:pt idx="108">
                  <c:v>95.4</c:v>
                </c:pt>
                <c:pt idx="109">
                  <c:v>94.68</c:v>
                </c:pt>
                <c:pt idx="110">
                  <c:v>93.960000000000008</c:v>
                </c:pt>
                <c:pt idx="111">
                  <c:v>93.24</c:v>
                </c:pt>
                <c:pt idx="112">
                  <c:v>92.88000000000001</c:v>
                </c:pt>
                <c:pt idx="113">
                  <c:v>92.52</c:v>
                </c:pt>
                <c:pt idx="114">
                  <c:v>92.160000000000011</c:v>
                </c:pt>
                <c:pt idx="115">
                  <c:v>91.8</c:v>
                </c:pt>
                <c:pt idx="116">
                  <c:v>91.44</c:v>
                </c:pt>
                <c:pt idx="117">
                  <c:v>91.08</c:v>
                </c:pt>
                <c:pt idx="118">
                  <c:v>90.72</c:v>
                </c:pt>
                <c:pt idx="119">
                  <c:v>90.360000000000014</c:v>
                </c:pt>
                <c:pt idx="120">
                  <c:v>90</c:v>
                </c:pt>
                <c:pt idx="121">
                  <c:v>90</c:v>
                </c:pt>
                <c:pt idx="122">
                  <c:v>90</c:v>
                </c:pt>
                <c:pt idx="123">
                  <c:v>90</c:v>
                </c:pt>
                <c:pt idx="124">
                  <c:v>90</c:v>
                </c:pt>
                <c:pt idx="125">
                  <c:v>90</c:v>
                </c:pt>
                <c:pt idx="126">
                  <c:v>90</c:v>
                </c:pt>
                <c:pt idx="127">
                  <c:v>90</c:v>
                </c:pt>
                <c:pt idx="128">
                  <c:v>90</c:v>
                </c:pt>
                <c:pt idx="129">
                  <c:v>90</c:v>
                </c:pt>
                <c:pt idx="130">
                  <c:v>90</c:v>
                </c:pt>
                <c:pt idx="131">
                  <c:v>90</c:v>
                </c:pt>
                <c:pt idx="132">
                  <c:v>90</c:v>
                </c:pt>
                <c:pt idx="133">
                  <c:v>90</c:v>
                </c:pt>
                <c:pt idx="134">
                  <c:v>90</c:v>
                </c:pt>
                <c:pt idx="135">
                  <c:v>90</c:v>
                </c:pt>
                <c:pt idx="136">
                  <c:v>90</c:v>
                </c:pt>
                <c:pt idx="137">
                  <c:v>90</c:v>
                </c:pt>
                <c:pt idx="138">
                  <c:v>90</c:v>
                </c:pt>
                <c:pt idx="139">
                  <c:v>90</c:v>
                </c:pt>
                <c:pt idx="140">
                  <c:v>90</c:v>
                </c:pt>
                <c:pt idx="141">
                  <c:v>90</c:v>
                </c:pt>
                <c:pt idx="142">
                  <c:v>90</c:v>
                </c:pt>
                <c:pt idx="143">
                  <c:v>90</c:v>
                </c:pt>
                <c:pt idx="144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90-4230-97C2-77043A4C4994}"/>
            </c:ext>
          </c:extLst>
        </c:ser>
        <c:ser>
          <c:idx val="1"/>
          <c:order val="2"/>
          <c:tx>
            <c:strRef>
              <c:f>回归!$N$2</c:f>
              <c:strCache>
                <c:ptCount val="1"/>
                <c:pt idx="0">
                  <c:v>实验车速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回归!$N$3:$N$147</c:f>
              <c:numCache>
                <c:formatCode>General</c:formatCode>
                <c:ptCount val="145"/>
                <c:pt idx="0">
                  <c:v>93.585599999999999</c:v>
                </c:pt>
                <c:pt idx="1">
                  <c:v>94.492440000000002</c:v>
                </c:pt>
                <c:pt idx="2">
                  <c:v>95.792760000000001</c:v>
                </c:pt>
                <c:pt idx="3">
                  <c:v>97.124039999999994</c:v>
                </c:pt>
                <c:pt idx="4">
                  <c:v>98.376840000000001</c:v>
                </c:pt>
                <c:pt idx="5">
                  <c:v>98.408519999999996</c:v>
                </c:pt>
                <c:pt idx="6">
                  <c:v>97.424999999999997</c:v>
                </c:pt>
                <c:pt idx="7">
                  <c:v>95.839200000000005</c:v>
                </c:pt>
                <c:pt idx="8">
                  <c:v>94.698000000000008</c:v>
                </c:pt>
                <c:pt idx="9">
                  <c:v>94.015440000000012</c:v>
                </c:pt>
                <c:pt idx="10">
                  <c:v>94.652640000000005</c:v>
                </c:pt>
                <c:pt idx="11">
                  <c:v>95.164200000000008</c:v>
                </c:pt>
                <c:pt idx="12">
                  <c:v>93.982320000000001</c:v>
                </c:pt>
                <c:pt idx="13">
                  <c:v>92.664360000000002</c:v>
                </c:pt>
                <c:pt idx="14">
                  <c:v>92.069280000000006</c:v>
                </c:pt>
                <c:pt idx="15">
                  <c:v>91.510199999999998</c:v>
                </c:pt>
                <c:pt idx="16">
                  <c:v>90.521640000000005</c:v>
                </c:pt>
                <c:pt idx="17">
                  <c:v>90.09684</c:v>
                </c:pt>
                <c:pt idx="18">
                  <c:v>88.846560000000011</c:v>
                </c:pt>
                <c:pt idx="19">
                  <c:v>86.802120000000002</c:v>
                </c:pt>
                <c:pt idx="20">
                  <c:v>85.832640000000012</c:v>
                </c:pt>
                <c:pt idx="21">
                  <c:v>85.124880000000005</c:v>
                </c:pt>
                <c:pt idx="22">
                  <c:v>84.271320000000003</c:v>
                </c:pt>
                <c:pt idx="23">
                  <c:v>83.862000000000009</c:v>
                </c:pt>
                <c:pt idx="24">
                  <c:v>85.346640000000008</c:v>
                </c:pt>
                <c:pt idx="25">
                  <c:v>87.201000000000008</c:v>
                </c:pt>
                <c:pt idx="26">
                  <c:v>89.120519999999999</c:v>
                </c:pt>
                <c:pt idx="27">
                  <c:v>91.323719999999994</c:v>
                </c:pt>
                <c:pt idx="28">
                  <c:v>93.164400000000001</c:v>
                </c:pt>
                <c:pt idx="29">
                  <c:v>92.297880000000006</c:v>
                </c:pt>
                <c:pt idx="30">
                  <c:v>91.445039999999992</c:v>
                </c:pt>
                <c:pt idx="31">
                  <c:v>91.839600000000004</c:v>
                </c:pt>
                <c:pt idx="32">
                  <c:v>92.162520000000001</c:v>
                </c:pt>
                <c:pt idx="33">
                  <c:v>90.293760000000006</c:v>
                </c:pt>
                <c:pt idx="34">
                  <c:v>88.765200000000007</c:v>
                </c:pt>
                <c:pt idx="35">
                  <c:v>87.61572000000001</c:v>
                </c:pt>
                <c:pt idx="36">
                  <c:v>85.932000000000002</c:v>
                </c:pt>
                <c:pt idx="37">
                  <c:v>83.97072</c:v>
                </c:pt>
                <c:pt idx="38">
                  <c:v>82.161720000000003</c:v>
                </c:pt>
                <c:pt idx="39">
                  <c:v>80.02152000000001</c:v>
                </c:pt>
                <c:pt idx="40">
                  <c:v>78.461640000000003</c:v>
                </c:pt>
                <c:pt idx="41">
                  <c:v>77.52564000000001</c:v>
                </c:pt>
                <c:pt idx="42">
                  <c:v>76.909680000000009</c:v>
                </c:pt>
                <c:pt idx="43">
                  <c:v>78.005160000000004</c:v>
                </c:pt>
                <c:pt idx="44">
                  <c:v>78.950880000000012</c:v>
                </c:pt>
                <c:pt idx="45">
                  <c:v>80.712720000000004</c:v>
                </c:pt>
                <c:pt idx="46">
                  <c:v>82.89864</c:v>
                </c:pt>
                <c:pt idx="47">
                  <c:v>82.372320000000002</c:v>
                </c:pt>
                <c:pt idx="48">
                  <c:v>81.429479999999998</c:v>
                </c:pt>
                <c:pt idx="49">
                  <c:v>82.306080000000009</c:v>
                </c:pt>
                <c:pt idx="50">
                  <c:v>81.699119999999994</c:v>
                </c:pt>
                <c:pt idx="51">
                  <c:v>83.170079999999999</c:v>
                </c:pt>
                <c:pt idx="52">
                  <c:v>85.493160000000003</c:v>
                </c:pt>
                <c:pt idx="53">
                  <c:v>86.487120000000004</c:v>
                </c:pt>
                <c:pt idx="54">
                  <c:v>86.265360000000001</c:v>
                </c:pt>
                <c:pt idx="55">
                  <c:v>85.879800000000003</c:v>
                </c:pt>
                <c:pt idx="56">
                  <c:v>86.865120000000005</c:v>
                </c:pt>
                <c:pt idx="57">
                  <c:v>88.360559999999992</c:v>
                </c:pt>
                <c:pt idx="58">
                  <c:v>90.13427999999999</c:v>
                </c:pt>
                <c:pt idx="59">
                  <c:v>90.150120000000001</c:v>
                </c:pt>
                <c:pt idx="60">
                  <c:v>89.317080000000004</c:v>
                </c:pt>
                <c:pt idx="61">
                  <c:v>88.2774</c:v>
                </c:pt>
                <c:pt idx="62">
                  <c:v>87.464880000000008</c:v>
                </c:pt>
                <c:pt idx="63">
                  <c:v>87.81156</c:v>
                </c:pt>
                <c:pt idx="64">
                  <c:v>88.975439999999992</c:v>
                </c:pt>
                <c:pt idx="65">
                  <c:v>90.063720000000004</c:v>
                </c:pt>
                <c:pt idx="66">
                  <c:v>90.772919999999999</c:v>
                </c:pt>
                <c:pt idx="67">
                  <c:v>90.186840000000004</c:v>
                </c:pt>
                <c:pt idx="68">
                  <c:v>90.318240000000003</c:v>
                </c:pt>
                <c:pt idx="69">
                  <c:v>91.584000000000003</c:v>
                </c:pt>
                <c:pt idx="70">
                  <c:v>91.846800000000002</c:v>
                </c:pt>
                <c:pt idx="71">
                  <c:v>90.948599999999999</c:v>
                </c:pt>
                <c:pt idx="72">
                  <c:v>90.172079999999994</c:v>
                </c:pt>
                <c:pt idx="73">
                  <c:v>90.179280000000006</c:v>
                </c:pt>
                <c:pt idx="74">
                  <c:v>89.649720000000002</c:v>
                </c:pt>
                <c:pt idx="75">
                  <c:v>88.797960000000003</c:v>
                </c:pt>
                <c:pt idx="76">
                  <c:v>87.982559999999992</c:v>
                </c:pt>
                <c:pt idx="77">
                  <c:v>87.897240000000011</c:v>
                </c:pt>
                <c:pt idx="78">
                  <c:v>87.31331999999999</c:v>
                </c:pt>
                <c:pt idx="79">
                  <c:v>86.649840000000012</c:v>
                </c:pt>
                <c:pt idx="80">
                  <c:v>87.663600000000002</c:v>
                </c:pt>
                <c:pt idx="81">
                  <c:v>88.467120000000008</c:v>
                </c:pt>
                <c:pt idx="82">
                  <c:v>89.435879999999997</c:v>
                </c:pt>
                <c:pt idx="83">
                  <c:v>89.547840000000008</c:v>
                </c:pt>
                <c:pt idx="84">
                  <c:v>89.863200000000006</c:v>
                </c:pt>
                <c:pt idx="85">
                  <c:v>90.059400000000011</c:v>
                </c:pt>
                <c:pt idx="86">
                  <c:v>89.97120000000001</c:v>
                </c:pt>
                <c:pt idx="87">
                  <c:v>90.16704</c:v>
                </c:pt>
                <c:pt idx="88">
                  <c:v>91.506600000000006</c:v>
                </c:pt>
                <c:pt idx="89">
                  <c:v>92.129400000000004</c:v>
                </c:pt>
                <c:pt idx="90">
                  <c:v>91.11348000000001</c:v>
                </c:pt>
                <c:pt idx="91">
                  <c:v>89.69256</c:v>
                </c:pt>
                <c:pt idx="92">
                  <c:v>88.280640000000005</c:v>
                </c:pt>
                <c:pt idx="93">
                  <c:v>87.582599999999999</c:v>
                </c:pt>
                <c:pt idx="94">
                  <c:v>88.849440000000001</c:v>
                </c:pt>
                <c:pt idx="95">
                  <c:v>90.838080000000005</c:v>
                </c:pt>
                <c:pt idx="96">
                  <c:v>92.435400000000001</c:v>
                </c:pt>
                <c:pt idx="97">
                  <c:v>94.152240000000006</c:v>
                </c:pt>
                <c:pt idx="98">
                  <c:v>94.00500000000001</c:v>
                </c:pt>
                <c:pt idx="99">
                  <c:v>94.681080000000009</c:v>
                </c:pt>
                <c:pt idx="100">
                  <c:v>95.583240000000004</c:v>
                </c:pt>
                <c:pt idx="101">
                  <c:v>95.801400000000001</c:v>
                </c:pt>
                <c:pt idx="102">
                  <c:v>95.424840000000003</c:v>
                </c:pt>
                <c:pt idx="103">
                  <c:v>95.565600000000003</c:v>
                </c:pt>
                <c:pt idx="104">
                  <c:v>95.896800000000013</c:v>
                </c:pt>
                <c:pt idx="105">
                  <c:v>95.118120000000005</c:v>
                </c:pt>
                <c:pt idx="106">
                  <c:v>96.045480000000012</c:v>
                </c:pt>
                <c:pt idx="107">
                  <c:v>96.914519999999996</c:v>
                </c:pt>
                <c:pt idx="108">
                  <c:v>95.860080000000011</c:v>
                </c:pt>
                <c:pt idx="109">
                  <c:v>94.307040000000001</c:v>
                </c:pt>
                <c:pt idx="110">
                  <c:v>92.690280000000001</c:v>
                </c:pt>
                <c:pt idx="111">
                  <c:v>90.620280000000008</c:v>
                </c:pt>
                <c:pt idx="112">
                  <c:v>89.488440000000011</c:v>
                </c:pt>
                <c:pt idx="113">
                  <c:v>89.82</c:v>
                </c:pt>
                <c:pt idx="114">
                  <c:v>89.930520000000001</c:v>
                </c:pt>
                <c:pt idx="115">
                  <c:v>89.587800000000001</c:v>
                </c:pt>
                <c:pt idx="116">
                  <c:v>89.098200000000006</c:v>
                </c:pt>
                <c:pt idx="117">
                  <c:v>89.809200000000004</c:v>
                </c:pt>
                <c:pt idx="118">
                  <c:v>89.416800000000009</c:v>
                </c:pt>
                <c:pt idx="119">
                  <c:v>88.664040000000014</c:v>
                </c:pt>
                <c:pt idx="120">
                  <c:v>87.772679999999994</c:v>
                </c:pt>
                <c:pt idx="121">
                  <c:v>85.740120000000005</c:v>
                </c:pt>
                <c:pt idx="122">
                  <c:v>83.989800000000002</c:v>
                </c:pt>
                <c:pt idx="123">
                  <c:v>83.604240000000004</c:v>
                </c:pt>
                <c:pt idx="124">
                  <c:v>85.052160000000001</c:v>
                </c:pt>
                <c:pt idx="125">
                  <c:v>87.046559999999999</c:v>
                </c:pt>
                <c:pt idx="126">
                  <c:v>87.564959999999999</c:v>
                </c:pt>
                <c:pt idx="127">
                  <c:v>87.768720000000002</c:v>
                </c:pt>
                <c:pt idx="128">
                  <c:v>87.82056</c:v>
                </c:pt>
                <c:pt idx="129">
                  <c:v>85.307400000000001</c:v>
                </c:pt>
                <c:pt idx="130">
                  <c:v>83.90664000000001</c:v>
                </c:pt>
                <c:pt idx="131">
                  <c:v>83.456280000000007</c:v>
                </c:pt>
                <c:pt idx="132">
                  <c:v>84.601079999999996</c:v>
                </c:pt>
                <c:pt idx="133">
                  <c:v>84.188519999999997</c:v>
                </c:pt>
                <c:pt idx="134">
                  <c:v>84.574439999999996</c:v>
                </c:pt>
                <c:pt idx="135">
                  <c:v>85.229640000000003</c:v>
                </c:pt>
                <c:pt idx="136">
                  <c:v>84.650040000000004</c:v>
                </c:pt>
                <c:pt idx="137">
                  <c:v>84.259799999999998</c:v>
                </c:pt>
                <c:pt idx="138">
                  <c:v>85.777200000000008</c:v>
                </c:pt>
                <c:pt idx="139">
                  <c:v>87.781320000000008</c:v>
                </c:pt>
                <c:pt idx="140">
                  <c:v>89.986680000000007</c:v>
                </c:pt>
                <c:pt idx="141">
                  <c:v>92.057040000000001</c:v>
                </c:pt>
                <c:pt idx="142">
                  <c:v>93.979079999999996</c:v>
                </c:pt>
                <c:pt idx="143">
                  <c:v>94.510440000000003</c:v>
                </c:pt>
                <c:pt idx="144">
                  <c:v>94.84920000000001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B5-453F-8F17-0F899CC53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4778784"/>
        <c:axId val="254777120"/>
      </c:lineChart>
      <c:catAx>
        <c:axId val="254778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/>
                  <a:t>距离（</a:t>
                </a:r>
                <a:r>
                  <a:rPr lang="en-US" altLang="zh-CN"/>
                  <a:t>m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254777120"/>
        <c:crosses val="autoZero"/>
        <c:auto val="1"/>
        <c:lblAlgn val="ctr"/>
        <c:lblOffset val="100"/>
        <c:tickLblSkip val="16"/>
        <c:tickMarkSkip val="16"/>
        <c:noMultiLvlLbl val="0"/>
      </c:catAx>
      <c:valAx>
        <c:axId val="254777120"/>
        <c:scaling>
          <c:orientation val="minMax"/>
          <c:max val="105"/>
          <c:min val="7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/>
                  <a:t>车速（</a:t>
                </a:r>
                <a:r>
                  <a:rPr lang="en-US" altLang="zh-CN"/>
                  <a:t>km/h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25477878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2129629629629635"/>
          <c:y val="0.57652100007628404"/>
          <c:w val="0.36513532763532763"/>
          <c:h val="0.212886843003557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 baseline="0">
          <a:solidFill>
            <a:schemeClr val="tx1"/>
          </a:solidFill>
          <a:latin typeface="Times New Roman" panose="02020603050405020304" pitchFamily="18" charset="0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508547008547006E-2"/>
          <c:y val="5.0925925925925923E-2"/>
          <c:w val="0.86553383190883193"/>
          <c:h val="0.77536818314377365"/>
        </c:manualLayout>
      </c:layout>
      <c:lineChart>
        <c:grouping val="standard"/>
        <c:varyColors val="0"/>
        <c:ser>
          <c:idx val="3"/>
          <c:order val="0"/>
          <c:tx>
            <c:strRef>
              <c:f>回归!$M$2</c:f>
              <c:strCache>
                <c:ptCount val="1"/>
                <c:pt idx="0">
                  <c:v>实车实验车速</c:v>
                </c:pt>
              </c:strCache>
            </c:strRef>
          </c:tx>
          <c:spPr>
            <a:ln w="28575" cap="rnd">
              <a:solidFill>
                <a:srgbClr val="F7903D"/>
              </a:solidFill>
              <a:round/>
            </a:ln>
            <a:effectLst/>
          </c:spPr>
          <c:marker>
            <c:symbol val="none"/>
          </c:marker>
          <c:val>
            <c:numRef>
              <c:f>回归!$M$3:$M$147</c:f>
              <c:numCache>
                <c:formatCode>General</c:formatCode>
                <c:ptCount val="145"/>
                <c:pt idx="0">
                  <c:v>93.585599999999999</c:v>
                </c:pt>
                <c:pt idx="1">
                  <c:v>94.492440000000002</c:v>
                </c:pt>
                <c:pt idx="2">
                  <c:v>95.792760000000001</c:v>
                </c:pt>
                <c:pt idx="3">
                  <c:v>97.124039999999994</c:v>
                </c:pt>
                <c:pt idx="4">
                  <c:v>98.376840000000001</c:v>
                </c:pt>
                <c:pt idx="5">
                  <c:v>98.408519999999996</c:v>
                </c:pt>
                <c:pt idx="6">
                  <c:v>97.424999999999997</c:v>
                </c:pt>
                <c:pt idx="7">
                  <c:v>95.839200000000005</c:v>
                </c:pt>
                <c:pt idx="8">
                  <c:v>94.698000000000008</c:v>
                </c:pt>
                <c:pt idx="9">
                  <c:v>94.015440000000012</c:v>
                </c:pt>
                <c:pt idx="10">
                  <c:v>94.652640000000005</c:v>
                </c:pt>
                <c:pt idx="11">
                  <c:v>95.164200000000008</c:v>
                </c:pt>
                <c:pt idx="12">
                  <c:v>93.982320000000001</c:v>
                </c:pt>
                <c:pt idx="13">
                  <c:v>92.664360000000002</c:v>
                </c:pt>
                <c:pt idx="14">
                  <c:v>92.069280000000006</c:v>
                </c:pt>
                <c:pt idx="15">
                  <c:v>91.510199999999998</c:v>
                </c:pt>
                <c:pt idx="16">
                  <c:v>90.521640000000005</c:v>
                </c:pt>
                <c:pt idx="17">
                  <c:v>90.09684</c:v>
                </c:pt>
                <c:pt idx="18">
                  <c:v>88.846560000000011</c:v>
                </c:pt>
                <c:pt idx="19">
                  <c:v>86.802120000000002</c:v>
                </c:pt>
                <c:pt idx="20">
                  <c:v>85.832640000000012</c:v>
                </c:pt>
                <c:pt idx="21">
                  <c:v>85.124880000000005</c:v>
                </c:pt>
                <c:pt idx="22">
                  <c:v>84.271320000000003</c:v>
                </c:pt>
                <c:pt idx="23">
                  <c:v>83.862000000000009</c:v>
                </c:pt>
                <c:pt idx="24">
                  <c:v>85.346640000000008</c:v>
                </c:pt>
                <c:pt idx="25">
                  <c:v>87.201000000000008</c:v>
                </c:pt>
                <c:pt idx="26">
                  <c:v>89.120519999999999</c:v>
                </c:pt>
                <c:pt idx="27">
                  <c:v>91.323719999999994</c:v>
                </c:pt>
                <c:pt idx="28">
                  <c:v>93.164400000000001</c:v>
                </c:pt>
                <c:pt idx="29">
                  <c:v>92.297880000000006</c:v>
                </c:pt>
                <c:pt idx="30">
                  <c:v>91.445039999999992</c:v>
                </c:pt>
                <c:pt idx="31">
                  <c:v>91.839600000000004</c:v>
                </c:pt>
                <c:pt idx="32">
                  <c:v>92.162520000000001</c:v>
                </c:pt>
                <c:pt idx="33">
                  <c:v>90.293760000000006</c:v>
                </c:pt>
                <c:pt idx="34">
                  <c:v>88.765200000000007</c:v>
                </c:pt>
                <c:pt idx="35">
                  <c:v>87.61572000000001</c:v>
                </c:pt>
                <c:pt idx="36">
                  <c:v>85.932000000000002</c:v>
                </c:pt>
                <c:pt idx="37">
                  <c:v>83.97072</c:v>
                </c:pt>
                <c:pt idx="38">
                  <c:v>82.161720000000003</c:v>
                </c:pt>
                <c:pt idx="39">
                  <c:v>80.02152000000001</c:v>
                </c:pt>
                <c:pt idx="40">
                  <c:v>78.461640000000003</c:v>
                </c:pt>
                <c:pt idx="41">
                  <c:v>77.52564000000001</c:v>
                </c:pt>
                <c:pt idx="42">
                  <c:v>76.909680000000009</c:v>
                </c:pt>
                <c:pt idx="43">
                  <c:v>78.005160000000004</c:v>
                </c:pt>
                <c:pt idx="44">
                  <c:v>78.950880000000012</c:v>
                </c:pt>
                <c:pt idx="45">
                  <c:v>80.712720000000004</c:v>
                </c:pt>
                <c:pt idx="46">
                  <c:v>82.89864</c:v>
                </c:pt>
                <c:pt idx="47">
                  <c:v>82.372320000000002</c:v>
                </c:pt>
                <c:pt idx="48">
                  <c:v>81.429479999999998</c:v>
                </c:pt>
                <c:pt idx="49">
                  <c:v>82.306080000000009</c:v>
                </c:pt>
                <c:pt idx="50">
                  <c:v>81.699119999999994</c:v>
                </c:pt>
                <c:pt idx="51">
                  <c:v>83.170079999999999</c:v>
                </c:pt>
                <c:pt idx="52">
                  <c:v>85.493160000000003</c:v>
                </c:pt>
                <c:pt idx="53">
                  <c:v>86.487120000000004</c:v>
                </c:pt>
                <c:pt idx="54">
                  <c:v>86.265360000000001</c:v>
                </c:pt>
                <c:pt idx="55">
                  <c:v>85.879800000000003</c:v>
                </c:pt>
                <c:pt idx="56">
                  <c:v>86.865120000000005</c:v>
                </c:pt>
                <c:pt idx="57">
                  <c:v>88.360559999999992</c:v>
                </c:pt>
                <c:pt idx="58">
                  <c:v>90.13427999999999</c:v>
                </c:pt>
                <c:pt idx="59">
                  <c:v>90.150120000000001</c:v>
                </c:pt>
                <c:pt idx="60">
                  <c:v>89.317080000000004</c:v>
                </c:pt>
                <c:pt idx="61">
                  <c:v>88.2774</c:v>
                </c:pt>
                <c:pt idx="62">
                  <c:v>87.464880000000008</c:v>
                </c:pt>
                <c:pt idx="63">
                  <c:v>87.81156</c:v>
                </c:pt>
                <c:pt idx="64">
                  <c:v>88.975439999999992</c:v>
                </c:pt>
                <c:pt idx="65">
                  <c:v>90.063720000000004</c:v>
                </c:pt>
                <c:pt idx="66">
                  <c:v>90.772919999999999</c:v>
                </c:pt>
                <c:pt idx="67">
                  <c:v>90.186840000000004</c:v>
                </c:pt>
                <c:pt idx="68">
                  <c:v>90.318240000000003</c:v>
                </c:pt>
                <c:pt idx="69">
                  <c:v>91.584000000000003</c:v>
                </c:pt>
                <c:pt idx="70">
                  <c:v>91.846800000000002</c:v>
                </c:pt>
                <c:pt idx="71">
                  <c:v>90.948599999999999</c:v>
                </c:pt>
                <c:pt idx="72">
                  <c:v>90.172079999999994</c:v>
                </c:pt>
                <c:pt idx="73">
                  <c:v>90.179280000000006</c:v>
                </c:pt>
                <c:pt idx="74">
                  <c:v>89.649720000000002</c:v>
                </c:pt>
                <c:pt idx="75">
                  <c:v>88.797960000000003</c:v>
                </c:pt>
                <c:pt idx="76">
                  <c:v>87.982559999999992</c:v>
                </c:pt>
                <c:pt idx="77">
                  <c:v>87.897240000000011</c:v>
                </c:pt>
                <c:pt idx="78">
                  <c:v>87.31331999999999</c:v>
                </c:pt>
                <c:pt idx="79">
                  <c:v>86.649840000000012</c:v>
                </c:pt>
                <c:pt idx="80">
                  <c:v>87.663600000000002</c:v>
                </c:pt>
                <c:pt idx="81">
                  <c:v>88.467120000000008</c:v>
                </c:pt>
                <c:pt idx="82">
                  <c:v>89.435879999999997</c:v>
                </c:pt>
                <c:pt idx="83">
                  <c:v>89.547840000000008</c:v>
                </c:pt>
                <c:pt idx="84">
                  <c:v>89.863200000000006</c:v>
                </c:pt>
                <c:pt idx="85">
                  <c:v>90.059400000000011</c:v>
                </c:pt>
                <c:pt idx="86">
                  <c:v>89.97120000000001</c:v>
                </c:pt>
                <c:pt idx="87">
                  <c:v>90.16704</c:v>
                </c:pt>
                <c:pt idx="88">
                  <c:v>91.506600000000006</c:v>
                </c:pt>
                <c:pt idx="89">
                  <c:v>92.129400000000004</c:v>
                </c:pt>
                <c:pt idx="90">
                  <c:v>91.11348000000001</c:v>
                </c:pt>
                <c:pt idx="91">
                  <c:v>89.69256</c:v>
                </c:pt>
                <c:pt idx="92">
                  <c:v>88.280640000000005</c:v>
                </c:pt>
                <c:pt idx="93">
                  <c:v>87.582599999999999</c:v>
                </c:pt>
                <c:pt idx="94">
                  <c:v>88.849440000000001</c:v>
                </c:pt>
                <c:pt idx="95">
                  <c:v>90.838080000000005</c:v>
                </c:pt>
                <c:pt idx="96">
                  <c:v>92.435400000000001</c:v>
                </c:pt>
                <c:pt idx="97">
                  <c:v>94.152240000000006</c:v>
                </c:pt>
                <c:pt idx="98">
                  <c:v>94.00500000000001</c:v>
                </c:pt>
                <c:pt idx="99">
                  <c:v>94.681080000000009</c:v>
                </c:pt>
                <c:pt idx="100">
                  <c:v>95.583240000000004</c:v>
                </c:pt>
                <c:pt idx="101">
                  <c:v>95.801400000000001</c:v>
                </c:pt>
                <c:pt idx="102">
                  <c:v>95.424840000000003</c:v>
                </c:pt>
                <c:pt idx="103">
                  <c:v>95.565600000000003</c:v>
                </c:pt>
                <c:pt idx="104">
                  <c:v>95.896800000000013</c:v>
                </c:pt>
                <c:pt idx="105">
                  <c:v>95.118120000000005</c:v>
                </c:pt>
                <c:pt idx="106">
                  <c:v>96.045480000000012</c:v>
                </c:pt>
                <c:pt idx="107">
                  <c:v>96.914519999999996</c:v>
                </c:pt>
                <c:pt idx="108">
                  <c:v>95.860080000000011</c:v>
                </c:pt>
                <c:pt idx="109">
                  <c:v>94.307040000000001</c:v>
                </c:pt>
                <c:pt idx="110">
                  <c:v>92.690280000000001</c:v>
                </c:pt>
                <c:pt idx="111">
                  <c:v>90.620280000000008</c:v>
                </c:pt>
                <c:pt idx="112">
                  <c:v>89.488440000000011</c:v>
                </c:pt>
                <c:pt idx="113">
                  <c:v>89.82</c:v>
                </c:pt>
                <c:pt idx="114">
                  <c:v>89.930520000000001</c:v>
                </c:pt>
                <c:pt idx="115">
                  <c:v>89.587800000000001</c:v>
                </c:pt>
                <c:pt idx="116">
                  <c:v>89.098200000000006</c:v>
                </c:pt>
                <c:pt idx="117">
                  <c:v>89.809200000000004</c:v>
                </c:pt>
                <c:pt idx="118">
                  <c:v>89.416800000000009</c:v>
                </c:pt>
                <c:pt idx="119">
                  <c:v>88.664040000000014</c:v>
                </c:pt>
                <c:pt idx="120">
                  <c:v>87.772679999999994</c:v>
                </c:pt>
                <c:pt idx="121">
                  <c:v>85.740120000000005</c:v>
                </c:pt>
                <c:pt idx="122">
                  <c:v>83.989800000000002</c:v>
                </c:pt>
                <c:pt idx="123">
                  <c:v>83.604240000000004</c:v>
                </c:pt>
                <c:pt idx="124">
                  <c:v>85.052160000000001</c:v>
                </c:pt>
                <c:pt idx="125">
                  <c:v>87.046559999999999</c:v>
                </c:pt>
                <c:pt idx="126">
                  <c:v>87.564959999999999</c:v>
                </c:pt>
                <c:pt idx="127">
                  <c:v>87.768720000000002</c:v>
                </c:pt>
                <c:pt idx="128">
                  <c:v>87.82056</c:v>
                </c:pt>
                <c:pt idx="129">
                  <c:v>85.307400000000001</c:v>
                </c:pt>
                <c:pt idx="130">
                  <c:v>83.90664000000001</c:v>
                </c:pt>
                <c:pt idx="131">
                  <c:v>83.456280000000007</c:v>
                </c:pt>
                <c:pt idx="132">
                  <c:v>84.601079999999996</c:v>
                </c:pt>
                <c:pt idx="133">
                  <c:v>84.188519999999997</c:v>
                </c:pt>
                <c:pt idx="134">
                  <c:v>84.574439999999996</c:v>
                </c:pt>
                <c:pt idx="135">
                  <c:v>85.229640000000003</c:v>
                </c:pt>
                <c:pt idx="136">
                  <c:v>84.650040000000004</c:v>
                </c:pt>
                <c:pt idx="137">
                  <c:v>84.259799999999998</c:v>
                </c:pt>
                <c:pt idx="138">
                  <c:v>85.777200000000008</c:v>
                </c:pt>
                <c:pt idx="139">
                  <c:v>87.781320000000008</c:v>
                </c:pt>
                <c:pt idx="140">
                  <c:v>89.986680000000007</c:v>
                </c:pt>
                <c:pt idx="141">
                  <c:v>92.057040000000001</c:v>
                </c:pt>
                <c:pt idx="142">
                  <c:v>93.979079999999996</c:v>
                </c:pt>
                <c:pt idx="143">
                  <c:v>94.510440000000003</c:v>
                </c:pt>
                <c:pt idx="144">
                  <c:v>94.84920000000001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5B-4D9B-A3CF-80D96E4865C4}"/>
            </c:ext>
          </c:extLst>
        </c:ser>
        <c:ser>
          <c:idx val="0"/>
          <c:order val="1"/>
          <c:tx>
            <c:strRef>
              <c:f>回归!$J$2</c:f>
              <c:strCache>
                <c:ptCount val="1"/>
                <c:pt idx="0">
                  <c:v>实际路线规划车速</c:v>
                </c:pt>
              </c:strCache>
            </c:strRef>
          </c:tx>
          <c:spPr>
            <a:ln w="28575" cap="rnd">
              <a:solidFill>
                <a:srgbClr val="4D85BD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回归!$A$3:$A$147</c:f>
              <c:numCache>
                <c:formatCode>General</c:formatCode>
                <c:ptCount val="14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  <c:pt idx="101">
                  <c:v>2525</c:v>
                </c:pt>
                <c:pt idx="102">
                  <c:v>2550</c:v>
                </c:pt>
                <c:pt idx="103">
                  <c:v>2575</c:v>
                </c:pt>
                <c:pt idx="104">
                  <c:v>2600</c:v>
                </c:pt>
                <c:pt idx="105">
                  <c:v>2625</c:v>
                </c:pt>
                <c:pt idx="106">
                  <c:v>2650</c:v>
                </c:pt>
                <c:pt idx="107">
                  <c:v>2675</c:v>
                </c:pt>
                <c:pt idx="108">
                  <c:v>2700</c:v>
                </c:pt>
                <c:pt idx="109">
                  <c:v>2725</c:v>
                </c:pt>
                <c:pt idx="110">
                  <c:v>2750</c:v>
                </c:pt>
                <c:pt idx="111">
                  <c:v>2775</c:v>
                </c:pt>
                <c:pt idx="112">
                  <c:v>2800</c:v>
                </c:pt>
                <c:pt idx="113">
                  <c:v>2825</c:v>
                </c:pt>
                <c:pt idx="114">
                  <c:v>2850</c:v>
                </c:pt>
                <c:pt idx="115">
                  <c:v>2875</c:v>
                </c:pt>
                <c:pt idx="116">
                  <c:v>2900</c:v>
                </c:pt>
                <c:pt idx="117">
                  <c:v>2925</c:v>
                </c:pt>
                <c:pt idx="118">
                  <c:v>2950</c:v>
                </c:pt>
                <c:pt idx="119">
                  <c:v>2975</c:v>
                </c:pt>
                <c:pt idx="120">
                  <c:v>3000</c:v>
                </c:pt>
                <c:pt idx="121">
                  <c:v>3025</c:v>
                </c:pt>
                <c:pt idx="122">
                  <c:v>3050</c:v>
                </c:pt>
                <c:pt idx="123">
                  <c:v>3075</c:v>
                </c:pt>
                <c:pt idx="124">
                  <c:v>3100</c:v>
                </c:pt>
                <c:pt idx="125">
                  <c:v>3125</c:v>
                </c:pt>
                <c:pt idx="126">
                  <c:v>3150</c:v>
                </c:pt>
                <c:pt idx="127">
                  <c:v>3175</c:v>
                </c:pt>
                <c:pt idx="128">
                  <c:v>3200</c:v>
                </c:pt>
                <c:pt idx="129">
                  <c:v>3225</c:v>
                </c:pt>
                <c:pt idx="130">
                  <c:v>3250</c:v>
                </c:pt>
                <c:pt idx="131">
                  <c:v>3275</c:v>
                </c:pt>
                <c:pt idx="132">
                  <c:v>3300</c:v>
                </c:pt>
                <c:pt idx="133">
                  <c:v>3325</c:v>
                </c:pt>
                <c:pt idx="134">
                  <c:v>3350</c:v>
                </c:pt>
                <c:pt idx="135">
                  <c:v>3375</c:v>
                </c:pt>
                <c:pt idx="136">
                  <c:v>3400</c:v>
                </c:pt>
                <c:pt idx="137">
                  <c:v>3425</c:v>
                </c:pt>
                <c:pt idx="138">
                  <c:v>3450</c:v>
                </c:pt>
                <c:pt idx="139">
                  <c:v>3475</c:v>
                </c:pt>
                <c:pt idx="140">
                  <c:v>3500</c:v>
                </c:pt>
                <c:pt idx="141">
                  <c:v>3525</c:v>
                </c:pt>
                <c:pt idx="142">
                  <c:v>3550</c:v>
                </c:pt>
                <c:pt idx="143">
                  <c:v>3575</c:v>
                </c:pt>
                <c:pt idx="144">
                  <c:v>3600</c:v>
                </c:pt>
              </c:numCache>
            </c:numRef>
          </c:cat>
          <c:val>
            <c:numRef>
              <c:f>回归!$J$3:$J$147</c:f>
              <c:numCache>
                <c:formatCode>General</c:formatCode>
                <c:ptCount val="145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  <c:pt idx="14">
                  <c:v>90</c:v>
                </c:pt>
                <c:pt idx="15">
                  <c:v>90</c:v>
                </c:pt>
                <c:pt idx="16">
                  <c:v>90</c:v>
                </c:pt>
                <c:pt idx="17">
                  <c:v>90</c:v>
                </c:pt>
                <c:pt idx="18">
                  <c:v>90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90</c:v>
                </c:pt>
                <c:pt idx="23">
                  <c:v>90</c:v>
                </c:pt>
                <c:pt idx="24">
                  <c:v>90</c:v>
                </c:pt>
                <c:pt idx="25">
                  <c:v>90</c:v>
                </c:pt>
                <c:pt idx="26">
                  <c:v>90</c:v>
                </c:pt>
                <c:pt idx="27">
                  <c:v>90</c:v>
                </c:pt>
                <c:pt idx="28">
                  <c:v>90</c:v>
                </c:pt>
                <c:pt idx="29">
                  <c:v>90</c:v>
                </c:pt>
                <c:pt idx="30">
                  <c:v>90</c:v>
                </c:pt>
                <c:pt idx="31">
                  <c:v>90</c:v>
                </c:pt>
                <c:pt idx="32">
                  <c:v>90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  <c:pt idx="36">
                  <c:v>90</c:v>
                </c:pt>
                <c:pt idx="37">
                  <c:v>90</c:v>
                </c:pt>
                <c:pt idx="38">
                  <c:v>90</c:v>
                </c:pt>
                <c:pt idx="39">
                  <c:v>90</c:v>
                </c:pt>
                <c:pt idx="40">
                  <c:v>90</c:v>
                </c:pt>
                <c:pt idx="41">
                  <c:v>90</c:v>
                </c:pt>
                <c:pt idx="42">
                  <c:v>90</c:v>
                </c:pt>
                <c:pt idx="43">
                  <c:v>90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90</c:v>
                </c:pt>
                <c:pt idx="49">
                  <c:v>90</c:v>
                </c:pt>
                <c:pt idx="50">
                  <c:v>90</c:v>
                </c:pt>
                <c:pt idx="51">
                  <c:v>90</c:v>
                </c:pt>
                <c:pt idx="52">
                  <c:v>90</c:v>
                </c:pt>
                <c:pt idx="53">
                  <c:v>90.360000000000014</c:v>
                </c:pt>
                <c:pt idx="54">
                  <c:v>90.72</c:v>
                </c:pt>
                <c:pt idx="55">
                  <c:v>91.08</c:v>
                </c:pt>
                <c:pt idx="56">
                  <c:v>91.44</c:v>
                </c:pt>
                <c:pt idx="57">
                  <c:v>91.8</c:v>
                </c:pt>
                <c:pt idx="58">
                  <c:v>92.160000000000011</c:v>
                </c:pt>
                <c:pt idx="59">
                  <c:v>92.52</c:v>
                </c:pt>
                <c:pt idx="60">
                  <c:v>92.88000000000001</c:v>
                </c:pt>
                <c:pt idx="61">
                  <c:v>93.600000000000009</c:v>
                </c:pt>
                <c:pt idx="62">
                  <c:v>93.960000000000008</c:v>
                </c:pt>
                <c:pt idx="63">
                  <c:v>94.68</c:v>
                </c:pt>
                <c:pt idx="64">
                  <c:v>95.4</c:v>
                </c:pt>
                <c:pt idx="65">
                  <c:v>96.12</c:v>
                </c:pt>
                <c:pt idx="66">
                  <c:v>96.48</c:v>
                </c:pt>
                <c:pt idx="67">
                  <c:v>96.84</c:v>
                </c:pt>
                <c:pt idx="68">
                  <c:v>97.2</c:v>
                </c:pt>
                <c:pt idx="69">
                  <c:v>97.56</c:v>
                </c:pt>
                <c:pt idx="70">
                  <c:v>97.92</c:v>
                </c:pt>
                <c:pt idx="71">
                  <c:v>98.28</c:v>
                </c:pt>
                <c:pt idx="72">
                  <c:v>98.64</c:v>
                </c:pt>
                <c:pt idx="73">
                  <c:v>99</c:v>
                </c:pt>
                <c:pt idx="74">
                  <c:v>99.360000000000014</c:v>
                </c:pt>
                <c:pt idx="75">
                  <c:v>99.72</c:v>
                </c:pt>
                <c:pt idx="76">
                  <c:v>100.00800000000001</c:v>
                </c:pt>
                <c:pt idx="77">
                  <c:v>100.00800000000001</c:v>
                </c:pt>
                <c:pt idx="78">
                  <c:v>100.00800000000001</c:v>
                </c:pt>
                <c:pt idx="79">
                  <c:v>100.00800000000001</c:v>
                </c:pt>
                <c:pt idx="80">
                  <c:v>100.00800000000001</c:v>
                </c:pt>
                <c:pt idx="81">
                  <c:v>100.00800000000001</c:v>
                </c:pt>
                <c:pt idx="82">
                  <c:v>100.00800000000001</c:v>
                </c:pt>
                <c:pt idx="83">
                  <c:v>100.00800000000001</c:v>
                </c:pt>
                <c:pt idx="84">
                  <c:v>99.72</c:v>
                </c:pt>
                <c:pt idx="85">
                  <c:v>99.360000000000014</c:v>
                </c:pt>
                <c:pt idx="86">
                  <c:v>99</c:v>
                </c:pt>
                <c:pt idx="87">
                  <c:v>98.64</c:v>
                </c:pt>
                <c:pt idx="88">
                  <c:v>98.28</c:v>
                </c:pt>
                <c:pt idx="89">
                  <c:v>97.92</c:v>
                </c:pt>
                <c:pt idx="90">
                  <c:v>97.56</c:v>
                </c:pt>
                <c:pt idx="91">
                  <c:v>97.2</c:v>
                </c:pt>
                <c:pt idx="92">
                  <c:v>96.84</c:v>
                </c:pt>
                <c:pt idx="93">
                  <c:v>96.48</c:v>
                </c:pt>
                <c:pt idx="94">
                  <c:v>96.12</c:v>
                </c:pt>
                <c:pt idx="95">
                  <c:v>95.76</c:v>
                </c:pt>
                <c:pt idx="96">
                  <c:v>95.4</c:v>
                </c:pt>
                <c:pt idx="97">
                  <c:v>94.68</c:v>
                </c:pt>
                <c:pt idx="98">
                  <c:v>93.960000000000008</c:v>
                </c:pt>
                <c:pt idx="99">
                  <c:v>93.600000000000009</c:v>
                </c:pt>
                <c:pt idx="100">
                  <c:v>93.24</c:v>
                </c:pt>
                <c:pt idx="101">
                  <c:v>92.88000000000001</c:v>
                </c:pt>
                <c:pt idx="102">
                  <c:v>92.52</c:v>
                </c:pt>
                <c:pt idx="103">
                  <c:v>92.160000000000011</c:v>
                </c:pt>
                <c:pt idx="104">
                  <c:v>91.8</c:v>
                </c:pt>
                <c:pt idx="105">
                  <c:v>91.44</c:v>
                </c:pt>
                <c:pt idx="106">
                  <c:v>91.08</c:v>
                </c:pt>
                <c:pt idx="107">
                  <c:v>90.72</c:v>
                </c:pt>
                <c:pt idx="108">
                  <c:v>90.360000000000014</c:v>
                </c:pt>
                <c:pt idx="109">
                  <c:v>90</c:v>
                </c:pt>
                <c:pt idx="110">
                  <c:v>90</c:v>
                </c:pt>
                <c:pt idx="111">
                  <c:v>90</c:v>
                </c:pt>
                <c:pt idx="112">
                  <c:v>90</c:v>
                </c:pt>
                <c:pt idx="113">
                  <c:v>90</c:v>
                </c:pt>
                <c:pt idx="114">
                  <c:v>90</c:v>
                </c:pt>
                <c:pt idx="115">
                  <c:v>90</c:v>
                </c:pt>
                <c:pt idx="116">
                  <c:v>90</c:v>
                </c:pt>
                <c:pt idx="117">
                  <c:v>90</c:v>
                </c:pt>
                <c:pt idx="118">
                  <c:v>90</c:v>
                </c:pt>
                <c:pt idx="119">
                  <c:v>90</c:v>
                </c:pt>
                <c:pt idx="120">
                  <c:v>90</c:v>
                </c:pt>
                <c:pt idx="121">
                  <c:v>90</c:v>
                </c:pt>
                <c:pt idx="122">
                  <c:v>90</c:v>
                </c:pt>
                <c:pt idx="123">
                  <c:v>90.360000000000014</c:v>
                </c:pt>
                <c:pt idx="124">
                  <c:v>90.360000000000014</c:v>
                </c:pt>
                <c:pt idx="125">
                  <c:v>90.72</c:v>
                </c:pt>
                <c:pt idx="126">
                  <c:v>91.08</c:v>
                </c:pt>
                <c:pt idx="127">
                  <c:v>91.08</c:v>
                </c:pt>
                <c:pt idx="128">
                  <c:v>91.08</c:v>
                </c:pt>
                <c:pt idx="129">
                  <c:v>91.08</c:v>
                </c:pt>
                <c:pt idx="130">
                  <c:v>91.08</c:v>
                </c:pt>
                <c:pt idx="131">
                  <c:v>91.08</c:v>
                </c:pt>
                <c:pt idx="132">
                  <c:v>91.08</c:v>
                </c:pt>
                <c:pt idx="133">
                  <c:v>91.08</c:v>
                </c:pt>
                <c:pt idx="134">
                  <c:v>91.08</c:v>
                </c:pt>
                <c:pt idx="135">
                  <c:v>91.08</c:v>
                </c:pt>
                <c:pt idx="136">
                  <c:v>91.08</c:v>
                </c:pt>
                <c:pt idx="137">
                  <c:v>91.08</c:v>
                </c:pt>
                <c:pt idx="138">
                  <c:v>91.08</c:v>
                </c:pt>
                <c:pt idx="139">
                  <c:v>91.08</c:v>
                </c:pt>
                <c:pt idx="140">
                  <c:v>91.08</c:v>
                </c:pt>
                <c:pt idx="141">
                  <c:v>91.08</c:v>
                </c:pt>
                <c:pt idx="142">
                  <c:v>90.72</c:v>
                </c:pt>
                <c:pt idx="143">
                  <c:v>90.360000000000014</c:v>
                </c:pt>
                <c:pt idx="144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5B-4D9B-A3CF-80D96E4865C4}"/>
            </c:ext>
          </c:extLst>
        </c:ser>
        <c:ser>
          <c:idx val="2"/>
          <c:order val="2"/>
          <c:tx>
            <c:strRef>
              <c:f>回归!$L$2</c:f>
              <c:strCache>
                <c:ptCount val="1"/>
                <c:pt idx="0">
                  <c:v>多弧路线规划车速</c:v>
                </c:pt>
              </c:strCache>
            </c:strRef>
          </c:tx>
          <c:spPr>
            <a:ln w="28575" cap="rnd">
              <a:solidFill>
                <a:srgbClr val="59A95A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回归!$A$3:$A$147</c:f>
              <c:numCache>
                <c:formatCode>General</c:formatCode>
                <c:ptCount val="14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  <c:pt idx="101">
                  <c:v>2525</c:v>
                </c:pt>
                <c:pt idx="102">
                  <c:v>2550</c:v>
                </c:pt>
                <c:pt idx="103">
                  <c:v>2575</c:v>
                </c:pt>
                <c:pt idx="104">
                  <c:v>2600</c:v>
                </c:pt>
                <c:pt idx="105">
                  <c:v>2625</c:v>
                </c:pt>
                <c:pt idx="106">
                  <c:v>2650</c:v>
                </c:pt>
                <c:pt idx="107">
                  <c:v>2675</c:v>
                </c:pt>
                <c:pt idx="108">
                  <c:v>2700</c:v>
                </c:pt>
                <c:pt idx="109">
                  <c:v>2725</c:v>
                </c:pt>
                <c:pt idx="110">
                  <c:v>2750</c:v>
                </c:pt>
                <c:pt idx="111">
                  <c:v>2775</c:v>
                </c:pt>
                <c:pt idx="112">
                  <c:v>2800</c:v>
                </c:pt>
                <c:pt idx="113">
                  <c:v>2825</c:v>
                </c:pt>
                <c:pt idx="114">
                  <c:v>2850</c:v>
                </c:pt>
                <c:pt idx="115">
                  <c:v>2875</c:v>
                </c:pt>
                <c:pt idx="116">
                  <c:v>2900</c:v>
                </c:pt>
                <c:pt idx="117">
                  <c:v>2925</c:v>
                </c:pt>
                <c:pt idx="118">
                  <c:v>2950</c:v>
                </c:pt>
                <c:pt idx="119">
                  <c:v>2975</c:v>
                </c:pt>
                <c:pt idx="120">
                  <c:v>3000</c:v>
                </c:pt>
                <c:pt idx="121">
                  <c:v>3025</c:v>
                </c:pt>
                <c:pt idx="122">
                  <c:v>3050</c:v>
                </c:pt>
                <c:pt idx="123">
                  <c:v>3075</c:v>
                </c:pt>
                <c:pt idx="124">
                  <c:v>3100</c:v>
                </c:pt>
                <c:pt idx="125">
                  <c:v>3125</c:v>
                </c:pt>
                <c:pt idx="126">
                  <c:v>3150</c:v>
                </c:pt>
                <c:pt idx="127">
                  <c:v>3175</c:v>
                </c:pt>
                <c:pt idx="128">
                  <c:v>3200</c:v>
                </c:pt>
                <c:pt idx="129">
                  <c:v>3225</c:v>
                </c:pt>
                <c:pt idx="130">
                  <c:v>3250</c:v>
                </c:pt>
                <c:pt idx="131">
                  <c:v>3275</c:v>
                </c:pt>
                <c:pt idx="132">
                  <c:v>3300</c:v>
                </c:pt>
                <c:pt idx="133">
                  <c:v>3325</c:v>
                </c:pt>
                <c:pt idx="134">
                  <c:v>3350</c:v>
                </c:pt>
                <c:pt idx="135">
                  <c:v>3375</c:v>
                </c:pt>
                <c:pt idx="136">
                  <c:v>3400</c:v>
                </c:pt>
                <c:pt idx="137">
                  <c:v>3425</c:v>
                </c:pt>
                <c:pt idx="138">
                  <c:v>3450</c:v>
                </c:pt>
                <c:pt idx="139">
                  <c:v>3475</c:v>
                </c:pt>
                <c:pt idx="140">
                  <c:v>3500</c:v>
                </c:pt>
                <c:pt idx="141">
                  <c:v>3525</c:v>
                </c:pt>
                <c:pt idx="142">
                  <c:v>3550</c:v>
                </c:pt>
                <c:pt idx="143">
                  <c:v>3575</c:v>
                </c:pt>
                <c:pt idx="144">
                  <c:v>3600</c:v>
                </c:pt>
              </c:numCache>
            </c:numRef>
          </c:cat>
          <c:val>
            <c:numRef>
              <c:f>回归!$L$3:$L$147</c:f>
              <c:numCache>
                <c:formatCode>General</c:formatCode>
                <c:ptCount val="145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  <c:pt idx="14">
                  <c:v>90</c:v>
                </c:pt>
                <c:pt idx="15">
                  <c:v>90</c:v>
                </c:pt>
                <c:pt idx="16">
                  <c:v>90.360000000000014</c:v>
                </c:pt>
                <c:pt idx="17">
                  <c:v>90.72</c:v>
                </c:pt>
                <c:pt idx="18">
                  <c:v>91.08</c:v>
                </c:pt>
                <c:pt idx="19">
                  <c:v>91.44</c:v>
                </c:pt>
                <c:pt idx="20">
                  <c:v>91.8</c:v>
                </c:pt>
                <c:pt idx="21">
                  <c:v>92.160000000000011</c:v>
                </c:pt>
                <c:pt idx="22">
                  <c:v>92.52</c:v>
                </c:pt>
                <c:pt idx="23">
                  <c:v>93.24</c:v>
                </c:pt>
                <c:pt idx="24">
                  <c:v>93.960000000000008</c:v>
                </c:pt>
                <c:pt idx="25">
                  <c:v>94.68</c:v>
                </c:pt>
                <c:pt idx="26">
                  <c:v>95.4</c:v>
                </c:pt>
                <c:pt idx="27">
                  <c:v>96.12</c:v>
                </c:pt>
                <c:pt idx="28">
                  <c:v>96.84</c:v>
                </c:pt>
                <c:pt idx="29">
                  <c:v>97.56</c:v>
                </c:pt>
                <c:pt idx="30">
                  <c:v>97.92</c:v>
                </c:pt>
                <c:pt idx="31">
                  <c:v>98.28</c:v>
                </c:pt>
                <c:pt idx="32">
                  <c:v>98.64</c:v>
                </c:pt>
                <c:pt idx="33">
                  <c:v>99</c:v>
                </c:pt>
                <c:pt idx="34">
                  <c:v>99.360000000000014</c:v>
                </c:pt>
                <c:pt idx="35">
                  <c:v>99.72</c:v>
                </c:pt>
                <c:pt idx="36">
                  <c:v>100.00800000000001</c:v>
                </c:pt>
                <c:pt idx="37">
                  <c:v>100.00800000000001</c:v>
                </c:pt>
                <c:pt idx="38">
                  <c:v>100.00800000000001</c:v>
                </c:pt>
                <c:pt idx="39">
                  <c:v>100.00800000000001</c:v>
                </c:pt>
                <c:pt idx="40">
                  <c:v>100.00800000000001</c:v>
                </c:pt>
                <c:pt idx="41">
                  <c:v>100.00800000000001</c:v>
                </c:pt>
                <c:pt idx="42">
                  <c:v>100.00800000000001</c:v>
                </c:pt>
                <c:pt idx="43">
                  <c:v>99.72</c:v>
                </c:pt>
                <c:pt idx="44">
                  <c:v>99.360000000000014</c:v>
                </c:pt>
                <c:pt idx="45">
                  <c:v>99</c:v>
                </c:pt>
                <c:pt idx="46">
                  <c:v>98.64</c:v>
                </c:pt>
                <c:pt idx="47">
                  <c:v>98.28</c:v>
                </c:pt>
                <c:pt idx="48">
                  <c:v>97.92</c:v>
                </c:pt>
                <c:pt idx="49">
                  <c:v>97.56</c:v>
                </c:pt>
                <c:pt idx="50">
                  <c:v>97.2</c:v>
                </c:pt>
                <c:pt idx="51">
                  <c:v>96.48</c:v>
                </c:pt>
                <c:pt idx="52">
                  <c:v>95.76</c:v>
                </c:pt>
                <c:pt idx="53">
                  <c:v>95.039999999999992</c:v>
                </c:pt>
                <c:pt idx="54">
                  <c:v>94.32</c:v>
                </c:pt>
                <c:pt idx="55">
                  <c:v>93.960000000000008</c:v>
                </c:pt>
                <c:pt idx="56">
                  <c:v>93.600000000000009</c:v>
                </c:pt>
                <c:pt idx="57">
                  <c:v>93.24</c:v>
                </c:pt>
                <c:pt idx="58">
                  <c:v>92.88000000000001</c:v>
                </c:pt>
                <c:pt idx="59">
                  <c:v>92.52</c:v>
                </c:pt>
                <c:pt idx="60">
                  <c:v>92.160000000000011</c:v>
                </c:pt>
                <c:pt idx="61">
                  <c:v>91.8</c:v>
                </c:pt>
                <c:pt idx="62">
                  <c:v>91.44</c:v>
                </c:pt>
                <c:pt idx="63">
                  <c:v>91.08</c:v>
                </c:pt>
                <c:pt idx="64">
                  <c:v>90.72</c:v>
                </c:pt>
                <c:pt idx="65">
                  <c:v>90.72</c:v>
                </c:pt>
                <c:pt idx="66">
                  <c:v>90.72</c:v>
                </c:pt>
                <c:pt idx="67">
                  <c:v>90.72</c:v>
                </c:pt>
                <c:pt idx="68">
                  <c:v>90.72</c:v>
                </c:pt>
                <c:pt idx="69">
                  <c:v>91.08</c:v>
                </c:pt>
                <c:pt idx="70">
                  <c:v>91.44</c:v>
                </c:pt>
                <c:pt idx="71">
                  <c:v>91.8</c:v>
                </c:pt>
                <c:pt idx="72">
                  <c:v>92.160000000000011</c:v>
                </c:pt>
                <c:pt idx="73">
                  <c:v>92.52</c:v>
                </c:pt>
                <c:pt idx="74">
                  <c:v>92.88000000000001</c:v>
                </c:pt>
                <c:pt idx="75">
                  <c:v>93.24</c:v>
                </c:pt>
                <c:pt idx="76">
                  <c:v>93.600000000000009</c:v>
                </c:pt>
                <c:pt idx="77">
                  <c:v>94.32</c:v>
                </c:pt>
                <c:pt idx="78">
                  <c:v>95.039999999999992</c:v>
                </c:pt>
                <c:pt idx="79">
                  <c:v>95.76</c:v>
                </c:pt>
                <c:pt idx="80">
                  <c:v>96.48</c:v>
                </c:pt>
                <c:pt idx="81">
                  <c:v>97.2</c:v>
                </c:pt>
                <c:pt idx="82">
                  <c:v>97.56</c:v>
                </c:pt>
                <c:pt idx="83">
                  <c:v>97.92</c:v>
                </c:pt>
                <c:pt idx="84">
                  <c:v>98.28</c:v>
                </c:pt>
                <c:pt idx="85">
                  <c:v>98.64</c:v>
                </c:pt>
                <c:pt idx="86">
                  <c:v>99</c:v>
                </c:pt>
                <c:pt idx="87">
                  <c:v>99.360000000000014</c:v>
                </c:pt>
                <c:pt idx="88">
                  <c:v>99.72</c:v>
                </c:pt>
                <c:pt idx="89">
                  <c:v>100.00800000000001</c:v>
                </c:pt>
                <c:pt idx="90">
                  <c:v>100.00800000000001</c:v>
                </c:pt>
                <c:pt idx="91">
                  <c:v>100.00800000000001</c:v>
                </c:pt>
                <c:pt idx="92">
                  <c:v>100.00800000000001</c:v>
                </c:pt>
                <c:pt idx="93">
                  <c:v>100.00800000000001</c:v>
                </c:pt>
                <c:pt idx="94">
                  <c:v>100.00800000000001</c:v>
                </c:pt>
                <c:pt idx="95">
                  <c:v>100.00800000000001</c:v>
                </c:pt>
                <c:pt idx="96">
                  <c:v>100.00800000000001</c:v>
                </c:pt>
                <c:pt idx="97">
                  <c:v>100.00800000000001</c:v>
                </c:pt>
                <c:pt idx="98">
                  <c:v>100.00800000000001</c:v>
                </c:pt>
                <c:pt idx="99">
                  <c:v>99.72</c:v>
                </c:pt>
                <c:pt idx="100">
                  <c:v>99.360000000000014</c:v>
                </c:pt>
                <c:pt idx="101">
                  <c:v>99</c:v>
                </c:pt>
                <c:pt idx="102">
                  <c:v>98.64</c:v>
                </c:pt>
                <c:pt idx="103">
                  <c:v>98.28</c:v>
                </c:pt>
                <c:pt idx="104">
                  <c:v>97.92</c:v>
                </c:pt>
                <c:pt idx="105">
                  <c:v>97.2</c:v>
                </c:pt>
                <c:pt idx="106">
                  <c:v>96.84</c:v>
                </c:pt>
                <c:pt idx="107">
                  <c:v>96.12</c:v>
                </c:pt>
                <c:pt idx="108">
                  <c:v>95.4</c:v>
                </c:pt>
                <c:pt idx="109">
                  <c:v>94.68</c:v>
                </c:pt>
                <c:pt idx="110">
                  <c:v>93.960000000000008</c:v>
                </c:pt>
                <c:pt idx="111">
                  <c:v>93.24</c:v>
                </c:pt>
                <c:pt idx="112">
                  <c:v>92.88000000000001</c:v>
                </c:pt>
                <c:pt idx="113">
                  <c:v>92.52</c:v>
                </c:pt>
                <c:pt idx="114">
                  <c:v>92.160000000000011</c:v>
                </c:pt>
                <c:pt idx="115">
                  <c:v>91.8</c:v>
                </c:pt>
                <c:pt idx="116">
                  <c:v>91.44</c:v>
                </c:pt>
                <c:pt idx="117">
                  <c:v>91.08</c:v>
                </c:pt>
                <c:pt idx="118">
                  <c:v>90.72</c:v>
                </c:pt>
                <c:pt idx="119">
                  <c:v>90.360000000000014</c:v>
                </c:pt>
                <c:pt idx="120">
                  <c:v>90</c:v>
                </c:pt>
                <c:pt idx="121">
                  <c:v>90</c:v>
                </c:pt>
                <c:pt idx="122">
                  <c:v>90</c:v>
                </c:pt>
                <c:pt idx="123">
                  <c:v>90</c:v>
                </c:pt>
                <c:pt idx="124">
                  <c:v>90</c:v>
                </c:pt>
                <c:pt idx="125">
                  <c:v>90</c:v>
                </c:pt>
                <c:pt idx="126">
                  <c:v>90</c:v>
                </c:pt>
                <c:pt idx="127">
                  <c:v>90</c:v>
                </c:pt>
                <c:pt idx="128">
                  <c:v>90</c:v>
                </c:pt>
                <c:pt idx="129">
                  <c:v>90</c:v>
                </c:pt>
                <c:pt idx="130">
                  <c:v>90</c:v>
                </c:pt>
                <c:pt idx="131">
                  <c:v>90</c:v>
                </c:pt>
                <c:pt idx="132">
                  <c:v>90</c:v>
                </c:pt>
                <c:pt idx="133">
                  <c:v>90</c:v>
                </c:pt>
                <c:pt idx="134">
                  <c:v>90</c:v>
                </c:pt>
                <c:pt idx="135">
                  <c:v>90</c:v>
                </c:pt>
                <c:pt idx="136">
                  <c:v>90</c:v>
                </c:pt>
                <c:pt idx="137">
                  <c:v>90</c:v>
                </c:pt>
                <c:pt idx="138">
                  <c:v>90</c:v>
                </c:pt>
                <c:pt idx="139">
                  <c:v>90</c:v>
                </c:pt>
                <c:pt idx="140">
                  <c:v>90</c:v>
                </c:pt>
                <c:pt idx="141">
                  <c:v>90</c:v>
                </c:pt>
                <c:pt idx="142">
                  <c:v>90</c:v>
                </c:pt>
                <c:pt idx="143">
                  <c:v>90</c:v>
                </c:pt>
                <c:pt idx="144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5B-4D9B-A3CF-80D96E486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4778784"/>
        <c:axId val="254777120"/>
      </c:lineChart>
      <c:catAx>
        <c:axId val="254778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/>
                  <a:t>距离（</a:t>
                </a:r>
                <a:r>
                  <a:rPr lang="en-US" altLang="zh-CN"/>
                  <a:t>m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254777120"/>
        <c:crosses val="autoZero"/>
        <c:auto val="1"/>
        <c:lblAlgn val="ctr"/>
        <c:lblOffset val="100"/>
        <c:tickLblSkip val="16"/>
        <c:tickMarkSkip val="16"/>
        <c:noMultiLvlLbl val="0"/>
      </c:catAx>
      <c:valAx>
        <c:axId val="254777120"/>
        <c:scaling>
          <c:orientation val="minMax"/>
          <c:max val="105"/>
          <c:min val="7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/>
                  <a:t>车速（</a:t>
                </a:r>
                <a:r>
                  <a:rPr lang="en-US" altLang="zh-CN"/>
                  <a:t>km/h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25477878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4440883190883194"/>
          <c:y val="0.53248429434550204"/>
          <c:w val="0.33858618233618237"/>
          <c:h val="0.281829250510352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 baseline="0">
          <a:solidFill>
            <a:schemeClr val="tx1"/>
          </a:solidFill>
          <a:latin typeface="Times New Roman" panose="02020603050405020304" pitchFamily="18" charset="0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3616452991453E-2"/>
          <c:y val="4.5337462276927191E-2"/>
          <c:w val="0.87127065527065528"/>
          <c:h val="0.79589704079754986"/>
        </c:manualLayout>
      </c:layout>
      <c:lineChart>
        <c:grouping val="standard"/>
        <c:varyColors val="0"/>
        <c:ser>
          <c:idx val="0"/>
          <c:order val="0"/>
          <c:tx>
            <c:strRef>
              <c:f>'回归-油耗差'!$B$2</c:f>
              <c:strCache>
                <c:ptCount val="1"/>
                <c:pt idx="0">
                  <c:v>实际路线</c:v>
                </c:pt>
              </c:strCache>
            </c:strRef>
          </c:tx>
          <c:spPr>
            <a:ln w="28575" cap="rnd">
              <a:solidFill>
                <a:srgbClr val="F7903D"/>
              </a:solidFill>
              <a:round/>
            </a:ln>
            <a:effectLst/>
          </c:spPr>
          <c:marker>
            <c:symbol val="none"/>
          </c:marker>
          <c:cat>
            <c:numRef>
              <c:f>'回归-油耗差'!$A$3:$A$147</c:f>
              <c:numCache>
                <c:formatCode>General</c:formatCode>
                <c:ptCount val="14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  <c:pt idx="101">
                  <c:v>2525</c:v>
                </c:pt>
                <c:pt idx="102">
                  <c:v>2550</c:v>
                </c:pt>
                <c:pt idx="103">
                  <c:v>2575</c:v>
                </c:pt>
                <c:pt idx="104">
                  <c:v>2600</c:v>
                </c:pt>
                <c:pt idx="105">
                  <c:v>2625</c:v>
                </c:pt>
                <c:pt idx="106">
                  <c:v>2650</c:v>
                </c:pt>
                <c:pt idx="107">
                  <c:v>2675</c:v>
                </c:pt>
                <c:pt idx="108">
                  <c:v>2700</c:v>
                </c:pt>
                <c:pt idx="109">
                  <c:v>2725</c:v>
                </c:pt>
                <c:pt idx="110">
                  <c:v>2750</c:v>
                </c:pt>
                <c:pt idx="111">
                  <c:v>2775</c:v>
                </c:pt>
                <c:pt idx="112">
                  <c:v>2800</c:v>
                </c:pt>
                <c:pt idx="113">
                  <c:v>2825</c:v>
                </c:pt>
                <c:pt idx="114">
                  <c:v>2850</c:v>
                </c:pt>
                <c:pt idx="115">
                  <c:v>2875</c:v>
                </c:pt>
                <c:pt idx="116">
                  <c:v>2900</c:v>
                </c:pt>
                <c:pt idx="117">
                  <c:v>2925</c:v>
                </c:pt>
                <c:pt idx="118">
                  <c:v>2950</c:v>
                </c:pt>
                <c:pt idx="119">
                  <c:v>2975</c:v>
                </c:pt>
                <c:pt idx="120">
                  <c:v>3000</c:v>
                </c:pt>
                <c:pt idx="121">
                  <c:v>3025</c:v>
                </c:pt>
                <c:pt idx="122">
                  <c:v>3050</c:v>
                </c:pt>
                <c:pt idx="123">
                  <c:v>3075</c:v>
                </c:pt>
                <c:pt idx="124">
                  <c:v>3100</c:v>
                </c:pt>
                <c:pt idx="125">
                  <c:v>3125</c:v>
                </c:pt>
                <c:pt idx="126">
                  <c:v>3150</c:v>
                </c:pt>
                <c:pt idx="127">
                  <c:v>3175</c:v>
                </c:pt>
                <c:pt idx="128">
                  <c:v>3200</c:v>
                </c:pt>
                <c:pt idx="129">
                  <c:v>3225</c:v>
                </c:pt>
                <c:pt idx="130">
                  <c:v>3250</c:v>
                </c:pt>
                <c:pt idx="131">
                  <c:v>3275</c:v>
                </c:pt>
                <c:pt idx="132">
                  <c:v>3300</c:v>
                </c:pt>
                <c:pt idx="133">
                  <c:v>3325</c:v>
                </c:pt>
                <c:pt idx="134">
                  <c:v>3350</c:v>
                </c:pt>
                <c:pt idx="135">
                  <c:v>3375</c:v>
                </c:pt>
                <c:pt idx="136">
                  <c:v>3400</c:v>
                </c:pt>
                <c:pt idx="137">
                  <c:v>3425</c:v>
                </c:pt>
                <c:pt idx="138">
                  <c:v>3450</c:v>
                </c:pt>
                <c:pt idx="139">
                  <c:v>3475</c:v>
                </c:pt>
                <c:pt idx="140">
                  <c:v>3500</c:v>
                </c:pt>
                <c:pt idx="141">
                  <c:v>3525</c:v>
                </c:pt>
                <c:pt idx="142">
                  <c:v>3550</c:v>
                </c:pt>
                <c:pt idx="143">
                  <c:v>3575</c:v>
                </c:pt>
                <c:pt idx="144">
                  <c:v>3600</c:v>
                </c:pt>
              </c:numCache>
            </c:numRef>
          </c:cat>
          <c:val>
            <c:numRef>
              <c:f>'回归-油耗差'!$B$3:$B$147</c:f>
              <c:numCache>
                <c:formatCode>General</c:formatCode>
                <c:ptCount val="145"/>
                <c:pt idx="0">
                  <c:v>1.06913036956837</c:v>
                </c:pt>
                <c:pt idx="1">
                  <c:v>1.06913036956837</c:v>
                </c:pt>
                <c:pt idx="2">
                  <c:v>1.1032206177608299</c:v>
                </c:pt>
                <c:pt idx="3">
                  <c:v>1.1032206177608299</c:v>
                </c:pt>
                <c:pt idx="4">
                  <c:v>1.21836562645419</c:v>
                </c:pt>
                <c:pt idx="5">
                  <c:v>1.21836562645419</c:v>
                </c:pt>
                <c:pt idx="6">
                  <c:v>1.30474901323126</c:v>
                </c:pt>
                <c:pt idx="7">
                  <c:v>1.30474901323126</c:v>
                </c:pt>
                <c:pt idx="8">
                  <c:v>1.14228060567901</c:v>
                </c:pt>
                <c:pt idx="9">
                  <c:v>1.14228060567901</c:v>
                </c:pt>
                <c:pt idx="10">
                  <c:v>1.2250723109600601</c:v>
                </c:pt>
                <c:pt idx="11">
                  <c:v>1.2250723109600601</c:v>
                </c:pt>
                <c:pt idx="12">
                  <c:v>1.2205412530489199</c:v>
                </c:pt>
                <c:pt idx="13">
                  <c:v>1.2205412530489199</c:v>
                </c:pt>
                <c:pt idx="14">
                  <c:v>1.2188999863974499</c:v>
                </c:pt>
                <c:pt idx="15">
                  <c:v>1.2188999863974499</c:v>
                </c:pt>
                <c:pt idx="16">
                  <c:v>1.28807655671319</c:v>
                </c:pt>
                <c:pt idx="17">
                  <c:v>1.28807655671319</c:v>
                </c:pt>
                <c:pt idx="18">
                  <c:v>1.1829075112523399</c:v>
                </c:pt>
                <c:pt idx="19">
                  <c:v>1.1829075112523399</c:v>
                </c:pt>
                <c:pt idx="20">
                  <c:v>1.2067645144361401</c:v>
                </c:pt>
                <c:pt idx="21">
                  <c:v>1.2067645144361401</c:v>
                </c:pt>
                <c:pt idx="22">
                  <c:v>1.2219442331710699</c:v>
                </c:pt>
                <c:pt idx="23">
                  <c:v>1.2219442331710699</c:v>
                </c:pt>
                <c:pt idx="24">
                  <c:v>1.16365426839576</c:v>
                </c:pt>
                <c:pt idx="25">
                  <c:v>1.16365426839576</c:v>
                </c:pt>
                <c:pt idx="26">
                  <c:v>1.2021550387894999</c:v>
                </c:pt>
                <c:pt idx="27">
                  <c:v>1.2021550387894999</c:v>
                </c:pt>
                <c:pt idx="28">
                  <c:v>1.16134637168063</c:v>
                </c:pt>
                <c:pt idx="29">
                  <c:v>1.16134637168063</c:v>
                </c:pt>
                <c:pt idx="30">
                  <c:v>1.32411707292479</c:v>
                </c:pt>
                <c:pt idx="31">
                  <c:v>1.32411707292479</c:v>
                </c:pt>
                <c:pt idx="32">
                  <c:v>1.22128574206503</c:v>
                </c:pt>
                <c:pt idx="33">
                  <c:v>1.22128574206503</c:v>
                </c:pt>
                <c:pt idx="34">
                  <c:v>1.2909368034490001</c:v>
                </c:pt>
                <c:pt idx="35">
                  <c:v>1.2909368034490001</c:v>
                </c:pt>
                <c:pt idx="36">
                  <c:v>1.2645851082812201</c:v>
                </c:pt>
                <c:pt idx="37">
                  <c:v>1.2645851082812201</c:v>
                </c:pt>
                <c:pt idx="38">
                  <c:v>1.3394255936578801</c:v>
                </c:pt>
                <c:pt idx="39">
                  <c:v>1.3394255936578801</c:v>
                </c:pt>
                <c:pt idx="40">
                  <c:v>1.38070975496667</c:v>
                </c:pt>
                <c:pt idx="41">
                  <c:v>1.38070975496667</c:v>
                </c:pt>
                <c:pt idx="42">
                  <c:v>1.33074009197989</c:v>
                </c:pt>
                <c:pt idx="43">
                  <c:v>1.33074009197989</c:v>
                </c:pt>
                <c:pt idx="44">
                  <c:v>1.3020488087381199</c:v>
                </c:pt>
                <c:pt idx="45">
                  <c:v>1.3020488087381199</c:v>
                </c:pt>
                <c:pt idx="46">
                  <c:v>1.36601869580449</c:v>
                </c:pt>
                <c:pt idx="47">
                  <c:v>1.36601869580449</c:v>
                </c:pt>
                <c:pt idx="48">
                  <c:v>1.36109604258789</c:v>
                </c:pt>
                <c:pt idx="49">
                  <c:v>1.36109604258789</c:v>
                </c:pt>
                <c:pt idx="50">
                  <c:v>1.38210580395313</c:v>
                </c:pt>
                <c:pt idx="51">
                  <c:v>1.38210580395313</c:v>
                </c:pt>
                <c:pt idx="52">
                  <c:v>1.67382829769903</c:v>
                </c:pt>
                <c:pt idx="53">
                  <c:v>1.6789137197361399</c:v>
                </c:pt>
                <c:pt idx="54">
                  <c:v>1.57926239558003</c:v>
                </c:pt>
                <c:pt idx="55">
                  <c:v>1.5834141397931101</c:v>
                </c:pt>
                <c:pt idx="56">
                  <c:v>1.5040863009787699</c:v>
                </c:pt>
                <c:pt idx="57">
                  <c:v>1.5074520846750401</c:v>
                </c:pt>
                <c:pt idx="58">
                  <c:v>1.36640936360849</c:v>
                </c:pt>
                <c:pt idx="59">
                  <c:v>1.3682381592310999</c:v>
                </c:pt>
                <c:pt idx="60">
                  <c:v>1.71264255412766</c:v>
                </c:pt>
                <c:pt idx="61">
                  <c:v>1.2792379622401999</c:v>
                </c:pt>
                <c:pt idx="62">
                  <c:v>1.62214602746021</c:v>
                </c:pt>
                <c:pt idx="63">
                  <c:v>1.6285540549904101</c:v>
                </c:pt>
                <c:pt idx="64">
                  <c:v>1.57916654537768</c:v>
                </c:pt>
                <c:pt idx="65">
                  <c:v>1.1316935776325101</c:v>
                </c:pt>
                <c:pt idx="66">
                  <c:v>1.1527703366870501</c:v>
                </c:pt>
                <c:pt idx="67">
                  <c:v>1.1516369738197301</c:v>
                </c:pt>
                <c:pt idx="68">
                  <c:v>1.12758743104085</c:v>
                </c:pt>
                <c:pt idx="69">
                  <c:v>1.1260334951181199</c:v>
                </c:pt>
                <c:pt idx="70">
                  <c:v>1.19157570117149</c:v>
                </c:pt>
                <c:pt idx="71">
                  <c:v>1.1907625111728799</c:v>
                </c:pt>
                <c:pt idx="72">
                  <c:v>1.1739345570425099</c:v>
                </c:pt>
                <c:pt idx="73">
                  <c:v>1.17279822405379</c:v>
                </c:pt>
                <c:pt idx="74">
                  <c:v>1.14334001197269</c:v>
                </c:pt>
                <c:pt idx="75">
                  <c:v>1.0493186370833101</c:v>
                </c:pt>
                <c:pt idx="76">
                  <c:v>0.73788101233040604</c:v>
                </c:pt>
                <c:pt idx="77">
                  <c:v>0.73788101233040604</c:v>
                </c:pt>
                <c:pt idx="78">
                  <c:v>0.80168826902518897</c:v>
                </c:pt>
                <c:pt idx="79">
                  <c:v>0.80168826902518897</c:v>
                </c:pt>
                <c:pt idx="80">
                  <c:v>0.89301569395781</c:v>
                </c:pt>
                <c:pt idx="81">
                  <c:v>0.89301569395781</c:v>
                </c:pt>
                <c:pt idx="82">
                  <c:v>0.95596925833269397</c:v>
                </c:pt>
                <c:pt idx="83">
                  <c:v>0.62128115231520098</c:v>
                </c:pt>
                <c:pt idx="84">
                  <c:v>0.63860246221723005</c:v>
                </c:pt>
                <c:pt idx="85">
                  <c:v>0.64273833615560105</c:v>
                </c:pt>
                <c:pt idx="86">
                  <c:v>0.62397457587114602</c:v>
                </c:pt>
                <c:pt idx="87">
                  <c:v>0.62824152674320499</c:v>
                </c:pt>
                <c:pt idx="88">
                  <c:v>0.78859847395707305</c:v>
                </c:pt>
                <c:pt idx="89">
                  <c:v>0.79077621858614899</c:v>
                </c:pt>
                <c:pt idx="90">
                  <c:v>0.85087497723820504</c:v>
                </c:pt>
                <c:pt idx="91">
                  <c:v>0.85228751075567599</c:v>
                </c:pt>
                <c:pt idx="92">
                  <c:v>0.97193236968160202</c:v>
                </c:pt>
                <c:pt idx="93">
                  <c:v>0.97193366773560097</c:v>
                </c:pt>
                <c:pt idx="94">
                  <c:v>1.0084735794200701</c:v>
                </c:pt>
                <c:pt idx="95">
                  <c:v>1.00809437039504</c:v>
                </c:pt>
                <c:pt idx="96">
                  <c:v>0.75239355029164401</c:v>
                </c:pt>
                <c:pt idx="97">
                  <c:v>0.75507989251683505</c:v>
                </c:pt>
                <c:pt idx="98">
                  <c:v>1.0458401536485</c:v>
                </c:pt>
                <c:pt idx="99">
                  <c:v>1.0452180437524199</c:v>
                </c:pt>
                <c:pt idx="100">
                  <c:v>1.0316582376808501</c:v>
                </c:pt>
                <c:pt idx="101">
                  <c:v>1.03124518361619</c:v>
                </c:pt>
                <c:pt idx="102">
                  <c:v>0.95141170800266905</c:v>
                </c:pt>
                <c:pt idx="103">
                  <c:v>0.95185189786221003</c:v>
                </c:pt>
                <c:pt idx="104">
                  <c:v>0.94047512516813003</c:v>
                </c:pt>
                <c:pt idx="105">
                  <c:v>0.941062024535672</c:v>
                </c:pt>
                <c:pt idx="106">
                  <c:v>1.00810549694784</c:v>
                </c:pt>
                <c:pt idx="107">
                  <c:v>1.00811101277076</c:v>
                </c:pt>
                <c:pt idx="108">
                  <c:v>1.01260718658354</c:v>
                </c:pt>
                <c:pt idx="109">
                  <c:v>1.39160705670392</c:v>
                </c:pt>
                <c:pt idx="110">
                  <c:v>1.30078820759883</c:v>
                </c:pt>
                <c:pt idx="111">
                  <c:v>1.30078820759883</c:v>
                </c:pt>
                <c:pt idx="112">
                  <c:v>1.2227649866672801</c:v>
                </c:pt>
                <c:pt idx="113">
                  <c:v>1.2227649866672801</c:v>
                </c:pt>
                <c:pt idx="114">
                  <c:v>1.1343941163064299</c:v>
                </c:pt>
                <c:pt idx="115">
                  <c:v>1.1343941163064299</c:v>
                </c:pt>
                <c:pt idx="116">
                  <c:v>0.97362521471598595</c:v>
                </c:pt>
                <c:pt idx="117">
                  <c:v>0.97362521471598595</c:v>
                </c:pt>
                <c:pt idx="118">
                  <c:v>0.97344839367491798</c:v>
                </c:pt>
                <c:pt idx="119">
                  <c:v>0.97344839367491798</c:v>
                </c:pt>
                <c:pt idx="120">
                  <c:v>0.97431734623218802</c:v>
                </c:pt>
                <c:pt idx="121">
                  <c:v>0.97431734623218802</c:v>
                </c:pt>
                <c:pt idx="122">
                  <c:v>1.2317376949429</c:v>
                </c:pt>
                <c:pt idx="123">
                  <c:v>0.86736891707226804</c:v>
                </c:pt>
                <c:pt idx="124">
                  <c:v>1.16035626810901</c:v>
                </c:pt>
                <c:pt idx="125">
                  <c:v>1.1600686822691</c:v>
                </c:pt>
                <c:pt idx="126">
                  <c:v>0.83062600995060198</c:v>
                </c:pt>
                <c:pt idx="127">
                  <c:v>0.83062600995060198</c:v>
                </c:pt>
                <c:pt idx="128">
                  <c:v>0.81944758988043898</c:v>
                </c:pt>
                <c:pt idx="129">
                  <c:v>0.81944758988043898</c:v>
                </c:pt>
                <c:pt idx="130">
                  <c:v>0.78655912526693605</c:v>
                </c:pt>
                <c:pt idx="131">
                  <c:v>0.78655912526693605</c:v>
                </c:pt>
                <c:pt idx="132">
                  <c:v>0.85317398640856901</c:v>
                </c:pt>
                <c:pt idx="133">
                  <c:v>0.85317398640856901</c:v>
                </c:pt>
                <c:pt idx="134">
                  <c:v>0.85061234702645705</c:v>
                </c:pt>
                <c:pt idx="135">
                  <c:v>0.85061234702645705</c:v>
                </c:pt>
                <c:pt idx="136">
                  <c:v>0.76661770005509899</c:v>
                </c:pt>
                <c:pt idx="137">
                  <c:v>0.76661770005509899</c:v>
                </c:pt>
                <c:pt idx="138">
                  <c:v>0.72597107511422598</c:v>
                </c:pt>
                <c:pt idx="139">
                  <c:v>0.72597107511422598</c:v>
                </c:pt>
                <c:pt idx="140">
                  <c:v>0.81227587471329099</c:v>
                </c:pt>
                <c:pt idx="141">
                  <c:v>0.49364658951206702</c:v>
                </c:pt>
                <c:pt idx="142">
                  <c:v>0.46485933002331398</c:v>
                </c:pt>
                <c:pt idx="143">
                  <c:v>0.46997763670166098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B-44CF-89E2-8582BD8DE2D2}"/>
            </c:ext>
          </c:extLst>
        </c:ser>
        <c:ser>
          <c:idx val="2"/>
          <c:order val="1"/>
          <c:tx>
            <c:strRef>
              <c:f>'回归-油耗差'!$D$2</c:f>
              <c:strCache>
                <c:ptCount val="1"/>
                <c:pt idx="0">
                  <c:v>多弧路线</c:v>
                </c:pt>
              </c:strCache>
            </c:strRef>
          </c:tx>
          <c:spPr>
            <a:ln w="28575" cap="rnd">
              <a:solidFill>
                <a:srgbClr val="59A95A"/>
              </a:solidFill>
              <a:round/>
            </a:ln>
            <a:effectLst/>
          </c:spPr>
          <c:marker>
            <c:symbol val="none"/>
          </c:marker>
          <c:cat>
            <c:numRef>
              <c:f>'回归-油耗差'!$A$3:$A$147</c:f>
              <c:numCache>
                <c:formatCode>General</c:formatCode>
                <c:ptCount val="14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  <c:pt idx="101">
                  <c:v>2525</c:v>
                </c:pt>
                <c:pt idx="102">
                  <c:v>2550</c:v>
                </c:pt>
                <c:pt idx="103">
                  <c:v>2575</c:v>
                </c:pt>
                <c:pt idx="104">
                  <c:v>2600</c:v>
                </c:pt>
                <c:pt idx="105">
                  <c:v>2625</c:v>
                </c:pt>
                <c:pt idx="106">
                  <c:v>2650</c:v>
                </c:pt>
                <c:pt idx="107">
                  <c:v>2675</c:v>
                </c:pt>
                <c:pt idx="108">
                  <c:v>2700</c:v>
                </c:pt>
                <c:pt idx="109">
                  <c:v>2725</c:v>
                </c:pt>
                <c:pt idx="110">
                  <c:v>2750</c:v>
                </c:pt>
                <c:pt idx="111">
                  <c:v>2775</c:v>
                </c:pt>
                <c:pt idx="112">
                  <c:v>2800</c:v>
                </c:pt>
                <c:pt idx="113">
                  <c:v>2825</c:v>
                </c:pt>
                <c:pt idx="114">
                  <c:v>2850</c:v>
                </c:pt>
                <c:pt idx="115">
                  <c:v>2875</c:v>
                </c:pt>
                <c:pt idx="116">
                  <c:v>2900</c:v>
                </c:pt>
                <c:pt idx="117">
                  <c:v>2925</c:v>
                </c:pt>
                <c:pt idx="118">
                  <c:v>2950</c:v>
                </c:pt>
                <c:pt idx="119">
                  <c:v>2975</c:v>
                </c:pt>
                <c:pt idx="120">
                  <c:v>3000</c:v>
                </c:pt>
                <c:pt idx="121">
                  <c:v>3025</c:v>
                </c:pt>
                <c:pt idx="122">
                  <c:v>3050</c:v>
                </c:pt>
                <c:pt idx="123">
                  <c:v>3075</c:v>
                </c:pt>
                <c:pt idx="124">
                  <c:v>3100</c:v>
                </c:pt>
                <c:pt idx="125">
                  <c:v>3125</c:v>
                </c:pt>
                <c:pt idx="126">
                  <c:v>3150</c:v>
                </c:pt>
                <c:pt idx="127">
                  <c:v>3175</c:v>
                </c:pt>
                <c:pt idx="128">
                  <c:v>3200</c:v>
                </c:pt>
                <c:pt idx="129">
                  <c:v>3225</c:v>
                </c:pt>
                <c:pt idx="130">
                  <c:v>3250</c:v>
                </c:pt>
                <c:pt idx="131">
                  <c:v>3275</c:v>
                </c:pt>
                <c:pt idx="132">
                  <c:v>3300</c:v>
                </c:pt>
                <c:pt idx="133">
                  <c:v>3325</c:v>
                </c:pt>
                <c:pt idx="134">
                  <c:v>3350</c:v>
                </c:pt>
                <c:pt idx="135">
                  <c:v>3375</c:v>
                </c:pt>
                <c:pt idx="136">
                  <c:v>3400</c:v>
                </c:pt>
                <c:pt idx="137">
                  <c:v>3425</c:v>
                </c:pt>
                <c:pt idx="138">
                  <c:v>3450</c:v>
                </c:pt>
                <c:pt idx="139">
                  <c:v>3475</c:v>
                </c:pt>
                <c:pt idx="140">
                  <c:v>3500</c:v>
                </c:pt>
                <c:pt idx="141">
                  <c:v>3525</c:v>
                </c:pt>
                <c:pt idx="142">
                  <c:v>3550</c:v>
                </c:pt>
                <c:pt idx="143">
                  <c:v>3575</c:v>
                </c:pt>
                <c:pt idx="144">
                  <c:v>3600</c:v>
                </c:pt>
              </c:numCache>
            </c:numRef>
          </c:cat>
          <c:val>
            <c:numRef>
              <c:f>'回归-油耗差'!$D$3:$D$147</c:f>
              <c:numCache>
                <c:formatCode>General</c:formatCode>
                <c:ptCount val="145"/>
                <c:pt idx="0">
                  <c:v>1.8589331092610999</c:v>
                </c:pt>
                <c:pt idx="1">
                  <c:v>1.8589331092610999</c:v>
                </c:pt>
                <c:pt idx="2">
                  <c:v>1.8589331092610999</c:v>
                </c:pt>
                <c:pt idx="3">
                  <c:v>1.8589331092610999</c:v>
                </c:pt>
                <c:pt idx="4">
                  <c:v>1.8535245691189699</c:v>
                </c:pt>
                <c:pt idx="5">
                  <c:v>1.8535245691189699</c:v>
                </c:pt>
                <c:pt idx="6">
                  <c:v>1.7640175058356999</c:v>
                </c:pt>
                <c:pt idx="7">
                  <c:v>1.7640175058356999</c:v>
                </c:pt>
                <c:pt idx="8">
                  <c:v>1.6462272086847001</c:v>
                </c:pt>
                <c:pt idx="9">
                  <c:v>1.6462272086847001</c:v>
                </c:pt>
                <c:pt idx="10">
                  <c:v>1.52935500367314</c:v>
                </c:pt>
                <c:pt idx="11">
                  <c:v>1.52935500367314</c:v>
                </c:pt>
                <c:pt idx="12">
                  <c:v>1.41333621314785</c:v>
                </c:pt>
                <c:pt idx="13">
                  <c:v>1.41333621314785</c:v>
                </c:pt>
                <c:pt idx="14">
                  <c:v>1.2980389684345599</c:v>
                </c:pt>
                <c:pt idx="15">
                  <c:v>1.70874150514344</c:v>
                </c:pt>
                <c:pt idx="16">
                  <c:v>1.5860625474672101</c:v>
                </c:pt>
                <c:pt idx="17">
                  <c:v>1.5902667420524801</c:v>
                </c:pt>
                <c:pt idx="18">
                  <c:v>1.4641375986391301</c:v>
                </c:pt>
                <c:pt idx="19">
                  <c:v>1.4670672377711</c:v>
                </c:pt>
                <c:pt idx="20">
                  <c:v>1.33729854225407</c:v>
                </c:pt>
                <c:pt idx="21">
                  <c:v>1.3388191330774499</c:v>
                </c:pt>
                <c:pt idx="22">
                  <c:v>1.6286666437981001</c:v>
                </c:pt>
                <c:pt idx="23">
                  <c:v>1.6355138968473999</c:v>
                </c:pt>
                <c:pt idx="24">
                  <c:v>1.48548463649647</c:v>
                </c:pt>
                <c:pt idx="25">
                  <c:v>1.4885211549409201</c:v>
                </c:pt>
                <c:pt idx="26">
                  <c:v>1.36668702025547</c:v>
                </c:pt>
                <c:pt idx="27">
                  <c:v>1.36626300646957</c:v>
                </c:pt>
                <c:pt idx="28">
                  <c:v>1.3575572679278001</c:v>
                </c:pt>
                <c:pt idx="29">
                  <c:v>0.91251993592556901</c:v>
                </c:pt>
                <c:pt idx="30">
                  <c:v>0.90810214116825805</c:v>
                </c:pt>
                <c:pt idx="31">
                  <c:v>0.90355594022798602</c:v>
                </c:pt>
                <c:pt idx="32">
                  <c:v>0.89897877012934302</c:v>
                </c:pt>
                <c:pt idx="33">
                  <c:v>0.89417086833354198</c:v>
                </c:pt>
                <c:pt idx="34">
                  <c:v>0.88912612581871298</c:v>
                </c:pt>
                <c:pt idx="35">
                  <c:v>0.79764591890330305</c:v>
                </c:pt>
                <c:pt idx="36">
                  <c:v>0.52609357436612803</c:v>
                </c:pt>
                <c:pt idx="37">
                  <c:v>0.52609357436612803</c:v>
                </c:pt>
                <c:pt idx="38">
                  <c:v>0.678854857071717</c:v>
                </c:pt>
                <c:pt idx="39">
                  <c:v>0.678854857071717</c:v>
                </c:pt>
                <c:pt idx="40">
                  <c:v>0.83402923495482695</c:v>
                </c:pt>
                <c:pt idx="41">
                  <c:v>0.83402923495482695</c:v>
                </c:pt>
                <c:pt idx="42">
                  <c:v>0.65160287934664596</c:v>
                </c:pt>
                <c:pt idx="43">
                  <c:v>0.57746478294265902</c:v>
                </c:pt>
                <c:pt idx="44">
                  <c:v>0.71626155088662002</c:v>
                </c:pt>
                <c:pt idx="45">
                  <c:v>0.71938370488192005</c:v>
                </c:pt>
                <c:pt idx="46">
                  <c:v>0.85366216623100599</c:v>
                </c:pt>
                <c:pt idx="47">
                  <c:v>0.85504625314589999</c:v>
                </c:pt>
                <c:pt idx="48">
                  <c:v>0.93808690268609896</c:v>
                </c:pt>
                <c:pt idx="49">
                  <c:v>0.93845090682272303</c:v>
                </c:pt>
                <c:pt idx="50">
                  <c:v>0.74950841536284696</c:v>
                </c:pt>
                <c:pt idx="51">
                  <c:v>0.75195918737536005</c:v>
                </c:pt>
                <c:pt idx="52">
                  <c:v>0.75453657812050701</c:v>
                </c:pt>
                <c:pt idx="53">
                  <c:v>0.75711735123650603</c:v>
                </c:pt>
                <c:pt idx="54">
                  <c:v>1.14254965627575</c:v>
                </c:pt>
                <c:pt idx="55">
                  <c:v>1.1408827158002599</c:v>
                </c:pt>
                <c:pt idx="56">
                  <c:v>1.1393481253239199</c:v>
                </c:pt>
                <c:pt idx="57">
                  <c:v>1.1378072282876299</c:v>
                </c:pt>
                <c:pt idx="58">
                  <c:v>1.1363295503030599</c:v>
                </c:pt>
                <c:pt idx="59">
                  <c:v>1.1349149791661099</c:v>
                </c:pt>
                <c:pt idx="60">
                  <c:v>1.13349716727311</c:v>
                </c:pt>
                <c:pt idx="61">
                  <c:v>1.1322091059020301</c:v>
                </c:pt>
                <c:pt idx="62">
                  <c:v>1.13104879853054</c:v>
                </c:pt>
                <c:pt idx="63">
                  <c:v>1.1298855526144</c:v>
                </c:pt>
                <c:pt idx="64">
                  <c:v>1.48388820525892</c:v>
                </c:pt>
                <c:pt idx="65">
                  <c:v>1.48388820525892</c:v>
                </c:pt>
                <c:pt idx="66">
                  <c:v>1.3671838940600001</c:v>
                </c:pt>
                <c:pt idx="67">
                  <c:v>1.3671838940600001</c:v>
                </c:pt>
                <c:pt idx="68">
                  <c:v>1.66189302312692</c:v>
                </c:pt>
                <c:pt idx="69">
                  <c:v>1.6669187355400299</c:v>
                </c:pt>
                <c:pt idx="70">
                  <c:v>1.53983299598769</c:v>
                </c:pt>
                <c:pt idx="71">
                  <c:v>1.5435886109830099</c:v>
                </c:pt>
                <c:pt idx="72">
                  <c:v>1.41327875405895</c:v>
                </c:pt>
                <c:pt idx="73">
                  <c:v>1.41563419942539</c:v>
                </c:pt>
                <c:pt idx="74">
                  <c:v>1.2806964088989601</c:v>
                </c:pt>
                <c:pt idx="75">
                  <c:v>1.28150378756293</c:v>
                </c:pt>
                <c:pt idx="76">
                  <c:v>1.5697486876012701</c:v>
                </c:pt>
                <c:pt idx="77">
                  <c:v>1.5749500406915</c:v>
                </c:pt>
                <c:pt idx="78">
                  <c:v>1.41911613068385</c:v>
                </c:pt>
                <c:pt idx="79">
                  <c:v>1.42015313981921</c:v>
                </c:pt>
                <c:pt idx="80">
                  <c:v>1.3580439578146899</c:v>
                </c:pt>
                <c:pt idx="81">
                  <c:v>0.91681136858368395</c:v>
                </c:pt>
                <c:pt idx="82">
                  <c:v>0.91261559757476496</c:v>
                </c:pt>
                <c:pt idx="83">
                  <c:v>0.90819905767494702</c:v>
                </c:pt>
                <c:pt idx="84">
                  <c:v>0.90355594022798602</c:v>
                </c:pt>
                <c:pt idx="85">
                  <c:v>0.898879266870795</c:v>
                </c:pt>
                <c:pt idx="86">
                  <c:v>0.89407003247942896</c:v>
                </c:pt>
                <c:pt idx="87">
                  <c:v>0.88912612581871298</c:v>
                </c:pt>
                <c:pt idx="88">
                  <c:v>0.79774705899752696</c:v>
                </c:pt>
                <c:pt idx="89">
                  <c:v>0.46958682741776198</c:v>
                </c:pt>
                <c:pt idx="90">
                  <c:v>0.46949457987322402</c:v>
                </c:pt>
                <c:pt idx="91">
                  <c:v>0.46949457987322402</c:v>
                </c:pt>
                <c:pt idx="92">
                  <c:v>0.52609357436612803</c:v>
                </c:pt>
                <c:pt idx="93">
                  <c:v>0.52609357436612803</c:v>
                </c:pt>
                <c:pt idx="94">
                  <c:v>0.678854857071717</c:v>
                </c:pt>
                <c:pt idx="95">
                  <c:v>0.678854857071717</c:v>
                </c:pt>
                <c:pt idx="96">
                  <c:v>0.83402923495482695</c:v>
                </c:pt>
                <c:pt idx="97">
                  <c:v>0.83402923495482695</c:v>
                </c:pt>
                <c:pt idx="98">
                  <c:v>0.65160287934664596</c:v>
                </c:pt>
                <c:pt idx="99">
                  <c:v>0.57746478294265902</c:v>
                </c:pt>
                <c:pt idx="100">
                  <c:v>0.71626155088662002</c:v>
                </c:pt>
                <c:pt idx="101">
                  <c:v>0.71938370488192005</c:v>
                </c:pt>
                <c:pt idx="102">
                  <c:v>0.85366216623100599</c:v>
                </c:pt>
                <c:pt idx="103">
                  <c:v>0.85504625314589999</c:v>
                </c:pt>
                <c:pt idx="104">
                  <c:v>0.55288117304439799</c:v>
                </c:pt>
                <c:pt idx="105">
                  <c:v>0.93881987306730996</c:v>
                </c:pt>
                <c:pt idx="106">
                  <c:v>0.75072636569364204</c:v>
                </c:pt>
                <c:pt idx="107">
                  <c:v>0.75320766393131</c:v>
                </c:pt>
                <c:pt idx="108">
                  <c:v>0.75581799544530304</c:v>
                </c:pt>
                <c:pt idx="109">
                  <c:v>0.75843537409023698</c:v>
                </c:pt>
                <c:pt idx="110">
                  <c:v>0.76106940671415502</c:v>
                </c:pt>
                <c:pt idx="111">
                  <c:v>1.1377390030114101</c:v>
                </c:pt>
                <c:pt idx="112">
                  <c:v>1.1363295503030599</c:v>
                </c:pt>
                <c:pt idx="113">
                  <c:v>1.1349149791661099</c:v>
                </c:pt>
                <c:pt idx="114">
                  <c:v>1.13356340349853</c:v>
                </c:pt>
                <c:pt idx="115">
                  <c:v>1.13227471297187</c:v>
                </c:pt>
                <c:pt idx="116">
                  <c:v>1.130983804085</c:v>
                </c:pt>
                <c:pt idx="117">
                  <c:v>1.1298211544966399</c:v>
                </c:pt>
                <c:pt idx="118">
                  <c:v>1.1287848693806499</c:v>
                </c:pt>
                <c:pt idx="119">
                  <c:v>1.12774664492529</c:v>
                </c:pt>
                <c:pt idx="120">
                  <c:v>1.45753381676309</c:v>
                </c:pt>
                <c:pt idx="121">
                  <c:v>1.45753381676309</c:v>
                </c:pt>
                <c:pt idx="122">
                  <c:v>1.3420028676262401</c:v>
                </c:pt>
                <c:pt idx="123">
                  <c:v>1.3420028676262401</c:v>
                </c:pt>
                <c:pt idx="124">
                  <c:v>1.2271982754733399</c:v>
                </c:pt>
                <c:pt idx="125">
                  <c:v>1.2271982754733399</c:v>
                </c:pt>
                <c:pt idx="126">
                  <c:v>1.11326498419465</c:v>
                </c:pt>
                <c:pt idx="127">
                  <c:v>1.11326498419465</c:v>
                </c:pt>
                <c:pt idx="128">
                  <c:v>1.00007330628941</c:v>
                </c:pt>
                <c:pt idx="129">
                  <c:v>1.00007330628941</c:v>
                </c:pt>
                <c:pt idx="130">
                  <c:v>0.88769883514803904</c:v>
                </c:pt>
                <c:pt idx="131">
                  <c:v>0.88769883514803904</c:v>
                </c:pt>
                <c:pt idx="132">
                  <c:v>0.77621507582398597</c:v>
                </c:pt>
                <c:pt idx="133">
                  <c:v>0.77621507582398597</c:v>
                </c:pt>
                <c:pt idx="134">
                  <c:v>0.66542872984975898</c:v>
                </c:pt>
                <c:pt idx="135">
                  <c:v>0.66542872984975898</c:v>
                </c:pt>
                <c:pt idx="136">
                  <c:v>0.60738360014735404</c:v>
                </c:pt>
                <c:pt idx="137">
                  <c:v>0.60738360014735404</c:v>
                </c:pt>
                <c:pt idx="138">
                  <c:v>0.60731769767476995</c:v>
                </c:pt>
                <c:pt idx="139">
                  <c:v>0.60731769767476995</c:v>
                </c:pt>
                <c:pt idx="140">
                  <c:v>0.60731769767476695</c:v>
                </c:pt>
                <c:pt idx="141">
                  <c:v>0.60731769767476695</c:v>
                </c:pt>
                <c:pt idx="142">
                  <c:v>0.60731769767476995</c:v>
                </c:pt>
                <c:pt idx="143">
                  <c:v>0.60731769767476995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6B-44CF-89E2-8582BD8DE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1328480"/>
        <c:axId val="1061337632"/>
      </c:lineChart>
      <c:catAx>
        <c:axId val="1061328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/>
                  <a:t>距离（</a:t>
                </a:r>
                <a:r>
                  <a:rPr lang="en-US" altLang="zh-CN"/>
                  <a:t>m</a:t>
                </a:r>
                <a:r>
                  <a:rPr lang="zh-CN" altLang="en-US"/>
                  <a:t>）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1061337632"/>
        <c:crosses val="autoZero"/>
        <c:auto val="1"/>
        <c:lblAlgn val="ctr"/>
        <c:lblOffset val="100"/>
        <c:tickLblSkip val="16"/>
        <c:tickMarkSkip val="16"/>
        <c:noMultiLvlLbl val="0"/>
      </c:catAx>
      <c:valAx>
        <c:axId val="1061337632"/>
        <c:scaling>
          <c:orientation val="minMax"/>
          <c:min val="0.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/>
                  <a:t>阶段油耗（</a:t>
                </a:r>
                <a:r>
                  <a:rPr lang="en-US" altLang="zh-CN"/>
                  <a:t>ml</a:t>
                </a:r>
                <a:r>
                  <a:rPr lang="zh-CN" altLang="en-US"/>
                  <a:t>）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#,##0.0_ 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106132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3709358987870288"/>
          <c:y val="2.7820066419219996E-2"/>
          <c:w val="0.22179732313575526"/>
          <c:h val="0.283874824467430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 baseline="0">
          <a:solidFill>
            <a:schemeClr val="tx1"/>
          </a:solidFill>
          <a:latin typeface="Times New Roman" panose="02020603050405020304" pitchFamily="18" charset="0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212606837606834E-2"/>
          <c:y val="4.2635645902567937E-2"/>
          <c:w val="0.87350730056980053"/>
          <c:h val="0.7987642857142857"/>
        </c:manualLayout>
      </c:layout>
      <c:lineChart>
        <c:grouping val="standard"/>
        <c:varyColors val="0"/>
        <c:ser>
          <c:idx val="0"/>
          <c:order val="0"/>
          <c:tx>
            <c:strRef>
              <c:f>'回归-油耗差'!$F$2</c:f>
              <c:strCache>
                <c:ptCount val="1"/>
                <c:pt idx="0">
                  <c:v>实际路线</c:v>
                </c:pt>
              </c:strCache>
            </c:strRef>
          </c:tx>
          <c:spPr>
            <a:ln w="28575" cap="rnd">
              <a:solidFill>
                <a:srgbClr val="070707"/>
              </a:solidFill>
              <a:round/>
            </a:ln>
            <a:effectLst/>
          </c:spPr>
          <c:marker>
            <c:symbol val="none"/>
          </c:marker>
          <c:cat>
            <c:numRef>
              <c:f>'回归-油耗差'!$A$3:$A$147</c:f>
              <c:numCache>
                <c:formatCode>General</c:formatCode>
                <c:ptCount val="14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  <c:pt idx="101">
                  <c:v>2525</c:v>
                </c:pt>
                <c:pt idx="102">
                  <c:v>2550</c:v>
                </c:pt>
                <c:pt idx="103">
                  <c:v>2575</c:v>
                </c:pt>
                <c:pt idx="104">
                  <c:v>2600</c:v>
                </c:pt>
                <c:pt idx="105">
                  <c:v>2625</c:v>
                </c:pt>
                <c:pt idx="106">
                  <c:v>2650</c:v>
                </c:pt>
                <c:pt idx="107">
                  <c:v>2675</c:v>
                </c:pt>
                <c:pt idx="108">
                  <c:v>2700</c:v>
                </c:pt>
                <c:pt idx="109">
                  <c:v>2725</c:v>
                </c:pt>
                <c:pt idx="110">
                  <c:v>2750</c:v>
                </c:pt>
                <c:pt idx="111">
                  <c:v>2775</c:v>
                </c:pt>
                <c:pt idx="112">
                  <c:v>2800</c:v>
                </c:pt>
                <c:pt idx="113">
                  <c:v>2825</c:v>
                </c:pt>
                <c:pt idx="114">
                  <c:v>2850</c:v>
                </c:pt>
                <c:pt idx="115">
                  <c:v>2875</c:v>
                </c:pt>
                <c:pt idx="116">
                  <c:v>2900</c:v>
                </c:pt>
                <c:pt idx="117">
                  <c:v>2925</c:v>
                </c:pt>
                <c:pt idx="118">
                  <c:v>2950</c:v>
                </c:pt>
                <c:pt idx="119">
                  <c:v>2975</c:v>
                </c:pt>
                <c:pt idx="120">
                  <c:v>3000</c:v>
                </c:pt>
                <c:pt idx="121">
                  <c:v>3025</c:v>
                </c:pt>
                <c:pt idx="122">
                  <c:v>3050</c:v>
                </c:pt>
                <c:pt idx="123">
                  <c:v>3075</c:v>
                </c:pt>
                <c:pt idx="124">
                  <c:v>3100</c:v>
                </c:pt>
                <c:pt idx="125">
                  <c:v>3125</c:v>
                </c:pt>
                <c:pt idx="126">
                  <c:v>3150</c:v>
                </c:pt>
                <c:pt idx="127">
                  <c:v>3175</c:v>
                </c:pt>
                <c:pt idx="128">
                  <c:v>3200</c:v>
                </c:pt>
                <c:pt idx="129">
                  <c:v>3225</c:v>
                </c:pt>
                <c:pt idx="130">
                  <c:v>3250</c:v>
                </c:pt>
                <c:pt idx="131">
                  <c:v>3275</c:v>
                </c:pt>
                <c:pt idx="132">
                  <c:v>3300</c:v>
                </c:pt>
                <c:pt idx="133">
                  <c:v>3325</c:v>
                </c:pt>
                <c:pt idx="134">
                  <c:v>3350</c:v>
                </c:pt>
                <c:pt idx="135">
                  <c:v>3375</c:v>
                </c:pt>
                <c:pt idx="136">
                  <c:v>3400</c:v>
                </c:pt>
                <c:pt idx="137">
                  <c:v>3425</c:v>
                </c:pt>
                <c:pt idx="138">
                  <c:v>3450</c:v>
                </c:pt>
                <c:pt idx="139">
                  <c:v>3475</c:v>
                </c:pt>
                <c:pt idx="140">
                  <c:v>3500</c:v>
                </c:pt>
                <c:pt idx="141">
                  <c:v>3525</c:v>
                </c:pt>
                <c:pt idx="142">
                  <c:v>3550</c:v>
                </c:pt>
                <c:pt idx="143">
                  <c:v>3575</c:v>
                </c:pt>
                <c:pt idx="144">
                  <c:v>3600</c:v>
                </c:pt>
              </c:numCache>
            </c:numRef>
          </c:cat>
          <c:val>
            <c:numRef>
              <c:f>'回归-油耗差'!$F$3:$F$147</c:f>
              <c:numCache>
                <c:formatCode>General</c:formatCode>
                <c:ptCount val="145"/>
                <c:pt idx="0">
                  <c:v>1.06913036956837</c:v>
                </c:pt>
                <c:pt idx="1">
                  <c:v>2.1382607391367401</c:v>
                </c:pt>
                <c:pt idx="2">
                  <c:v>3.24148135689757</c:v>
                </c:pt>
                <c:pt idx="3">
                  <c:v>4.3447019746583999</c:v>
                </c:pt>
                <c:pt idx="4">
                  <c:v>5.5630676011125901</c:v>
                </c:pt>
                <c:pt idx="5">
                  <c:v>6.7814332275667804</c:v>
                </c:pt>
                <c:pt idx="6">
                  <c:v>8.0861822407980402</c:v>
                </c:pt>
                <c:pt idx="7">
                  <c:v>9.3909312540293008</c:v>
                </c:pt>
                <c:pt idx="8">
                  <c:v>10.533211859708311</c:v>
                </c:pt>
                <c:pt idx="9">
                  <c:v>11.675492465387322</c:v>
                </c:pt>
                <c:pt idx="10">
                  <c:v>12.900564776347382</c:v>
                </c:pt>
                <c:pt idx="11">
                  <c:v>14.125637087307442</c:v>
                </c:pt>
                <c:pt idx="12">
                  <c:v>15.346178340356362</c:v>
                </c:pt>
                <c:pt idx="13">
                  <c:v>16.566719593405281</c:v>
                </c:pt>
                <c:pt idx="14">
                  <c:v>17.785619579802731</c:v>
                </c:pt>
                <c:pt idx="15">
                  <c:v>19.00451956620018</c:v>
                </c:pt>
                <c:pt idx="16">
                  <c:v>20.29259612291337</c:v>
                </c:pt>
                <c:pt idx="17">
                  <c:v>21.580672679626559</c:v>
                </c:pt>
                <c:pt idx="18">
                  <c:v>22.763580190878898</c:v>
                </c:pt>
                <c:pt idx="19">
                  <c:v>23.946487702131236</c:v>
                </c:pt>
                <c:pt idx="20">
                  <c:v>25.153252216567378</c:v>
                </c:pt>
                <c:pt idx="21">
                  <c:v>26.360016731003519</c:v>
                </c:pt>
                <c:pt idx="22">
                  <c:v>27.581960964174588</c:v>
                </c:pt>
                <c:pt idx="23">
                  <c:v>28.803905197345657</c:v>
                </c:pt>
                <c:pt idx="24">
                  <c:v>29.967559465741417</c:v>
                </c:pt>
                <c:pt idx="25">
                  <c:v>31.131213734137177</c:v>
                </c:pt>
                <c:pt idx="26">
                  <c:v>32.333368772926676</c:v>
                </c:pt>
                <c:pt idx="27">
                  <c:v>33.535523811716175</c:v>
                </c:pt>
                <c:pt idx="28">
                  <c:v>34.696870183396804</c:v>
                </c:pt>
                <c:pt idx="29">
                  <c:v>35.858216555077433</c:v>
                </c:pt>
                <c:pt idx="30">
                  <c:v>37.182333628002226</c:v>
                </c:pt>
                <c:pt idx="31">
                  <c:v>38.506450700927019</c:v>
                </c:pt>
                <c:pt idx="32">
                  <c:v>39.727736442992047</c:v>
                </c:pt>
                <c:pt idx="33">
                  <c:v>40.949022185057075</c:v>
                </c:pt>
                <c:pt idx="34">
                  <c:v>42.239958988506075</c:v>
                </c:pt>
                <c:pt idx="35">
                  <c:v>43.530895791955075</c:v>
                </c:pt>
                <c:pt idx="36">
                  <c:v>44.795480900236292</c:v>
                </c:pt>
                <c:pt idx="37">
                  <c:v>46.060066008517509</c:v>
                </c:pt>
                <c:pt idx="38">
                  <c:v>47.399491602175388</c:v>
                </c:pt>
                <c:pt idx="39">
                  <c:v>48.738917195833267</c:v>
                </c:pt>
                <c:pt idx="40">
                  <c:v>50.11962695079994</c:v>
                </c:pt>
                <c:pt idx="41">
                  <c:v>51.500336705766614</c:v>
                </c:pt>
                <c:pt idx="42">
                  <c:v>52.831076797746505</c:v>
                </c:pt>
                <c:pt idx="43">
                  <c:v>54.161816889726396</c:v>
                </c:pt>
                <c:pt idx="44">
                  <c:v>55.463865698464517</c:v>
                </c:pt>
                <c:pt idx="45">
                  <c:v>56.765914507202638</c:v>
                </c:pt>
                <c:pt idx="46">
                  <c:v>58.131933203007129</c:v>
                </c:pt>
                <c:pt idx="47">
                  <c:v>59.497951898811621</c:v>
                </c:pt>
                <c:pt idx="48">
                  <c:v>60.85904794139951</c:v>
                </c:pt>
                <c:pt idx="49">
                  <c:v>62.220143983987398</c:v>
                </c:pt>
                <c:pt idx="50">
                  <c:v>63.602249787940529</c:v>
                </c:pt>
                <c:pt idx="51">
                  <c:v>64.98435559189366</c:v>
                </c:pt>
                <c:pt idx="52">
                  <c:v>66.658183889592692</c:v>
                </c:pt>
                <c:pt idx="53">
                  <c:v>68.337097609328836</c:v>
                </c:pt>
                <c:pt idx="54">
                  <c:v>69.916360004908867</c:v>
                </c:pt>
                <c:pt idx="55">
                  <c:v>71.499774144701973</c:v>
                </c:pt>
                <c:pt idx="56">
                  <c:v>73.003860445680743</c:v>
                </c:pt>
                <c:pt idx="57">
                  <c:v>74.511312530355781</c:v>
                </c:pt>
                <c:pt idx="58">
                  <c:v>75.877721893964264</c:v>
                </c:pt>
                <c:pt idx="59">
                  <c:v>77.245960053195361</c:v>
                </c:pt>
                <c:pt idx="60">
                  <c:v>78.958602607323016</c:v>
                </c:pt>
                <c:pt idx="61">
                  <c:v>80.237840569563218</c:v>
                </c:pt>
                <c:pt idx="62">
                  <c:v>81.859986597023422</c:v>
                </c:pt>
                <c:pt idx="63">
                  <c:v>83.488540652013839</c:v>
                </c:pt>
                <c:pt idx="64">
                  <c:v>85.067707197391513</c:v>
                </c:pt>
                <c:pt idx="65">
                  <c:v>86.199400775024017</c:v>
                </c:pt>
                <c:pt idx="66">
                  <c:v>87.352171111711073</c:v>
                </c:pt>
                <c:pt idx="67">
                  <c:v>88.503808085530807</c:v>
                </c:pt>
                <c:pt idx="68">
                  <c:v>89.631395516571658</c:v>
                </c:pt>
                <c:pt idx="69">
                  <c:v>90.75742901168978</c:v>
                </c:pt>
                <c:pt idx="70">
                  <c:v>91.949004712861267</c:v>
                </c:pt>
                <c:pt idx="71">
                  <c:v>93.139767224034145</c:v>
                </c:pt>
                <c:pt idx="72">
                  <c:v>94.313701781076659</c:v>
                </c:pt>
                <c:pt idx="73">
                  <c:v>95.486500005130452</c:v>
                </c:pt>
                <c:pt idx="74">
                  <c:v>96.629840017103149</c:v>
                </c:pt>
                <c:pt idx="75">
                  <c:v>97.679158654186466</c:v>
                </c:pt>
                <c:pt idx="76">
                  <c:v>98.417039666516871</c:v>
                </c:pt>
                <c:pt idx="77">
                  <c:v>99.154920678847276</c:v>
                </c:pt>
                <c:pt idx="78">
                  <c:v>99.956608947872468</c:v>
                </c:pt>
                <c:pt idx="79">
                  <c:v>100.75829721689766</c:v>
                </c:pt>
                <c:pt idx="80">
                  <c:v>101.65131291085547</c:v>
                </c:pt>
                <c:pt idx="81">
                  <c:v>102.54432860481327</c:v>
                </c:pt>
                <c:pt idx="82">
                  <c:v>103.50029786314597</c:v>
                </c:pt>
                <c:pt idx="83">
                  <c:v>104.12157901546118</c:v>
                </c:pt>
                <c:pt idx="84">
                  <c:v>104.76018147767842</c:v>
                </c:pt>
                <c:pt idx="85">
                  <c:v>105.40291981383402</c:v>
                </c:pt>
                <c:pt idx="86">
                  <c:v>106.02689438970516</c:v>
                </c:pt>
                <c:pt idx="87">
                  <c:v>106.65513591644837</c:v>
                </c:pt>
                <c:pt idx="88">
                  <c:v>107.44373439040544</c:v>
                </c:pt>
                <c:pt idx="89">
                  <c:v>108.23451060899158</c:v>
                </c:pt>
                <c:pt idx="90">
                  <c:v>109.08538558622979</c:v>
                </c:pt>
                <c:pt idx="91">
                  <c:v>109.93767309698546</c:v>
                </c:pt>
                <c:pt idx="92">
                  <c:v>110.90960546666706</c:v>
                </c:pt>
                <c:pt idx="93">
                  <c:v>111.88153913440266</c:v>
                </c:pt>
                <c:pt idx="94">
                  <c:v>112.89001271382273</c:v>
                </c:pt>
                <c:pt idx="95">
                  <c:v>113.89810708421777</c:v>
                </c:pt>
                <c:pt idx="96">
                  <c:v>114.65050063450941</c:v>
                </c:pt>
                <c:pt idx="97">
                  <c:v>115.40558052702625</c:v>
                </c:pt>
                <c:pt idx="98">
                  <c:v>116.45142068067474</c:v>
                </c:pt>
                <c:pt idx="99">
                  <c:v>117.49663872442716</c:v>
                </c:pt>
                <c:pt idx="100">
                  <c:v>118.528296962108</c:v>
                </c:pt>
                <c:pt idx="101">
                  <c:v>119.55954214572419</c:v>
                </c:pt>
                <c:pt idx="102">
                  <c:v>120.51095385372686</c:v>
                </c:pt>
                <c:pt idx="103">
                  <c:v>121.46280575158907</c:v>
                </c:pt>
                <c:pt idx="104">
                  <c:v>122.40328087675721</c:v>
                </c:pt>
                <c:pt idx="105">
                  <c:v>123.34434290129288</c:v>
                </c:pt>
                <c:pt idx="106">
                  <c:v>124.35244839824071</c:v>
                </c:pt>
                <c:pt idx="107">
                  <c:v>125.36055941101147</c:v>
                </c:pt>
                <c:pt idx="108">
                  <c:v>126.373166597595</c:v>
                </c:pt>
                <c:pt idx="109">
                  <c:v>127.76477365429892</c:v>
                </c:pt>
                <c:pt idx="110">
                  <c:v>129.06556186189775</c:v>
                </c:pt>
                <c:pt idx="111">
                  <c:v>130.36635006949658</c:v>
                </c:pt>
                <c:pt idx="112">
                  <c:v>131.58911505616385</c:v>
                </c:pt>
                <c:pt idx="113">
                  <c:v>132.81188004283112</c:v>
                </c:pt>
                <c:pt idx="114">
                  <c:v>133.94627415913754</c:v>
                </c:pt>
                <c:pt idx="115">
                  <c:v>135.08066827544397</c:v>
                </c:pt>
                <c:pt idx="116">
                  <c:v>136.05429349015995</c:v>
                </c:pt>
                <c:pt idx="117">
                  <c:v>137.02791870487593</c:v>
                </c:pt>
                <c:pt idx="118">
                  <c:v>138.00136709855084</c:v>
                </c:pt>
                <c:pt idx="119">
                  <c:v>138.97481549222576</c:v>
                </c:pt>
                <c:pt idx="120">
                  <c:v>139.94913283845796</c:v>
                </c:pt>
                <c:pt idx="121">
                  <c:v>140.92345018469015</c:v>
                </c:pt>
                <c:pt idx="122">
                  <c:v>142.15518787963305</c:v>
                </c:pt>
                <c:pt idx="123">
                  <c:v>143.02255679670532</c:v>
                </c:pt>
                <c:pt idx="124">
                  <c:v>144.18291306481433</c:v>
                </c:pt>
                <c:pt idx="125">
                  <c:v>145.34298174708343</c:v>
                </c:pt>
                <c:pt idx="126">
                  <c:v>146.17360775703403</c:v>
                </c:pt>
                <c:pt idx="127">
                  <c:v>147.00423376698464</c:v>
                </c:pt>
                <c:pt idx="128">
                  <c:v>147.82368135686508</c:v>
                </c:pt>
                <c:pt idx="129">
                  <c:v>148.64312894674552</c:v>
                </c:pt>
                <c:pt idx="130">
                  <c:v>149.42968807201245</c:v>
                </c:pt>
                <c:pt idx="131">
                  <c:v>150.21624719727939</c:v>
                </c:pt>
                <c:pt idx="132">
                  <c:v>151.06942118368795</c:v>
                </c:pt>
                <c:pt idx="133">
                  <c:v>151.92259517009651</c:v>
                </c:pt>
                <c:pt idx="134">
                  <c:v>152.77320751712298</c:v>
                </c:pt>
                <c:pt idx="135">
                  <c:v>153.62381986414945</c:v>
                </c:pt>
                <c:pt idx="136">
                  <c:v>154.39043756420455</c:v>
                </c:pt>
                <c:pt idx="137">
                  <c:v>155.15705526425964</c:v>
                </c:pt>
                <c:pt idx="138">
                  <c:v>155.88302633937386</c:v>
                </c:pt>
                <c:pt idx="139">
                  <c:v>156.60899741448807</c:v>
                </c:pt>
                <c:pt idx="140">
                  <c:v>157.42127328920137</c:v>
                </c:pt>
                <c:pt idx="141">
                  <c:v>157.91491987871342</c:v>
                </c:pt>
                <c:pt idx="142">
                  <c:v>158.37977920873672</c:v>
                </c:pt>
                <c:pt idx="143">
                  <c:v>158.84975684543838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EE-464B-BCE9-9BBCADFDCEF6}"/>
            </c:ext>
          </c:extLst>
        </c:ser>
        <c:ser>
          <c:idx val="1"/>
          <c:order val="1"/>
          <c:tx>
            <c:strRef>
              <c:f>'回归-油耗差'!$G$2</c:f>
              <c:strCache>
                <c:ptCount val="1"/>
                <c:pt idx="0">
                  <c:v>多弧路线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'回归-油耗差'!$A$3:$A$147</c:f>
              <c:numCache>
                <c:formatCode>General</c:formatCode>
                <c:ptCount val="14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  <c:pt idx="101">
                  <c:v>2525</c:v>
                </c:pt>
                <c:pt idx="102">
                  <c:v>2550</c:v>
                </c:pt>
                <c:pt idx="103">
                  <c:v>2575</c:v>
                </c:pt>
                <c:pt idx="104">
                  <c:v>2600</c:v>
                </c:pt>
                <c:pt idx="105">
                  <c:v>2625</c:v>
                </c:pt>
                <c:pt idx="106">
                  <c:v>2650</c:v>
                </c:pt>
                <c:pt idx="107">
                  <c:v>2675</c:v>
                </c:pt>
                <c:pt idx="108">
                  <c:v>2700</c:v>
                </c:pt>
                <c:pt idx="109">
                  <c:v>2725</c:v>
                </c:pt>
                <c:pt idx="110">
                  <c:v>2750</c:v>
                </c:pt>
                <c:pt idx="111">
                  <c:v>2775</c:v>
                </c:pt>
                <c:pt idx="112">
                  <c:v>2800</c:v>
                </c:pt>
                <c:pt idx="113">
                  <c:v>2825</c:v>
                </c:pt>
                <c:pt idx="114">
                  <c:v>2850</c:v>
                </c:pt>
                <c:pt idx="115">
                  <c:v>2875</c:v>
                </c:pt>
                <c:pt idx="116">
                  <c:v>2900</c:v>
                </c:pt>
                <c:pt idx="117">
                  <c:v>2925</c:v>
                </c:pt>
                <c:pt idx="118">
                  <c:v>2950</c:v>
                </c:pt>
                <c:pt idx="119">
                  <c:v>2975</c:v>
                </c:pt>
                <c:pt idx="120">
                  <c:v>3000</c:v>
                </c:pt>
                <c:pt idx="121">
                  <c:v>3025</c:v>
                </c:pt>
                <c:pt idx="122">
                  <c:v>3050</c:v>
                </c:pt>
                <c:pt idx="123">
                  <c:v>3075</c:v>
                </c:pt>
                <c:pt idx="124">
                  <c:v>3100</c:v>
                </c:pt>
                <c:pt idx="125">
                  <c:v>3125</c:v>
                </c:pt>
                <c:pt idx="126">
                  <c:v>3150</c:v>
                </c:pt>
                <c:pt idx="127">
                  <c:v>3175</c:v>
                </c:pt>
                <c:pt idx="128">
                  <c:v>3200</c:v>
                </c:pt>
                <c:pt idx="129">
                  <c:v>3225</c:v>
                </c:pt>
                <c:pt idx="130">
                  <c:v>3250</c:v>
                </c:pt>
                <c:pt idx="131">
                  <c:v>3275</c:v>
                </c:pt>
                <c:pt idx="132">
                  <c:v>3300</c:v>
                </c:pt>
                <c:pt idx="133">
                  <c:v>3325</c:v>
                </c:pt>
                <c:pt idx="134">
                  <c:v>3350</c:v>
                </c:pt>
                <c:pt idx="135">
                  <c:v>3375</c:v>
                </c:pt>
                <c:pt idx="136">
                  <c:v>3400</c:v>
                </c:pt>
                <c:pt idx="137">
                  <c:v>3425</c:v>
                </c:pt>
                <c:pt idx="138">
                  <c:v>3450</c:v>
                </c:pt>
                <c:pt idx="139">
                  <c:v>3475</c:v>
                </c:pt>
                <c:pt idx="140">
                  <c:v>3500</c:v>
                </c:pt>
                <c:pt idx="141">
                  <c:v>3525</c:v>
                </c:pt>
                <c:pt idx="142">
                  <c:v>3550</c:v>
                </c:pt>
                <c:pt idx="143">
                  <c:v>3575</c:v>
                </c:pt>
                <c:pt idx="144">
                  <c:v>3600</c:v>
                </c:pt>
              </c:numCache>
            </c:numRef>
          </c:cat>
          <c:val>
            <c:numRef>
              <c:f>'回归-油耗差'!$G$3:$G$147</c:f>
              <c:numCache>
                <c:formatCode>General</c:formatCode>
                <c:ptCount val="145"/>
                <c:pt idx="0">
                  <c:v>1.8589331092610999</c:v>
                </c:pt>
                <c:pt idx="1">
                  <c:v>3.7178662185221998</c:v>
                </c:pt>
                <c:pt idx="2">
                  <c:v>5.5767993277832995</c:v>
                </c:pt>
                <c:pt idx="3">
                  <c:v>7.4357324370443996</c:v>
                </c:pt>
                <c:pt idx="4">
                  <c:v>9.2892570061633695</c:v>
                </c:pt>
                <c:pt idx="5">
                  <c:v>11.142781575282338</c:v>
                </c:pt>
                <c:pt idx="6">
                  <c:v>12.906799081118038</c:v>
                </c:pt>
                <c:pt idx="7">
                  <c:v>14.670816586953737</c:v>
                </c:pt>
                <c:pt idx="8">
                  <c:v>16.317043795638437</c:v>
                </c:pt>
                <c:pt idx="9">
                  <c:v>17.963271004323136</c:v>
                </c:pt>
                <c:pt idx="10">
                  <c:v>19.492626007996275</c:v>
                </c:pt>
                <c:pt idx="11">
                  <c:v>21.021981011669414</c:v>
                </c:pt>
                <c:pt idx="12">
                  <c:v>22.435317224817265</c:v>
                </c:pt>
                <c:pt idx="13">
                  <c:v>23.848653437965115</c:v>
                </c:pt>
                <c:pt idx="14">
                  <c:v>25.146692406399676</c:v>
                </c:pt>
                <c:pt idx="15">
                  <c:v>26.855433911543116</c:v>
                </c:pt>
                <c:pt idx="16">
                  <c:v>28.441496459010327</c:v>
                </c:pt>
                <c:pt idx="17">
                  <c:v>30.031763201062809</c:v>
                </c:pt>
                <c:pt idx="18">
                  <c:v>31.495900799701939</c:v>
                </c:pt>
                <c:pt idx="19">
                  <c:v>32.96296803747304</c:v>
                </c:pt>
                <c:pt idx="20">
                  <c:v>34.300266579727108</c:v>
                </c:pt>
                <c:pt idx="21">
                  <c:v>35.639085712804558</c:v>
                </c:pt>
                <c:pt idx="22">
                  <c:v>37.267752356602657</c:v>
                </c:pt>
                <c:pt idx="23">
                  <c:v>38.903266253450056</c:v>
                </c:pt>
                <c:pt idx="24">
                  <c:v>40.388750889946529</c:v>
                </c:pt>
                <c:pt idx="25">
                  <c:v>41.877272044887448</c:v>
                </c:pt>
                <c:pt idx="26">
                  <c:v>43.243959065142917</c:v>
                </c:pt>
                <c:pt idx="27">
                  <c:v>44.61022207161249</c:v>
                </c:pt>
                <c:pt idx="28">
                  <c:v>45.967779339540293</c:v>
                </c:pt>
                <c:pt idx="29">
                  <c:v>46.880299275465859</c:v>
                </c:pt>
                <c:pt idx="30">
                  <c:v>47.788401416634116</c:v>
                </c:pt>
                <c:pt idx="31">
                  <c:v>48.691957356862105</c:v>
                </c:pt>
                <c:pt idx="32">
                  <c:v>49.590936126991451</c:v>
                </c:pt>
                <c:pt idx="33">
                  <c:v>50.48510699532499</c:v>
                </c:pt>
                <c:pt idx="34">
                  <c:v>51.374233121143703</c:v>
                </c:pt>
                <c:pt idx="35">
                  <c:v>52.17187904004701</c:v>
                </c:pt>
                <c:pt idx="36">
                  <c:v>52.697972614413139</c:v>
                </c:pt>
                <c:pt idx="37">
                  <c:v>53.224066188779268</c:v>
                </c:pt>
                <c:pt idx="38">
                  <c:v>53.902921045850988</c:v>
                </c:pt>
                <c:pt idx="39">
                  <c:v>54.581775902922708</c:v>
                </c:pt>
                <c:pt idx="40">
                  <c:v>55.415805137877534</c:v>
                </c:pt>
                <c:pt idx="41">
                  <c:v>56.24983437283236</c:v>
                </c:pt>
                <c:pt idx="42">
                  <c:v>56.901437252179008</c:v>
                </c:pt>
                <c:pt idx="43">
                  <c:v>57.478902035121664</c:v>
                </c:pt>
                <c:pt idx="44">
                  <c:v>58.195163586008285</c:v>
                </c:pt>
                <c:pt idx="45">
                  <c:v>58.914547290890205</c:v>
                </c:pt>
                <c:pt idx="46">
                  <c:v>59.768209457121209</c:v>
                </c:pt>
                <c:pt idx="47">
                  <c:v>60.623255710267109</c:v>
                </c:pt>
                <c:pt idx="48">
                  <c:v>61.561342612953212</c:v>
                </c:pt>
                <c:pt idx="49">
                  <c:v>62.499793519775935</c:v>
                </c:pt>
                <c:pt idx="50">
                  <c:v>63.249301935138782</c:v>
                </c:pt>
                <c:pt idx="51">
                  <c:v>64.001261122514137</c:v>
                </c:pt>
                <c:pt idx="52">
                  <c:v>64.755797700634645</c:v>
                </c:pt>
                <c:pt idx="53">
                  <c:v>65.512915051871147</c:v>
                </c:pt>
                <c:pt idx="54">
                  <c:v>66.655464708146894</c:v>
                </c:pt>
                <c:pt idx="55">
                  <c:v>67.796347423947154</c:v>
                </c:pt>
                <c:pt idx="56">
                  <c:v>68.935695549271074</c:v>
                </c:pt>
                <c:pt idx="57">
                  <c:v>70.073502777558701</c:v>
                </c:pt>
                <c:pt idx="58">
                  <c:v>71.209832327861761</c:v>
                </c:pt>
                <c:pt idx="59">
                  <c:v>72.344747307027873</c:v>
                </c:pt>
                <c:pt idx="60">
                  <c:v>73.478244474300979</c:v>
                </c:pt>
                <c:pt idx="61">
                  <c:v>74.610453580203014</c:v>
                </c:pt>
                <c:pt idx="62">
                  <c:v>75.741502378733557</c:v>
                </c:pt>
                <c:pt idx="63">
                  <c:v>76.871387931347954</c:v>
                </c:pt>
                <c:pt idx="64">
                  <c:v>78.355276136606875</c:v>
                </c:pt>
                <c:pt idx="65">
                  <c:v>79.839164341865796</c:v>
                </c:pt>
                <c:pt idx="66">
                  <c:v>81.206348235925802</c:v>
                </c:pt>
                <c:pt idx="67">
                  <c:v>82.573532129985807</c:v>
                </c:pt>
                <c:pt idx="68">
                  <c:v>84.235425153112729</c:v>
                </c:pt>
                <c:pt idx="69">
                  <c:v>85.902343888652766</c:v>
                </c:pt>
                <c:pt idx="70">
                  <c:v>87.44217688464046</c:v>
                </c:pt>
                <c:pt idx="71">
                  <c:v>88.985765495623468</c:v>
                </c:pt>
                <c:pt idx="72">
                  <c:v>90.399044249682419</c:v>
                </c:pt>
                <c:pt idx="73">
                  <c:v>91.814678449107802</c:v>
                </c:pt>
                <c:pt idx="74">
                  <c:v>93.095374858006764</c:v>
                </c:pt>
                <c:pt idx="75">
                  <c:v>94.37687864556969</c:v>
                </c:pt>
                <c:pt idx="76">
                  <c:v>95.946627333170966</c:v>
                </c:pt>
                <c:pt idx="77">
                  <c:v>97.52157737386247</c:v>
                </c:pt>
                <c:pt idx="78">
                  <c:v>98.940693504546317</c:v>
                </c:pt>
                <c:pt idx="79">
                  <c:v>100.36084664436552</c:v>
                </c:pt>
                <c:pt idx="80">
                  <c:v>101.71889060218021</c:v>
                </c:pt>
                <c:pt idx="81">
                  <c:v>102.63570197076389</c:v>
                </c:pt>
                <c:pt idx="82">
                  <c:v>103.54831756833866</c:v>
                </c:pt>
                <c:pt idx="83">
                  <c:v>104.45651662601361</c:v>
                </c:pt>
                <c:pt idx="84">
                  <c:v>105.3600725662416</c:v>
                </c:pt>
                <c:pt idx="85">
                  <c:v>106.25895183311239</c:v>
                </c:pt>
                <c:pt idx="86">
                  <c:v>107.15302186559182</c:v>
                </c:pt>
                <c:pt idx="87">
                  <c:v>108.04214799141054</c:v>
                </c:pt>
                <c:pt idx="88">
                  <c:v>108.83989505040807</c:v>
                </c:pt>
                <c:pt idx="89">
                  <c:v>109.30948187782583</c:v>
                </c:pt>
                <c:pt idx="90">
                  <c:v>109.77897645769906</c:v>
                </c:pt>
                <c:pt idx="91">
                  <c:v>110.24847103757229</c:v>
                </c:pt>
                <c:pt idx="92">
                  <c:v>110.77456461193842</c:v>
                </c:pt>
                <c:pt idx="93">
                  <c:v>111.30065818630455</c:v>
                </c:pt>
                <c:pt idx="94">
                  <c:v>111.97951304337626</c:v>
                </c:pt>
                <c:pt idx="95">
                  <c:v>112.65836790044797</c:v>
                </c:pt>
                <c:pt idx="96">
                  <c:v>113.4923971354028</c:v>
                </c:pt>
                <c:pt idx="97">
                  <c:v>114.32642637035762</c:v>
                </c:pt>
                <c:pt idx="98">
                  <c:v>114.97802924970426</c:v>
                </c:pt>
                <c:pt idx="99">
                  <c:v>115.55549403264692</c:v>
                </c:pt>
                <c:pt idx="100">
                  <c:v>116.27175558353353</c:v>
                </c:pt>
                <c:pt idx="101">
                  <c:v>116.99113928841545</c:v>
                </c:pt>
                <c:pt idx="102">
                  <c:v>117.84480145464646</c:v>
                </c:pt>
                <c:pt idx="103">
                  <c:v>118.69984770779236</c:v>
                </c:pt>
                <c:pt idx="104">
                  <c:v>119.25272888083676</c:v>
                </c:pt>
                <c:pt idx="105">
                  <c:v>120.19154875390407</c:v>
                </c:pt>
                <c:pt idx="106">
                  <c:v>120.94227511959771</c:v>
                </c:pt>
                <c:pt idx="107">
                  <c:v>121.69548278352902</c:v>
                </c:pt>
                <c:pt idx="108">
                  <c:v>122.45130077897431</c:v>
                </c:pt>
                <c:pt idx="109">
                  <c:v>123.20973615306455</c:v>
                </c:pt>
                <c:pt idx="110">
                  <c:v>123.97080555977871</c:v>
                </c:pt>
                <c:pt idx="111">
                  <c:v>125.10854456279012</c:v>
                </c:pt>
                <c:pt idx="112">
                  <c:v>126.24487411309318</c:v>
                </c:pt>
                <c:pt idx="113">
                  <c:v>127.37978909225929</c:v>
                </c:pt>
                <c:pt idx="114">
                  <c:v>128.51335249575783</c:v>
                </c:pt>
                <c:pt idx="115">
                  <c:v>129.64562720872971</c:v>
                </c:pt>
                <c:pt idx="116">
                  <c:v>130.7766110128147</c:v>
                </c:pt>
                <c:pt idx="117">
                  <c:v>131.90643216731135</c:v>
                </c:pt>
                <c:pt idx="118">
                  <c:v>133.03521703669199</c:v>
                </c:pt>
                <c:pt idx="119">
                  <c:v>134.16296368161727</c:v>
                </c:pt>
                <c:pt idx="120">
                  <c:v>135.62049749838036</c:v>
                </c:pt>
                <c:pt idx="121">
                  <c:v>137.07803131514345</c:v>
                </c:pt>
                <c:pt idx="122">
                  <c:v>138.42003418276968</c:v>
                </c:pt>
                <c:pt idx="123">
                  <c:v>139.76203705039592</c:v>
                </c:pt>
                <c:pt idx="124">
                  <c:v>140.98923532586926</c:v>
                </c:pt>
                <c:pt idx="125">
                  <c:v>142.2164336013426</c:v>
                </c:pt>
                <c:pt idx="126">
                  <c:v>143.32969858553724</c:v>
                </c:pt>
                <c:pt idx="127">
                  <c:v>144.44296356973189</c:v>
                </c:pt>
                <c:pt idx="128">
                  <c:v>145.4430368760213</c:v>
                </c:pt>
                <c:pt idx="129">
                  <c:v>146.4431101823107</c:v>
                </c:pt>
                <c:pt idx="130">
                  <c:v>147.33080901745873</c:v>
                </c:pt>
                <c:pt idx="131">
                  <c:v>148.21850785260676</c:v>
                </c:pt>
                <c:pt idx="132">
                  <c:v>148.99472292843075</c:v>
                </c:pt>
                <c:pt idx="133">
                  <c:v>149.77093800425473</c:v>
                </c:pt>
                <c:pt idx="134">
                  <c:v>150.4363667341045</c:v>
                </c:pt>
                <c:pt idx="135">
                  <c:v>151.10179546395426</c:v>
                </c:pt>
                <c:pt idx="136">
                  <c:v>151.70917906410162</c:v>
                </c:pt>
                <c:pt idx="137">
                  <c:v>152.31656266424898</c:v>
                </c:pt>
                <c:pt idx="138">
                  <c:v>152.92388036192375</c:v>
                </c:pt>
                <c:pt idx="139">
                  <c:v>153.53119805959852</c:v>
                </c:pt>
                <c:pt idx="140">
                  <c:v>154.1385157572733</c:v>
                </c:pt>
                <c:pt idx="141">
                  <c:v>154.74583345494807</c:v>
                </c:pt>
                <c:pt idx="142">
                  <c:v>155.35315115262284</c:v>
                </c:pt>
                <c:pt idx="143">
                  <c:v>155.96046885029762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EE-464B-BCE9-9BBCADFDC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1330976"/>
        <c:axId val="1061329312"/>
      </c:lineChart>
      <c:catAx>
        <c:axId val="1061330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/>
                  <a:t>距离（</a:t>
                </a:r>
                <a:r>
                  <a:rPr lang="en-US" altLang="zh-CN"/>
                  <a:t>m</a:t>
                </a:r>
                <a:r>
                  <a:rPr lang="zh-CN" altLang="en-US"/>
                  <a:t>）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1061329312"/>
        <c:crossesAt val="0"/>
        <c:auto val="1"/>
        <c:lblAlgn val="ctr"/>
        <c:lblOffset val="100"/>
        <c:tickLblSkip val="16"/>
        <c:tickMarkSkip val="16"/>
        <c:noMultiLvlLbl val="0"/>
      </c:catAx>
      <c:valAx>
        <c:axId val="10613293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/>
                  <a:t>行程总油耗（</a:t>
                </a:r>
                <a:r>
                  <a:rPr lang="en-US" altLang="zh-CN"/>
                  <a:t>ml</a:t>
                </a:r>
                <a:r>
                  <a:rPr lang="zh-CN" altLang="en-US"/>
                  <a:t>）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106133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938034188034189E-2"/>
          <c:y val="6.6375796137521786E-2"/>
          <c:w val="0.21483262108262108"/>
          <c:h val="0.189438384472201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 baseline="0">
          <a:solidFill>
            <a:schemeClr val="tx1"/>
          </a:solidFill>
          <a:latin typeface="Times New Roman" panose="02020603050405020304" pitchFamily="18" charset="0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5900894765438882E-2"/>
          <c:y val="4.7019311502938706E-2"/>
          <c:w val="0.92427860076699286"/>
          <c:h val="0.9261125104953820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'回归-油耗差'!$H$3:$H$146</c:f>
              <c:numCache>
                <c:formatCode>General</c:formatCode>
                <c:ptCount val="144"/>
                <c:pt idx="0">
                  <c:v>0.78980273969272985</c:v>
                </c:pt>
                <c:pt idx="1">
                  <c:v>1.5796054793854597</c:v>
                </c:pt>
                <c:pt idx="2">
                  <c:v>2.3353179708857295</c:v>
                </c:pt>
                <c:pt idx="3">
                  <c:v>3.0910304623859997</c:v>
                </c:pt>
                <c:pt idx="4">
                  <c:v>3.7261894050507793</c:v>
                </c:pt>
                <c:pt idx="5">
                  <c:v>4.3613483477155581</c:v>
                </c:pt>
                <c:pt idx="6">
                  <c:v>4.8206168403199978</c:v>
                </c:pt>
                <c:pt idx="7">
                  <c:v>5.2798853329244366</c:v>
                </c:pt>
                <c:pt idx="8">
                  <c:v>5.7838319359301256</c:v>
                </c:pt>
                <c:pt idx="9">
                  <c:v>6.2877785389358145</c:v>
                </c:pt>
                <c:pt idx="10">
                  <c:v>6.5920612316488931</c:v>
                </c:pt>
                <c:pt idx="11">
                  <c:v>6.8963439243619717</c:v>
                </c:pt>
                <c:pt idx="12">
                  <c:v>7.0891388844609029</c:v>
                </c:pt>
                <c:pt idx="13">
                  <c:v>7.2819338445598341</c:v>
                </c:pt>
                <c:pt idx="14">
                  <c:v>7.3610728265969456</c:v>
                </c:pt>
                <c:pt idx="15">
                  <c:v>7.850914345342936</c:v>
                </c:pt>
                <c:pt idx="16">
                  <c:v>8.1489003360969576</c:v>
                </c:pt>
                <c:pt idx="17">
                  <c:v>8.4510905214362495</c:v>
                </c:pt>
                <c:pt idx="18">
                  <c:v>8.7323206088230414</c:v>
                </c:pt>
                <c:pt idx="19">
                  <c:v>9.0164803353418037</c:v>
                </c:pt>
                <c:pt idx="20">
                  <c:v>9.1470143631597303</c:v>
                </c:pt>
                <c:pt idx="21">
                  <c:v>9.2790689818010392</c:v>
                </c:pt>
                <c:pt idx="22">
                  <c:v>9.6857913924280687</c:v>
                </c:pt>
                <c:pt idx="23">
                  <c:v>10.099361056104399</c:v>
                </c:pt>
                <c:pt idx="24">
                  <c:v>10.421191424205112</c:v>
                </c:pt>
                <c:pt idx="25">
                  <c:v>10.746058310750271</c:v>
                </c:pt>
                <c:pt idx="26">
                  <c:v>10.910590292216241</c:v>
                </c:pt>
                <c:pt idx="27">
                  <c:v>11.074698259896316</c:v>
                </c:pt>
                <c:pt idx="28">
                  <c:v>11.270909156143489</c:v>
                </c:pt>
                <c:pt idx="29">
                  <c:v>11.022082720388426</c:v>
                </c:pt>
                <c:pt idx="30">
                  <c:v>10.60606778863189</c:v>
                </c:pt>
                <c:pt idx="31">
                  <c:v>10.185506655935086</c:v>
                </c:pt>
                <c:pt idx="32">
                  <c:v>9.8631996839994045</c:v>
                </c:pt>
                <c:pt idx="33">
                  <c:v>9.5360848102679157</c:v>
                </c:pt>
                <c:pt idx="34">
                  <c:v>9.1342741326376284</c:v>
                </c:pt>
                <c:pt idx="35">
                  <c:v>8.6409832480919349</c:v>
                </c:pt>
                <c:pt idx="36">
                  <c:v>7.9024917141768469</c:v>
                </c:pt>
                <c:pt idx="37">
                  <c:v>7.164000180261759</c:v>
                </c:pt>
                <c:pt idx="38">
                  <c:v>6.5034294436755999</c:v>
                </c:pt>
                <c:pt idx="39">
                  <c:v>5.8428587070894409</c:v>
                </c:pt>
                <c:pt idx="40">
                  <c:v>5.2961781870775937</c:v>
                </c:pt>
                <c:pt idx="41">
                  <c:v>4.7494976670657465</c:v>
                </c:pt>
                <c:pt idx="42">
                  <c:v>4.0703604544325032</c:v>
                </c:pt>
                <c:pt idx="43">
                  <c:v>3.3170851453952679</c:v>
                </c:pt>
                <c:pt idx="44">
                  <c:v>2.7312978875437679</c:v>
                </c:pt>
                <c:pt idx="45">
                  <c:v>2.1486327836875674</c:v>
                </c:pt>
                <c:pt idx="46">
                  <c:v>1.6362762541140796</c:v>
                </c:pt>
                <c:pt idx="47">
                  <c:v>1.1253038114554883</c:v>
                </c:pt>
                <c:pt idx="48">
                  <c:v>0.70229467155370173</c:v>
                </c:pt>
                <c:pt idx="49">
                  <c:v>0.27964953578853624</c:v>
                </c:pt>
                <c:pt idx="50">
                  <c:v>-0.35294785280174779</c:v>
                </c:pt>
                <c:pt idx="51">
                  <c:v>-0.98309446937952316</c:v>
                </c:pt>
                <c:pt idx="52">
                  <c:v>-1.9023861889580473</c:v>
                </c:pt>
                <c:pt idx="53">
                  <c:v>-2.8241825574576893</c:v>
                </c:pt>
                <c:pt idx="54">
                  <c:v>-3.2608952967619729</c:v>
                </c:pt>
                <c:pt idx="55">
                  <c:v>-3.7034267207548197</c:v>
                </c:pt>
                <c:pt idx="56">
                  <c:v>-4.0681648964096695</c:v>
                </c:pt>
                <c:pt idx="57">
                  <c:v>-4.4378097527970795</c:v>
                </c:pt>
                <c:pt idx="58">
                  <c:v>-4.6678895661025024</c:v>
                </c:pt>
                <c:pt idx="59">
                  <c:v>-4.9012127461674879</c:v>
                </c:pt>
                <c:pt idx="60">
                  <c:v>-5.4803581330220368</c:v>
                </c:pt>
                <c:pt idx="61">
                  <c:v>-5.627386989360204</c:v>
                </c:pt>
                <c:pt idx="62">
                  <c:v>-6.1184842182898649</c:v>
                </c:pt>
                <c:pt idx="63">
                  <c:v>-6.6171527206658851</c:v>
                </c:pt>
                <c:pt idx="64">
                  <c:v>-6.7124310607846382</c:v>
                </c:pt>
                <c:pt idx="65">
                  <c:v>-6.3602364331582208</c:v>
                </c:pt>
                <c:pt idx="66">
                  <c:v>-6.1458228757852709</c:v>
                </c:pt>
                <c:pt idx="67">
                  <c:v>-5.9302759555449995</c:v>
                </c:pt>
                <c:pt idx="68">
                  <c:v>-5.3959703634589289</c:v>
                </c:pt>
                <c:pt idx="69">
                  <c:v>-4.8550851230370142</c:v>
                </c:pt>
                <c:pt idx="70">
                  <c:v>-4.506827828220807</c:v>
                </c:pt>
                <c:pt idx="71">
                  <c:v>-4.1540017284106767</c:v>
                </c:pt>
                <c:pt idx="72">
                  <c:v>-3.9146575313942407</c:v>
                </c:pt>
                <c:pt idx="73">
                  <c:v>-3.6718215560226497</c:v>
                </c:pt>
                <c:pt idx="74">
                  <c:v>-3.5344651590963849</c:v>
                </c:pt>
                <c:pt idx="75">
                  <c:v>-3.3022800086167763</c:v>
                </c:pt>
                <c:pt idx="76">
                  <c:v>-2.4704123333459052</c:v>
                </c:pt>
                <c:pt idx="77">
                  <c:v>-1.6333433049848054</c:v>
                </c:pt>
                <c:pt idx="78">
                  <c:v>-1.0159154433261506</c:v>
                </c:pt>
                <c:pt idx="79">
                  <c:v>-0.39745057253213645</c:v>
                </c:pt>
                <c:pt idx="80">
                  <c:v>6.7577691324743228E-2</c:v>
                </c:pt>
                <c:pt idx="81">
                  <c:v>9.1373365950616403E-2</c:v>
                </c:pt>
                <c:pt idx="82">
                  <c:v>4.8019705192686502E-2</c:v>
                </c:pt>
                <c:pt idx="83">
                  <c:v>0.33493761055242999</c:v>
                </c:pt>
                <c:pt idx="84">
                  <c:v>0.59989108856318296</c:v>
                </c:pt>
                <c:pt idx="85">
                  <c:v>0.85603201927837347</c:v>
                </c:pt>
                <c:pt idx="86">
                  <c:v>1.126127475886662</c:v>
                </c:pt>
                <c:pt idx="87">
                  <c:v>1.3870120749621719</c:v>
                </c:pt>
                <c:pt idx="88">
                  <c:v>1.3961606600026357</c:v>
                </c:pt>
                <c:pt idx="89">
                  <c:v>1.074971268834247</c:v>
                </c:pt>
                <c:pt idx="90">
                  <c:v>0.69359087146926868</c:v>
                </c:pt>
                <c:pt idx="91">
                  <c:v>0.31079794058682353</c:v>
                </c:pt>
                <c:pt idx="92">
                  <c:v>-0.13504085472864347</c:v>
                </c:pt>
                <c:pt idx="93">
                  <c:v>-0.58088094809811253</c:v>
                </c:pt>
                <c:pt idx="94">
                  <c:v>-0.91049967044646962</c:v>
                </c:pt>
                <c:pt idx="95">
                  <c:v>-1.2397391837697995</c:v>
                </c:pt>
                <c:pt idx="96">
                  <c:v>-1.1581034991066161</c:v>
                </c:pt>
                <c:pt idx="97">
                  <c:v>-1.079154156668622</c:v>
                </c:pt>
                <c:pt idx="98">
                  <c:v>-1.4733914309704801</c:v>
                </c:pt>
                <c:pt idx="99">
                  <c:v>-1.941144691780238</c:v>
                </c:pt>
                <c:pt idx="100">
                  <c:v>-2.2565413785744681</c:v>
                </c:pt>
                <c:pt idx="101">
                  <c:v>-2.5684028573087403</c:v>
                </c:pt>
                <c:pt idx="102">
                  <c:v>-2.6661523990804028</c:v>
                </c:pt>
                <c:pt idx="103">
                  <c:v>-2.7629580437967149</c:v>
                </c:pt>
                <c:pt idx="104">
                  <c:v>-3.150551995920452</c:v>
                </c:pt>
                <c:pt idx="105">
                  <c:v>-3.1527941473888035</c:v>
                </c:pt>
                <c:pt idx="106">
                  <c:v>-3.4101732786430006</c:v>
                </c:pt>
                <c:pt idx="107">
                  <c:v>-3.6650766274824491</c:v>
                </c:pt>
                <c:pt idx="108">
                  <c:v>-3.9218658186206881</c:v>
                </c:pt>
                <c:pt idx="109">
                  <c:v>-4.5550375012343665</c:v>
                </c:pt>
                <c:pt idx="110">
                  <c:v>-5.0947563021190376</c:v>
                </c:pt>
                <c:pt idx="111">
                  <c:v>-5.2578055067064611</c:v>
                </c:pt>
                <c:pt idx="112">
                  <c:v>-5.3442409430706732</c:v>
                </c:pt>
                <c:pt idx="113">
                  <c:v>-5.4320909505718333</c:v>
                </c:pt>
                <c:pt idx="114">
                  <c:v>-5.4329216633797159</c:v>
                </c:pt>
                <c:pt idx="115">
                  <c:v>-5.4350410667142626</c:v>
                </c:pt>
                <c:pt idx="116">
                  <c:v>-5.2776824773452518</c:v>
                </c:pt>
                <c:pt idx="117">
                  <c:v>-5.1214865375645786</c:v>
                </c:pt>
                <c:pt idx="118">
                  <c:v>-4.9661500618588548</c:v>
                </c:pt>
                <c:pt idx="119">
                  <c:v>-4.8118518106084878</c:v>
                </c:pt>
                <c:pt idx="120">
                  <c:v>-4.3286353400775965</c:v>
                </c:pt>
                <c:pt idx="121">
                  <c:v>-3.8454188695467053</c:v>
                </c:pt>
                <c:pt idx="122">
                  <c:v>-3.7351536968633638</c:v>
                </c:pt>
                <c:pt idx="123">
                  <c:v>-3.2605197463093987</c:v>
                </c:pt>
                <c:pt idx="124">
                  <c:v>-3.1936777389450697</c:v>
                </c:pt>
                <c:pt idx="125">
                  <c:v>-3.1265481457408271</c:v>
                </c:pt>
                <c:pt idx="126">
                  <c:v>-2.8439091714967901</c:v>
                </c:pt>
                <c:pt idx="127">
                  <c:v>-2.5612701972527532</c:v>
                </c:pt>
                <c:pt idx="128">
                  <c:v>-2.3806444808437845</c:v>
                </c:pt>
                <c:pt idx="129">
                  <c:v>-2.2000187644348159</c:v>
                </c:pt>
                <c:pt idx="130">
                  <c:v>-2.0988790545537199</c:v>
                </c:pt>
                <c:pt idx="131">
                  <c:v>-1.9977393446726239</c:v>
                </c:pt>
                <c:pt idx="132">
                  <c:v>-2.0746982552572035</c:v>
                </c:pt>
                <c:pt idx="133">
                  <c:v>-2.1516571658417831</c:v>
                </c:pt>
                <c:pt idx="134">
                  <c:v>-2.3368407830184879</c:v>
                </c:pt>
                <c:pt idx="135">
                  <c:v>-2.5220244001951926</c:v>
                </c:pt>
                <c:pt idx="136">
                  <c:v>-2.6812585001029277</c:v>
                </c:pt>
                <c:pt idx="137">
                  <c:v>-2.8404926000106627</c:v>
                </c:pt>
                <c:pt idx="138">
                  <c:v>-2.9591459774501061</c:v>
                </c:pt>
                <c:pt idx="139">
                  <c:v>-3.0777993548895495</c:v>
                </c:pt>
                <c:pt idx="140">
                  <c:v>-3.2827575319280697</c:v>
                </c:pt>
                <c:pt idx="141">
                  <c:v>-3.16908642376535</c:v>
                </c:pt>
                <c:pt idx="142">
                  <c:v>-3.0266280561138785</c:v>
                </c:pt>
                <c:pt idx="143">
                  <c:v>-2.8892879951407622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FD-41CA-B4E6-1CB7D1914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1319744"/>
        <c:axId val="1061330560"/>
      </c:lineChart>
      <c:catAx>
        <c:axId val="106131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1330560"/>
        <c:crosses val="autoZero"/>
        <c:auto val="1"/>
        <c:lblAlgn val="ctr"/>
        <c:lblOffset val="100"/>
        <c:noMultiLvlLbl val="0"/>
      </c:catAx>
      <c:valAx>
        <c:axId val="106133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131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508547008547006E-2"/>
          <c:y val="5.0925925925925923E-2"/>
          <c:w val="0.86553383190883193"/>
          <c:h val="0.77536818314377365"/>
        </c:manualLayout>
      </c:layout>
      <c:lineChart>
        <c:grouping val="standard"/>
        <c:varyColors val="0"/>
        <c:ser>
          <c:idx val="3"/>
          <c:order val="0"/>
          <c:tx>
            <c:strRef>
              <c:f>回归!$M$2</c:f>
              <c:strCache>
                <c:ptCount val="1"/>
                <c:pt idx="0">
                  <c:v>实车实验车速</c:v>
                </c:pt>
              </c:strCache>
            </c:strRef>
          </c:tx>
          <c:spPr>
            <a:ln w="28575" cap="rnd">
              <a:solidFill>
                <a:srgbClr val="015699"/>
              </a:solidFill>
              <a:round/>
            </a:ln>
            <a:effectLst/>
          </c:spPr>
          <c:marker>
            <c:symbol val="none"/>
          </c:marker>
          <c:cat>
            <c:numRef>
              <c:f>随机森林!$A$3:$A$147</c:f>
              <c:numCache>
                <c:formatCode>General</c:formatCode>
                <c:ptCount val="14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  <c:pt idx="101">
                  <c:v>2525</c:v>
                </c:pt>
                <c:pt idx="102">
                  <c:v>2550</c:v>
                </c:pt>
                <c:pt idx="103">
                  <c:v>2575</c:v>
                </c:pt>
                <c:pt idx="104">
                  <c:v>2600</c:v>
                </c:pt>
                <c:pt idx="105">
                  <c:v>2625</c:v>
                </c:pt>
                <c:pt idx="106">
                  <c:v>2650</c:v>
                </c:pt>
                <c:pt idx="107">
                  <c:v>2675</c:v>
                </c:pt>
                <c:pt idx="108">
                  <c:v>2700</c:v>
                </c:pt>
                <c:pt idx="109">
                  <c:v>2725</c:v>
                </c:pt>
                <c:pt idx="110">
                  <c:v>2750</c:v>
                </c:pt>
                <c:pt idx="111">
                  <c:v>2775</c:v>
                </c:pt>
                <c:pt idx="112">
                  <c:v>2800</c:v>
                </c:pt>
                <c:pt idx="113">
                  <c:v>2825</c:v>
                </c:pt>
                <c:pt idx="114">
                  <c:v>2850</c:v>
                </c:pt>
                <c:pt idx="115">
                  <c:v>2875</c:v>
                </c:pt>
                <c:pt idx="116">
                  <c:v>2900</c:v>
                </c:pt>
                <c:pt idx="117">
                  <c:v>2925</c:v>
                </c:pt>
                <c:pt idx="118">
                  <c:v>2950</c:v>
                </c:pt>
                <c:pt idx="119">
                  <c:v>2975</c:v>
                </c:pt>
                <c:pt idx="120">
                  <c:v>3000</c:v>
                </c:pt>
                <c:pt idx="121">
                  <c:v>3025</c:v>
                </c:pt>
                <c:pt idx="122">
                  <c:v>3050</c:v>
                </c:pt>
                <c:pt idx="123">
                  <c:v>3075</c:v>
                </c:pt>
                <c:pt idx="124">
                  <c:v>3100</c:v>
                </c:pt>
                <c:pt idx="125">
                  <c:v>3125</c:v>
                </c:pt>
                <c:pt idx="126">
                  <c:v>3150</c:v>
                </c:pt>
                <c:pt idx="127">
                  <c:v>3175</c:v>
                </c:pt>
                <c:pt idx="128">
                  <c:v>3200</c:v>
                </c:pt>
                <c:pt idx="129">
                  <c:v>3225</c:v>
                </c:pt>
                <c:pt idx="130">
                  <c:v>3250</c:v>
                </c:pt>
                <c:pt idx="131">
                  <c:v>3275</c:v>
                </c:pt>
                <c:pt idx="132">
                  <c:v>3300</c:v>
                </c:pt>
                <c:pt idx="133">
                  <c:v>3325</c:v>
                </c:pt>
                <c:pt idx="134">
                  <c:v>3350</c:v>
                </c:pt>
                <c:pt idx="135">
                  <c:v>3375</c:v>
                </c:pt>
                <c:pt idx="136">
                  <c:v>3400</c:v>
                </c:pt>
                <c:pt idx="137">
                  <c:v>3425</c:v>
                </c:pt>
                <c:pt idx="138">
                  <c:v>3450</c:v>
                </c:pt>
                <c:pt idx="139">
                  <c:v>3475</c:v>
                </c:pt>
                <c:pt idx="140">
                  <c:v>3500</c:v>
                </c:pt>
                <c:pt idx="141">
                  <c:v>3525</c:v>
                </c:pt>
                <c:pt idx="142">
                  <c:v>3550</c:v>
                </c:pt>
                <c:pt idx="143">
                  <c:v>3575</c:v>
                </c:pt>
                <c:pt idx="144">
                  <c:v>3600</c:v>
                </c:pt>
              </c:numCache>
            </c:numRef>
          </c:cat>
          <c:val>
            <c:numRef>
              <c:f>回归!$M$3:$M$147</c:f>
              <c:numCache>
                <c:formatCode>General</c:formatCode>
                <c:ptCount val="145"/>
                <c:pt idx="0">
                  <c:v>93.585599999999999</c:v>
                </c:pt>
                <c:pt idx="1">
                  <c:v>94.492440000000002</c:v>
                </c:pt>
                <c:pt idx="2">
                  <c:v>95.792760000000001</c:v>
                </c:pt>
                <c:pt idx="3">
                  <c:v>97.124039999999994</c:v>
                </c:pt>
                <c:pt idx="4">
                  <c:v>98.376840000000001</c:v>
                </c:pt>
                <c:pt idx="5">
                  <c:v>98.408519999999996</c:v>
                </c:pt>
                <c:pt idx="6">
                  <c:v>97.424999999999997</c:v>
                </c:pt>
                <c:pt idx="7">
                  <c:v>95.839200000000005</c:v>
                </c:pt>
                <c:pt idx="8">
                  <c:v>94.698000000000008</c:v>
                </c:pt>
                <c:pt idx="9">
                  <c:v>94.015440000000012</c:v>
                </c:pt>
                <c:pt idx="10">
                  <c:v>94.652640000000005</c:v>
                </c:pt>
                <c:pt idx="11">
                  <c:v>95.164200000000008</c:v>
                </c:pt>
                <c:pt idx="12">
                  <c:v>93.982320000000001</c:v>
                </c:pt>
                <c:pt idx="13">
                  <c:v>92.664360000000002</c:v>
                </c:pt>
                <c:pt idx="14">
                  <c:v>92.069280000000006</c:v>
                </c:pt>
                <c:pt idx="15">
                  <c:v>91.510199999999998</c:v>
                </c:pt>
                <c:pt idx="16">
                  <c:v>90.521640000000005</c:v>
                </c:pt>
                <c:pt idx="17">
                  <c:v>90.09684</c:v>
                </c:pt>
                <c:pt idx="18">
                  <c:v>88.846560000000011</c:v>
                </c:pt>
                <c:pt idx="19">
                  <c:v>86.802120000000002</c:v>
                </c:pt>
                <c:pt idx="20">
                  <c:v>85.832640000000012</c:v>
                </c:pt>
                <c:pt idx="21">
                  <c:v>85.124880000000005</c:v>
                </c:pt>
                <c:pt idx="22">
                  <c:v>84.271320000000003</c:v>
                </c:pt>
                <c:pt idx="23">
                  <c:v>83.862000000000009</c:v>
                </c:pt>
                <c:pt idx="24">
                  <c:v>85.346640000000008</c:v>
                </c:pt>
                <c:pt idx="25">
                  <c:v>87.201000000000008</c:v>
                </c:pt>
                <c:pt idx="26">
                  <c:v>89.120519999999999</c:v>
                </c:pt>
                <c:pt idx="27">
                  <c:v>91.323719999999994</c:v>
                </c:pt>
                <c:pt idx="28">
                  <c:v>93.164400000000001</c:v>
                </c:pt>
                <c:pt idx="29">
                  <c:v>92.297880000000006</c:v>
                </c:pt>
                <c:pt idx="30">
                  <c:v>91.445039999999992</c:v>
                </c:pt>
                <c:pt idx="31">
                  <c:v>91.839600000000004</c:v>
                </c:pt>
                <c:pt idx="32">
                  <c:v>92.162520000000001</c:v>
                </c:pt>
                <c:pt idx="33">
                  <c:v>90.293760000000006</c:v>
                </c:pt>
                <c:pt idx="34">
                  <c:v>88.765200000000007</c:v>
                </c:pt>
                <c:pt idx="35">
                  <c:v>87.61572000000001</c:v>
                </c:pt>
                <c:pt idx="36">
                  <c:v>85.932000000000002</c:v>
                </c:pt>
                <c:pt idx="37">
                  <c:v>83.97072</c:v>
                </c:pt>
                <c:pt idx="38">
                  <c:v>82.161720000000003</c:v>
                </c:pt>
                <c:pt idx="39">
                  <c:v>80.02152000000001</c:v>
                </c:pt>
                <c:pt idx="40">
                  <c:v>78.461640000000003</c:v>
                </c:pt>
                <c:pt idx="41">
                  <c:v>77.52564000000001</c:v>
                </c:pt>
                <c:pt idx="42">
                  <c:v>76.909680000000009</c:v>
                </c:pt>
                <c:pt idx="43">
                  <c:v>78.005160000000004</c:v>
                </c:pt>
                <c:pt idx="44">
                  <c:v>78.950880000000012</c:v>
                </c:pt>
                <c:pt idx="45">
                  <c:v>80.712720000000004</c:v>
                </c:pt>
                <c:pt idx="46">
                  <c:v>82.89864</c:v>
                </c:pt>
                <c:pt idx="47">
                  <c:v>82.372320000000002</c:v>
                </c:pt>
                <c:pt idx="48">
                  <c:v>81.429479999999998</c:v>
                </c:pt>
                <c:pt idx="49">
                  <c:v>82.306080000000009</c:v>
                </c:pt>
                <c:pt idx="50">
                  <c:v>81.699119999999994</c:v>
                </c:pt>
                <c:pt idx="51">
                  <c:v>83.170079999999999</c:v>
                </c:pt>
                <c:pt idx="52">
                  <c:v>85.493160000000003</c:v>
                </c:pt>
                <c:pt idx="53">
                  <c:v>86.487120000000004</c:v>
                </c:pt>
                <c:pt idx="54">
                  <c:v>86.265360000000001</c:v>
                </c:pt>
                <c:pt idx="55">
                  <c:v>85.879800000000003</c:v>
                </c:pt>
                <c:pt idx="56">
                  <c:v>86.865120000000005</c:v>
                </c:pt>
                <c:pt idx="57">
                  <c:v>88.360559999999992</c:v>
                </c:pt>
                <c:pt idx="58">
                  <c:v>90.13427999999999</c:v>
                </c:pt>
                <c:pt idx="59">
                  <c:v>90.150120000000001</c:v>
                </c:pt>
                <c:pt idx="60">
                  <c:v>89.317080000000004</c:v>
                </c:pt>
                <c:pt idx="61">
                  <c:v>88.2774</c:v>
                </c:pt>
                <c:pt idx="62">
                  <c:v>87.464880000000008</c:v>
                </c:pt>
                <c:pt idx="63">
                  <c:v>87.81156</c:v>
                </c:pt>
                <c:pt idx="64">
                  <c:v>88.975439999999992</c:v>
                </c:pt>
                <c:pt idx="65">
                  <c:v>90.063720000000004</c:v>
                </c:pt>
                <c:pt idx="66">
                  <c:v>90.772919999999999</c:v>
                </c:pt>
                <c:pt idx="67">
                  <c:v>90.186840000000004</c:v>
                </c:pt>
                <c:pt idx="68">
                  <c:v>90.318240000000003</c:v>
                </c:pt>
                <c:pt idx="69">
                  <c:v>91.584000000000003</c:v>
                </c:pt>
                <c:pt idx="70">
                  <c:v>91.846800000000002</c:v>
                </c:pt>
                <c:pt idx="71">
                  <c:v>90.948599999999999</c:v>
                </c:pt>
                <c:pt idx="72">
                  <c:v>90.172079999999994</c:v>
                </c:pt>
                <c:pt idx="73">
                  <c:v>90.179280000000006</c:v>
                </c:pt>
                <c:pt idx="74">
                  <c:v>89.649720000000002</c:v>
                </c:pt>
                <c:pt idx="75">
                  <c:v>88.797960000000003</c:v>
                </c:pt>
                <c:pt idx="76">
                  <c:v>87.982559999999992</c:v>
                </c:pt>
                <c:pt idx="77">
                  <c:v>87.897240000000011</c:v>
                </c:pt>
                <c:pt idx="78">
                  <c:v>87.31331999999999</c:v>
                </c:pt>
                <c:pt idx="79">
                  <c:v>86.649840000000012</c:v>
                </c:pt>
                <c:pt idx="80">
                  <c:v>87.663600000000002</c:v>
                </c:pt>
                <c:pt idx="81">
                  <c:v>88.467120000000008</c:v>
                </c:pt>
                <c:pt idx="82">
                  <c:v>89.435879999999997</c:v>
                </c:pt>
                <c:pt idx="83">
                  <c:v>89.547840000000008</c:v>
                </c:pt>
                <c:pt idx="84">
                  <c:v>89.863200000000006</c:v>
                </c:pt>
                <c:pt idx="85">
                  <c:v>90.059400000000011</c:v>
                </c:pt>
                <c:pt idx="86">
                  <c:v>89.97120000000001</c:v>
                </c:pt>
                <c:pt idx="87">
                  <c:v>90.16704</c:v>
                </c:pt>
                <c:pt idx="88">
                  <c:v>91.506600000000006</c:v>
                </c:pt>
                <c:pt idx="89">
                  <c:v>92.129400000000004</c:v>
                </c:pt>
                <c:pt idx="90">
                  <c:v>91.11348000000001</c:v>
                </c:pt>
                <c:pt idx="91">
                  <c:v>89.69256</c:v>
                </c:pt>
                <c:pt idx="92">
                  <c:v>88.280640000000005</c:v>
                </c:pt>
                <c:pt idx="93">
                  <c:v>87.582599999999999</c:v>
                </c:pt>
                <c:pt idx="94">
                  <c:v>88.849440000000001</c:v>
                </c:pt>
                <c:pt idx="95">
                  <c:v>90.838080000000005</c:v>
                </c:pt>
                <c:pt idx="96">
                  <c:v>92.435400000000001</c:v>
                </c:pt>
                <c:pt idx="97">
                  <c:v>94.152240000000006</c:v>
                </c:pt>
                <c:pt idx="98">
                  <c:v>94.00500000000001</c:v>
                </c:pt>
                <c:pt idx="99">
                  <c:v>94.681080000000009</c:v>
                </c:pt>
                <c:pt idx="100">
                  <c:v>95.583240000000004</c:v>
                </c:pt>
                <c:pt idx="101">
                  <c:v>95.801400000000001</c:v>
                </c:pt>
                <c:pt idx="102">
                  <c:v>95.424840000000003</c:v>
                </c:pt>
                <c:pt idx="103">
                  <c:v>95.565600000000003</c:v>
                </c:pt>
                <c:pt idx="104">
                  <c:v>95.896800000000013</c:v>
                </c:pt>
                <c:pt idx="105">
                  <c:v>95.118120000000005</c:v>
                </c:pt>
                <c:pt idx="106">
                  <c:v>96.045480000000012</c:v>
                </c:pt>
                <c:pt idx="107">
                  <c:v>96.914519999999996</c:v>
                </c:pt>
                <c:pt idx="108">
                  <c:v>95.860080000000011</c:v>
                </c:pt>
                <c:pt idx="109">
                  <c:v>94.307040000000001</c:v>
                </c:pt>
                <c:pt idx="110">
                  <c:v>92.690280000000001</c:v>
                </c:pt>
                <c:pt idx="111">
                  <c:v>90.620280000000008</c:v>
                </c:pt>
                <c:pt idx="112">
                  <c:v>89.488440000000011</c:v>
                </c:pt>
                <c:pt idx="113">
                  <c:v>89.82</c:v>
                </c:pt>
                <c:pt idx="114">
                  <c:v>89.930520000000001</c:v>
                </c:pt>
                <c:pt idx="115">
                  <c:v>89.587800000000001</c:v>
                </c:pt>
                <c:pt idx="116">
                  <c:v>89.098200000000006</c:v>
                </c:pt>
                <c:pt idx="117">
                  <c:v>89.809200000000004</c:v>
                </c:pt>
                <c:pt idx="118">
                  <c:v>89.416800000000009</c:v>
                </c:pt>
                <c:pt idx="119">
                  <c:v>88.664040000000014</c:v>
                </c:pt>
                <c:pt idx="120">
                  <c:v>87.772679999999994</c:v>
                </c:pt>
                <c:pt idx="121">
                  <c:v>85.740120000000005</c:v>
                </c:pt>
                <c:pt idx="122">
                  <c:v>83.989800000000002</c:v>
                </c:pt>
                <c:pt idx="123">
                  <c:v>83.604240000000004</c:v>
                </c:pt>
                <c:pt idx="124">
                  <c:v>85.052160000000001</c:v>
                </c:pt>
                <c:pt idx="125">
                  <c:v>87.046559999999999</c:v>
                </c:pt>
                <c:pt idx="126">
                  <c:v>87.564959999999999</c:v>
                </c:pt>
                <c:pt idx="127">
                  <c:v>87.768720000000002</c:v>
                </c:pt>
                <c:pt idx="128">
                  <c:v>87.82056</c:v>
                </c:pt>
                <c:pt idx="129">
                  <c:v>85.307400000000001</c:v>
                </c:pt>
                <c:pt idx="130">
                  <c:v>83.90664000000001</c:v>
                </c:pt>
                <c:pt idx="131">
                  <c:v>83.456280000000007</c:v>
                </c:pt>
                <c:pt idx="132">
                  <c:v>84.601079999999996</c:v>
                </c:pt>
                <c:pt idx="133">
                  <c:v>84.188519999999997</c:v>
                </c:pt>
                <c:pt idx="134">
                  <c:v>84.574439999999996</c:v>
                </c:pt>
                <c:pt idx="135">
                  <c:v>85.229640000000003</c:v>
                </c:pt>
                <c:pt idx="136">
                  <c:v>84.650040000000004</c:v>
                </c:pt>
                <c:pt idx="137">
                  <c:v>84.259799999999998</c:v>
                </c:pt>
                <c:pt idx="138">
                  <c:v>85.777200000000008</c:v>
                </c:pt>
                <c:pt idx="139">
                  <c:v>87.781320000000008</c:v>
                </c:pt>
                <c:pt idx="140">
                  <c:v>89.986680000000007</c:v>
                </c:pt>
                <c:pt idx="141">
                  <c:v>92.057040000000001</c:v>
                </c:pt>
                <c:pt idx="142">
                  <c:v>93.979079999999996</c:v>
                </c:pt>
                <c:pt idx="143">
                  <c:v>94.510440000000003</c:v>
                </c:pt>
                <c:pt idx="144">
                  <c:v>94.84920000000001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FB-4D44-8C68-C3584441100A}"/>
            </c:ext>
          </c:extLst>
        </c:ser>
        <c:ser>
          <c:idx val="0"/>
          <c:order val="1"/>
          <c:tx>
            <c:strRef>
              <c:f>随机森林!$I$2</c:f>
              <c:strCache>
                <c:ptCount val="1"/>
                <c:pt idx="0">
                  <c:v>实际路线规划车速</c:v>
                </c:pt>
              </c:strCache>
            </c:strRef>
          </c:tx>
          <c:spPr>
            <a:ln w="28575" cap="rnd">
              <a:solidFill>
                <a:srgbClr val="F3764A"/>
              </a:solidFill>
              <a:round/>
            </a:ln>
            <a:effectLst/>
          </c:spPr>
          <c:marker>
            <c:symbol val="none"/>
          </c:marker>
          <c:cat>
            <c:numRef>
              <c:f>随机森林!$A$3:$A$147</c:f>
              <c:numCache>
                <c:formatCode>General</c:formatCode>
                <c:ptCount val="14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  <c:pt idx="101">
                  <c:v>2525</c:v>
                </c:pt>
                <c:pt idx="102">
                  <c:v>2550</c:v>
                </c:pt>
                <c:pt idx="103">
                  <c:v>2575</c:v>
                </c:pt>
                <c:pt idx="104">
                  <c:v>2600</c:v>
                </c:pt>
                <c:pt idx="105">
                  <c:v>2625</c:v>
                </c:pt>
                <c:pt idx="106">
                  <c:v>2650</c:v>
                </c:pt>
                <c:pt idx="107">
                  <c:v>2675</c:v>
                </c:pt>
                <c:pt idx="108">
                  <c:v>2700</c:v>
                </c:pt>
                <c:pt idx="109">
                  <c:v>2725</c:v>
                </c:pt>
                <c:pt idx="110">
                  <c:v>2750</c:v>
                </c:pt>
                <c:pt idx="111">
                  <c:v>2775</c:v>
                </c:pt>
                <c:pt idx="112">
                  <c:v>2800</c:v>
                </c:pt>
                <c:pt idx="113">
                  <c:v>2825</c:v>
                </c:pt>
                <c:pt idx="114">
                  <c:v>2850</c:v>
                </c:pt>
                <c:pt idx="115">
                  <c:v>2875</c:v>
                </c:pt>
                <c:pt idx="116">
                  <c:v>2900</c:v>
                </c:pt>
                <c:pt idx="117">
                  <c:v>2925</c:v>
                </c:pt>
                <c:pt idx="118">
                  <c:v>2950</c:v>
                </c:pt>
                <c:pt idx="119">
                  <c:v>2975</c:v>
                </c:pt>
                <c:pt idx="120">
                  <c:v>3000</c:v>
                </c:pt>
                <c:pt idx="121">
                  <c:v>3025</c:v>
                </c:pt>
                <c:pt idx="122">
                  <c:v>3050</c:v>
                </c:pt>
                <c:pt idx="123">
                  <c:v>3075</c:v>
                </c:pt>
                <c:pt idx="124">
                  <c:v>3100</c:v>
                </c:pt>
                <c:pt idx="125">
                  <c:v>3125</c:v>
                </c:pt>
                <c:pt idx="126">
                  <c:v>3150</c:v>
                </c:pt>
                <c:pt idx="127">
                  <c:v>3175</c:v>
                </c:pt>
                <c:pt idx="128">
                  <c:v>3200</c:v>
                </c:pt>
                <c:pt idx="129">
                  <c:v>3225</c:v>
                </c:pt>
                <c:pt idx="130">
                  <c:v>3250</c:v>
                </c:pt>
                <c:pt idx="131">
                  <c:v>3275</c:v>
                </c:pt>
                <c:pt idx="132">
                  <c:v>3300</c:v>
                </c:pt>
                <c:pt idx="133">
                  <c:v>3325</c:v>
                </c:pt>
                <c:pt idx="134">
                  <c:v>3350</c:v>
                </c:pt>
                <c:pt idx="135">
                  <c:v>3375</c:v>
                </c:pt>
                <c:pt idx="136">
                  <c:v>3400</c:v>
                </c:pt>
                <c:pt idx="137">
                  <c:v>3425</c:v>
                </c:pt>
                <c:pt idx="138">
                  <c:v>3450</c:v>
                </c:pt>
                <c:pt idx="139">
                  <c:v>3475</c:v>
                </c:pt>
                <c:pt idx="140">
                  <c:v>3500</c:v>
                </c:pt>
                <c:pt idx="141">
                  <c:v>3525</c:v>
                </c:pt>
                <c:pt idx="142">
                  <c:v>3550</c:v>
                </c:pt>
                <c:pt idx="143">
                  <c:v>3575</c:v>
                </c:pt>
                <c:pt idx="144">
                  <c:v>3600</c:v>
                </c:pt>
              </c:numCache>
            </c:numRef>
          </c:cat>
          <c:val>
            <c:numRef>
              <c:f>随机森林!$I$3:$I$147</c:f>
              <c:numCache>
                <c:formatCode>General</c:formatCode>
                <c:ptCount val="145"/>
                <c:pt idx="0">
                  <c:v>90</c:v>
                </c:pt>
                <c:pt idx="1">
                  <c:v>91.126800000000003</c:v>
                </c:pt>
                <c:pt idx="2">
                  <c:v>92.240279999999998</c:v>
                </c:pt>
                <c:pt idx="3">
                  <c:v>93.34008</c:v>
                </c:pt>
                <c:pt idx="4">
                  <c:v>94.42728000000001</c:v>
                </c:pt>
                <c:pt idx="5">
                  <c:v>95.039999999999992</c:v>
                </c:pt>
                <c:pt idx="6">
                  <c:v>95.4</c:v>
                </c:pt>
                <c:pt idx="7">
                  <c:v>94.68</c:v>
                </c:pt>
                <c:pt idx="8">
                  <c:v>94.68</c:v>
                </c:pt>
                <c:pt idx="9">
                  <c:v>95.039999999999992</c:v>
                </c:pt>
                <c:pt idx="10">
                  <c:v>95.4</c:v>
                </c:pt>
                <c:pt idx="11">
                  <c:v>95.76</c:v>
                </c:pt>
                <c:pt idx="12">
                  <c:v>96.12</c:v>
                </c:pt>
                <c:pt idx="13">
                  <c:v>96.48</c:v>
                </c:pt>
                <c:pt idx="14">
                  <c:v>96.84</c:v>
                </c:pt>
                <c:pt idx="15">
                  <c:v>97.2</c:v>
                </c:pt>
                <c:pt idx="16">
                  <c:v>97.56</c:v>
                </c:pt>
                <c:pt idx="17">
                  <c:v>97.92</c:v>
                </c:pt>
                <c:pt idx="18">
                  <c:v>97.2</c:v>
                </c:pt>
                <c:pt idx="19">
                  <c:v>97.56</c:v>
                </c:pt>
                <c:pt idx="20">
                  <c:v>97.92</c:v>
                </c:pt>
                <c:pt idx="21">
                  <c:v>97.2</c:v>
                </c:pt>
                <c:pt idx="22">
                  <c:v>97.56</c:v>
                </c:pt>
                <c:pt idx="23">
                  <c:v>97.92</c:v>
                </c:pt>
                <c:pt idx="24">
                  <c:v>98.28</c:v>
                </c:pt>
                <c:pt idx="25">
                  <c:v>97.92</c:v>
                </c:pt>
                <c:pt idx="26">
                  <c:v>97.56</c:v>
                </c:pt>
                <c:pt idx="27">
                  <c:v>97.92</c:v>
                </c:pt>
                <c:pt idx="28">
                  <c:v>98.64</c:v>
                </c:pt>
                <c:pt idx="29">
                  <c:v>99.360000000000014</c:v>
                </c:pt>
                <c:pt idx="30">
                  <c:v>100.00800000000001</c:v>
                </c:pt>
                <c:pt idx="31">
                  <c:v>99.360000000000014</c:v>
                </c:pt>
                <c:pt idx="32">
                  <c:v>98.64</c:v>
                </c:pt>
                <c:pt idx="33">
                  <c:v>97.92</c:v>
                </c:pt>
                <c:pt idx="34">
                  <c:v>97.2</c:v>
                </c:pt>
                <c:pt idx="35">
                  <c:v>97.56</c:v>
                </c:pt>
                <c:pt idx="36">
                  <c:v>97.92</c:v>
                </c:pt>
                <c:pt idx="37">
                  <c:v>98.28</c:v>
                </c:pt>
                <c:pt idx="38">
                  <c:v>98.64</c:v>
                </c:pt>
                <c:pt idx="39">
                  <c:v>97.92</c:v>
                </c:pt>
                <c:pt idx="40">
                  <c:v>97.2</c:v>
                </c:pt>
                <c:pt idx="41">
                  <c:v>96.48</c:v>
                </c:pt>
                <c:pt idx="42">
                  <c:v>95.76</c:v>
                </c:pt>
                <c:pt idx="43">
                  <c:v>95.039999999999992</c:v>
                </c:pt>
                <c:pt idx="44">
                  <c:v>94.32</c:v>
                </c:pt>
                <c:pt idx="45">
                  <c:v>93.600000000000009</c:v>
                </c:pt>
                <c:pt idx="46">
                  <c:v>92.88000000000001</c:v>
                </c:pt>
                <c:pt idx="47">
                  <c:v>92.160000000000011</c:v>
                </c:pt>
                <c:pt idx="48">
                  <c:v>91.44</c:v>
                </c:pt>
                <c:pt idx="49">
                  <c:v>90.72</c:v>
                </c:pt>
                <c:pt idx="50">
                  <c:v>90</c:v>
                </c:pt>
                <c:pt idx="51">
                  <c:v>90.72</c:v>
                </c:pt>
                <c:pt idx="52">
                  <c:v>90</c:v>
                </c:pt>
                <c:pt idx="53">
                  <c:v>90</c:v>
                </c:pt>
                <c:pt idx="54">
                  <c:v>90</c:v>
                </c:pt>
                <c:pt idx="55">
                  <c:v>90</c:v>
                </c:pt>
                <c:pt idx="56">
                  <c:v>90</c:v>
                </c:pt>
                <c:pt idx="57">
                  <c:v>90</c:v>
                </c:pt>
                <c:pt idx="58">
                  <c:v>90</c:v>
                </c:pt>
                <c:pt idx="59">
                  <c:v>90</c:v>
                </c:pt>
                <c:pt idx="60">
                  <c:v>91.08</c:v>
                </c:pt>
                <c:pt idx="61">
                  <c:v>91.44</c:v>
                </c:pt>
                <c:pt idx="62">
                  <c:v>91.08</c:v>
                </c:pt>
                <c:pt idx="63">
                  <c:v>91.08</c:v>
                </c:pt>
                <c:pt idx="64">
                  <c:v>91.08</c:v>
                </c:pt>
                <c:pt idx="65">
                  <c:v>91.08</c:v>
                </c:pt>
                <c:pt idx="66">
                  <c:v>91.08</c:v>
                </c:pt>
                <c:pt idx="67">
                  <c:v>91.08</c:v>
                </c:pt>
                <c:pt idx="68">
                  <c:v>91.08</c:v>
                </c:pt>
                <c:pt idx="69">
                  <c:v>91.08</c:v>
                </c:pt>
                <c:pt idx="70">
                  <c:v>91.08</c:v>
                </c:pt>
                <c:pt idx="71">
                  <c:v>91.08</c:v>
                </c:pt>
                <c:pt idx="72">
                  <c:v>91.08</c:v>
                </c:pt>
                <c:pt idx="73">
                  <c:v>91.08</c:v>
                </c:pt>
                <c:pt idx="74">
                  <c:v>91.08</c:v>
                </c:pt>
                <c:pt idx="75">
                  <c:v>91.08</c:v>
                </c:pt>
                <c:pt idx="76">
                  <c:v>91.08</c:v>
                </c:pt>
                <c:pt idx="77">
                  <c:v>91.08</c:v>
                </c:pt>
                <c:pt idx="78">
                  <c:v>91.08</c:v>
                </c:pt>
                <c:pt idx="79">
                  <c:v>91.44</c:v>
                </c:pt>
                <c:pt idx="80">
                  <c:v>91.08</c:v>
                </c:pt>
                <c:pt idx="81">
                  <c:v>90.360000000000014</c:v>
                </c:pt>
                <c:pt idx="82">
                  <c:v>90</c:v>
                </c:pt>
                <c:pt idx="83">
                  <c:v>90</c:v>
                </c:pt>
                <c:pt idx="84">
                  <c:v>90</c:v>
                </c:pt>
                <c:pt idx="85">
                  <c:v>90</c:v>
                </c:pt>
                <c:pt idx="86">
                  <c:v>90</c:v>
                </c:pt>
                <c:pt idx="87">
                  <c:v>90</c:v>
                </c:pt>
                <c:pt idx="88">
                  <c:v>90</c:v>
                </c:pt>
                <c:pt idx="89">
                  <c:v>90</c:v>
                </c:pt>
                <c:pt idx="90">
                  <c:v>90</c:v>
                </c:pt>
                <c:pt idx="91">
                  <c:v>90</c:v>
                </c:pt>
                <c:pt idx="92">
                  <c:v>90.72</c:v>
                </c:pt>
                <c:pt idx="93">
                  <c:v>90</c:v>
                </c:pt>
                <c:pt idx="94">
                  <c:v>90.72</c:v>
                </c:pt>
                <c:pt idx="95">
                  <c:v>90.72</c:v>
                </c:pt>
                <c:pt idx="96">
                  <c:v>90</c:v>
                </c:pt>
                <c:pt idx="97">
                  <c:v>90</c:v>
                </c:pt>
                <c:pt idx="98">
                  <c:v>90.72</c:v>
                </c:pt>
                <c:pt idx="99">
                  <c:v>90.72</c:v>
                </c:pt>
                <c:pt idx="100">
                  <c:v>90.72</c:v>
                </c:pt>
                <c:pt idx="101">
                  <c:v>91.8</c:v>
                </c:pt>
                <c:pt idx="102">
                  <c:v>92.88000000000001</c:v>
                </c:pt>
                <c:pt idx="103">
                  <c:v>92.88000000000001</c:v>
                </c:pt>
                <c:pt idx="104">
                  <c:v>92.160000000000011</c:v>
                </c:pt>
                <c:pt idx="105">
                  <c:v>91.44</c:v>
                </c:pt>
                <c:pt idx="106">
                  <c:v>90.72</c:v>
                </c:pt>
                <c:pt idx="107">
                  <c:v>91.8</c:v>
                </c:pt>
                <c:pt idx="108">
                  <c:v>92.88000000000001</c:v>
                </c:pt>
                <c:pt idx="109">
                  <c:v>92.160000000000011</c:v>
                </c:pt>
                <c:pt idx="110">
                  <c:v>91.44</c:v>
                </c:pt>
                <c:pt idx="111">
                  <c:v>90.72</c:v>
                </c:pt>
                <c:pt idx="112">
                  <c:v>90</c:v>
                </c:pt>
                <c:pt idx="113">
                  <c:v>91.08</c:v>
                </c:pt>
                <c:pt idx="114">
                  <c:v>92.160000000000011</c:v>
                </c:pt>
                <c:pt idx="115">
                  <c:v>91.08</c:v>
                </c:pt>
                <c:pt idx="116">
                  <c:v>90.360000000000014</c:v>
                </c:pt>
                <c:pt idx="117">
                  <c:v>90</c:v>
                </c:pt>
                <c:pt idx="118">
                  <c:v>90</c:v>
                </c:pt>
                <c:pt idx="119">
                  <c:v>90</c:v>
                </c:pt>
                <c:pt idx="120">
                  <c:v>90</c:v>
                </c:pt>
                <c:pt idx="121">
                  <c:v>90</c:v>
                </c:pt>
                <c:pt idx="122">
                  <c:v>91.08</c:v>
                </c:pt>
                <c:pt idx="123">
                  <c:v>91.08</c:v>
                </c:pt>
                <c:pt idx="124">
                  <c:v>91.08</c:v>
                </c:pt>
                <c:pt idx="125">
                  <c:v>91.08</c:v>
                </c:pt>
                <c:pt idx="126">
                  <c:v>91.08</c:v>
                </c:pt>
                <c:pt idx="127">
                  <c:v>91.08</c:v>
                </c:pt>
                <c:pt idx="128">
                  <c:v>91.08</c:v>
                </c:pt>
                <c:pt idx="129">
                  <c:v>91.08</c:v>
                </c:pt>
                <c:pt idx="130">
                  <c:v>91.08</c:v>
                </c:pt>
                <c:pt idx="131">
                  <c:v>91.08</c:v>
                </c:pt>
                <c:pt idx="132">
                  <c:v>91.08</c:v>
                </c:pt>
                <c:pt idx="133">
                  <c:v>91.08</c:v>
                </c:pt>
                <c:pt idx="134">
                  <c:v>91.08</c:v>
                </c:pt>
                <c:pt idx="135">
                  <c:v>91.08</c:v>
                </c:pt>
                <c:pt idx="136">
                  <c:v>91.08</c:v>
                </c:pt>
                <c:pt idx="137">
                  <c:v>91.08</c:v>
                </c:pt>
                <c:pt idx="138">
                  <c:v>91.08</c:v>
                </c:pt>
                <c:pt idx="139">
                  <c:v>90.72</c:v>
                </c:pt>
                <c:pt idx="140">
                  <c:v>90.72</c:v>
                </c:pt>
                <c:pt idx="141">
                  <c:v>90.360000000000014</c:v>
                </c:pt>
                <c:pt idx="142">
                  <c:v>90</c:v>
                </c:pt>
                <c:pt idx="143">
                  <c:v>90</c:v>
                </c:pt>
                <c:pt idx="144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FB-4D44-8C68-C3584441100A}"/>
            </c:ext>
          </c:extLst>
        </c:ser>
        <c:ser>
          <c:idx val="1"/>
          <c:order val="2"/>
          <c:tx>
            <c:strRef>
              <c:f>随机森林!$J$2</c:f>
              <c:strCache>
                <c:ptCount val="1"/>
                <c:pt idx="0">
                  <c:v>单弧路线规划车速</c:v>
                </c:pt>
              </c:strCache>
            </c:strRef>
          </c:tx>
          <c:spPr>
            <a:ln w="28575" cap="rnd">
              <a:solidFill>
                <a:srgbClr val="FAC00F"/>
              </a:solidFill>
              <a:round/>
            </a:ln>
            <a:effectLst/>
          </c:spPr>
          <c:marker>
            <c:symbol val="none"/>
          </c:marker>
          <c:cat>
            <c:numRef>
              <c:f>随机森林!$A$3:$A$147</c:f>
              <c:numCache>
                <c:formatCode>General</c:formatCode>
                <c:ptCount val="14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  <c:pt idx="101">
                  <c:v>2525</c:v>
                </c:pt>
                <c:pt idx="102">
                  <c:v>2550</c:v>
                </c:pt>
                <c:pt idx="103">
                  <c:v>2575</c:v>
                </c:pt>
                <c:pt idx="104">
                  <c:v>2600</c:v>
                </c:pt>
                <c:pt idx="105">
                  <c:v>2625</c:v>
                </c:pt>
                <c:pt idx="106">
                  <c:v>2650</c:v>
                </c:pt>
                <c:pt idx="107">
                  <c:v>2675</c:v>
                </c:pt>
                <c:pt idx="108">
                  <c:v>2700</c:v>
                </c:pt>
                <c:pt idx="109">
                  <c:v>2725</c:v>
                </c:pt>
                <c:pt idx="110">
                  <c:v>2750</c:v>
                </c:pt>
                <c:pt idx="111">
                  <c:v>2775</c:v>
                </c:pt>
                <c:pt idx="112">
                  <c:v>2800</c:v>
                </c:pt>
                <c:pt idx="113">
                  <c:v>2825</c:v>
                </c:pt>
                <c:pt idx="114">
                  <c:v>2850</c:v>
                </c:pt>
                <c:pt idx="115">
                  <c:v>2875</c:v>
                </c:pt>
                <c:pt idx="116">
                  <c:v>2900</c:v>
                </c:pt>
                <c:pt idx="117">
                  <c:v>2925</c:v>
                </c:pt>
                <c:pt idx="118">
                  <c:v>2950</c:v>
                </c:pt>
                <c:pt idx="119">
                  <c:v>2975</c:v>
                </c:pt>
                <c:pt idx="120">
                  <c:v>3000</c:v>
                </c:pt>
                <c:pt idx="121">
                  <c:v>3025</c:v>
                </c:pt>
                <c:pt idx="122">
                  <c:v>3050</c:v>
                </c:pt>
                <c:pt idx="123">
                  <c:v>3075</c:v>
                </c:pt>
                <c:pt idx="124">
                  <c:v>3100</c:v>
                </c:pt>
                <c:pt idx="125">
                  <c:v>3125</c:v>
                </c:pt>
                <c:pt idx="126">
                  <c:v>3150</c:v>
                </c:pt>
                <c:pt idx="127">
                  <c:v>3175</c:v>
                </c:pt>
                <c:pt idx="128">
                  <c:v>3200</c:v>
                </c:pt>
                <c:pt idx="129">
                  <c:v>3225</c:v>
                </c:pt>
                <c:pt idx="130">
                  <c:v>3250</c:v>
                </c:pt>
                <c:pt idx="131">
                  <c:v>3275</c:v>
                </c:pt>
                <c:pt idx="132">
                  <c:v>3300</c:v>
                </c:pt>
                <c:pt idx="133">
                  <c:v>3325</c:v>
                </c:pt>
                <c:pt idx="134">
                  <c:v>3350</c:v>
                </c:pt>
                <c:pt idx="135">
                  <c:v>3375</c:v>
                </c:pt>
                <c:pt idx="136">
                  <c:v>3400</c:v>
                </c:pt>
                <c:pt idx="137">
                  <c:v>3425</c:v>
                </c:pt>
                <c:pt idx="138">
                  <c:v>3450</c:v>
                </c:pt>
                <c:pt idx="139">
                  <c:v>3475</c:v>
                </c:pt>
                <c:pt idx="140">
                  <c:v>3500</c:v>
                </c:pt>
                <c:pt idx="141">
                  <c:v>3525</c:v>
                </c:pt>
                <c:pt idx="142">
                  <c:v>3550</c:v>
                </c:pt>
                <c:pt idx="143">
                  <c:v>3575</c:v>
                </c:pt>
                <c:pt idx="144">
                  <c:v>3600</c:v>
                </c:pt>
              </c:numCache>
            </c:numRef>
          </c:cat>
          <c:val>
            <c:numRef>
              <c:f>随机森林!$J$3:$J$147</c:f>
              <c:numCache>
                <c:formatCode>General</c:formatCode>
                <c:ptCount val="145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90.72</c:v>
                </c:pt>
                <c:pt idx="4">
                  <c:v>90.360000000000014</c:v>
                </c:pt>
                <c:pt idx="5">
                  <c:v>90</c:v>
                </c:pt>
                <c:pt idx="6">
                  <c:v>90.72</c:v>
                </c:pt>
                <c:pt idx="7">
                  <c:v>90.360000000000014</c:v>
                </c:pt>
                <c:pt idx="8">
                  <c:v>91.08</c:v>
                </c:pt>
                <c:pt idx="9">
                  <c:v>92.160000000000011</c:v>
                </c:pt>
                <c:pt idx="10">
                  <c:v>93.24</c:v>
                </c:pt>
                <c:pt idx="11">
                  <c:v>94.32</c:v>
                </c:pt>
                <c:pt idx="12">
                  <c:v>95.039999999999992</c:v>
                </c:pt>
                <c:pt idx="13">
                  <c:v>95.4</c:v>
                </c:pt>
                <c:pt idx="14">
                  <c:v>95.76</c:v>
                </c:pt>
                <c:pt idx="15">
                  <c:v>96.12</c:v>
                </c:pt>
                <c:pt idx="16">
                  <c:v>96.48</c:v>
                </c:pt>
                <c:pt idx="17">
                  <c:v>96.84</c:v>
                </c:pt>
                <c:pt idx="18">
                  <c:v>97.2</c:v>
                </c:pt>
                <c:pt idx="19">
                  <c:v>97.56</c:v>
                </c:pt>
                <c:pt idx="20">
                  <c:v>97.92</c:v>
                </c:pt>
                <c:pt idx="21">
                  <c:v>97.2</c:v>
                </c:pt>
                <c:pt idx="22">
                  <c:v>97.56</c:v>
                </c:pt>
                <c:pt idx="23">
                  <c:v>97.92</c:v>
                </c:pt>
                <c:pt idx="24">
                  <c:v>97.2</c:v>
                </c:pt>
                <c:pt idx="25">
                  <c:v>97.56</c:v>
                </c:pt>
                <c:pt idx="26">
                  <c:v>97.92</c:v>
                </c:pt>
                <c:pt idx="27">
                  <c:v>98.28</c:v>
                </c:pt>
                <c:pt idx="28">
                  <c:v>97.56</c:v>
                </c:pt>
                <c:pt idx="29">
                  <c:v>97.92</c:v>
                </c:pt>
                <c:pt idx="30">
                  <c:v>97.56</c:v>
                </c:pt>
                <c:pt idx="31">
                  <c:v>97.92</c:v>
                </c:pt>
                <c:pt idx="32">
                  <c:v>97.56</c:v>
                </c:pt>
                <c:pt idx="33">
                  <c:v>97.92</c:v>
                </c:pt>
                <c:pt idx="34">
                  <c:v>97.2</c:v>
                </c:pt>
                <c:pt idx="35">
                  <c:v>97.56</c:v>
                </c:pt>
                <c:pt idx="36">
                  <c:v>97.92</c:v>
                </c:pt>
                <c:pt idx="37">
                  <c:v>97.56</c:v>
                </c:pt>
                <c:pt idx="38">
                  <c:v>97.92</c:v>
                </c:pt>
                <c:pt idx="39">
                  <c:v>97.56</c:v>
                </c:pt>
                <c:pt idx="40">
                  <c:v>97.92</c:v>
                </c:pt>
                <c:pt idx="41">
                  <c:v>97.56</c:v>
                </c:pt>
                <c:pt idx="42">
                  <c:v>97.92</c:v>
                </c:pt>
                <c:pt idx="43">
                  <c:v>97.56</c:v>
                </c:pt>
                <c:pt idx="44">
                  <c:v>97.92</c:v>
                </c:pt>
                <c:pt idx="45">
                  <c:v>97.56</c:v>
                </c:pt>
                <c:pt idx="46">
                  <c:v>97.92</c:v>
                </c:pt>
                <c:pt idx="47">
                  <c:v>98.64</c:v>
                </c:pt>
                <c:pt idx="48">
                  <c:v>98.28</c:v>
                </c:pt>
                <c:pt idx="49">
                  <c:v>99</c:v>
                </c:pt>
                <c:pt idx="50">
                  <c:v>99.72</c:v>
                </c:pt>
                <c:pt idx="51">
                  <c:v>99</c:v>
                </c:pt>
                <c:pt idx="52">
                  <c:v>98.28</c:v>
                </c:pt>
                <c:pt idx="53">
                  <c:v>99</c:v>
                </c:pt>
                <c:pt idx="54">
                  <c:v>98.28</c:v>
                </c:pt>
                <c:pt idx="55">
                  <c:v>99</c:v>
                </c:pt>
                <c:pt idx="56">
                  <c:v>98.28</c:v>
                </c:pt>
                <c:pt idx="57">
                  <c:v>99</c:v>
                </c:pt>
                <c:pt idx="58">
                  <c:v>98.28</c:v>
                </c:pt>
                <c:pt idx="59">
                  <c:v>98.28</c:v>
                </c:pt>
                <c:pt idx="60">
                  <c:v>98.28</c:v>
                </c:pt>
                <c:pt idx="61">
                  <c:v>99</c:v>
                </c:pt>
                <c:pt idx="62">
                  <c:v>99</c:v>
                </c:pt>
                <c:pt idx="63">
                  <c:v>98.64</c:v>
                </c:pt>
                <c:pt idx="64">
                  <c:v>98.28</c:v>
                </c:pt>
                <c:pt idx="65">
                  <c:v>99</c:v>
                </c:pt>
                <c:pt idx="66">
                  <c:v>99.72</c:v>
                </c:pt>
                <c:pt idx="67">
                  <c:v>99.360000000000014</c:v>
                </c:pt>
                <c:pt idx="68">
                  <c:v>99</c:v>
                </c:pt>
                <c:pt idx="69">
                  <c:v>98.64</c:v>
                </c:pt>
                <c:pt idx="70">
                  <c:v>98.28</c:v>
                </c:pt>
                <c:pt idx="71">
                  <c:v>97.92</c:v>
                </c:pt>
                <c:pt idx="72">
                  <c:v>97.56</c:v>
                </c:pt>
                <c:pt idx="73">
                  <c:v>97.2</c:v>
                </c:pt>
                <c:pt idx="74">
                  <c:v>96.48</c:v>
                </c:pt>
                <c:pt idx="75">
                  <c:v>96.12</c:v>
                </c:pt>
                <c:pt idx="76">
                  <c:v>95.76</c:v>
                </c:pt>
                <c:pt idx="77">
                  <c:v>95.4</c:v>
                </c:pt>
                <c:pt idx="78">
                  <c:v>95.039999999999992</c:v>
                </c:pt>
                <c:pt idx="79">
                  <c:v>94.68</c:v>
                </c:pt>
                <c:pt idx="80">
                  <c:v>94.32</c:v>
                </c:pt>
                <c:pt idx="81">
                  <c:v>93.960000000000008</c:v>
                </c:pt>
                <c:pt idx="82">
                  <c:v>93.24</c:v>
                </c:pt>
                <c:pt idx="83">
                  <c:v>92.160000000000011</c:v>
                </c:pt>
                <c:pt idx="84">
                  <c:v>91.08</c:v>
                </c:pt>
                <c:pt idx="85">
                  <c:v>90</c:v>
                </c:pt>
                <c:pt idx="86">
                  <c:v>90</c:v>
                </c:pt>
                <c:pt idx="87">
                  <c:v>90</c:v>
                </c:pt>
                <c:pt idx="88">
                  <c:v>90</c:v>
                </c:pt>
                <c:pt idx="89">
                  <c:v>90</c:v>
                </c:pt>
                <c:pt idx="90">
                  <c:v>90</c:v>
                </c:pt>
                <c:pt idx="91">
                  <c:v>90</c:v>
                </c:pt>
                <c:pt idx="92">
                  <c:v>90</c:v>
                </c:pt>
                <c:pt idx="93">
                  <c:v>90</c:v>
                </c:pt>
                <c:pt idx="94">
                  <c:v>90</c:v>
                </c:pt>
                <c:pt idx="95">
                  <c:v>90</c:v>
                </c:pt>
                <c:pt idx="96">
                  <c:v>90</c:v>
                </c:pt>
                <c:pt idx="97">
                  <c:v>90</c:v>
                </c:pt>
                <c:pt idx="98">
                  <c:v>90</c:v>
                </c:pt>
                <c:pt idx="99">
                  <c:v>90</c:v>
                </c:pt>
                <c:pt idx="100">
                  <c:v>90</c:v>
                </c:pt>
                <c:pt idx="101">
                  <c:v>90</c:v>
                </c:pt>
                <c:pt idx="102">
                  <c:v>90</c:v>
                </c:pt>
                <c:pt idx="103">
                  <c:v>90</c:v>
                </c:pt>
                <c:pt idx="104">
                  <c:v>90</c:v>
                </c:pt>
                <c:pt idx="105">
                  <c:v>90</c:v>
                </c:pt>
                <c:pt idx="106">
                  <c:v>90</c:v>
                </c:pt>
                <c:pt idx="107">
                  <c:v>90</c:v>
                </c:pt>
                <c:pt idx="108">
                  <c:v>90</c:v>
                </c:pt>
                <c:pt idx="109">
                  <c:v>90</c:v>
                </c:pt>
                <c:pt idx="110">
                  <c:v>90</c:v>
                </c:pt>
                <c:pt idx="111">
                  <c:v>90</c:v>
                </c:pt>
                <c:pt idx="112">
                  <c:v>90</c:v>
                </c:pt>
                <c:pt idx="113">
                  <c:v>90</c:v>
                </c:pt>
                <c:pt idx="114">
                  <c:v>90</c:v>
                </c:pt>
                <c:pt idx="115">
                  <c:v>90</c:v>
                </c:pt>
                <c:pt idx="116">
                  <c:v>90</c:v>
                </c:pt>
                <c:pt idx="117">
                  <c:v>90</c:v>
                </c:pt>
                <c:pt idx="118">
                  <c:v>90</c:v>
                </c:pt>
                <c:pt idx="119">
                  <c:v>90</c:v>
                </c:pt>
                <c:pt idx="120">
                  <c:v>90</c:v>
                </c:pt>
                <c:pt idx="121">
                  <c:v>90</c:v>
                </c:pt>
                <c:pt idx="122">
                  <c:v>90</c:v>
                </c:pt>
                <c:pt idx="123">
                  <c:v>90</c:v>
                </c:pt>
                <c:pt idx="124">
                  <c:v>90</c:v>
                </c:pt>
                <c:pt idx="125">
                  <c:v>90</c:v>
                </c:pt>
                <c:pt idx="126">
                  <c:v>90</c:v>
                </c:pt>
                <c:pt idx="127">
                  <c:v>90</c:v>
                </c:pt>
                <c:pt idx="128">
                  <c:v>90</c:v>
                </c:pt>
                <c:pt idx="129">
                  <c:v>90</c:v>
                </c:pt>
                <c:pt idx="130">
                  <c:v>90</c:v>
                </c:pt>
                <c:pt idx="131">
                  <c:v>90</c:v>
                </c:pt>
                <c:pt idx="132">
                  <c:v>90</c:v>
                </c:pt>
                <c:pt idx="133">
                  <c:v>90.72</c:v>
                </c:pt>
                <c:pt idx="134">
                  <c:v>91.8</c:v>
                </c:pt>
                <c:pt idx="135">
                  <c:v>92.52</c:v>
                </c:pt>
                <c:pt idx="136">
                  <c:v>93.24</c:v>
                </c:pt>
                <c:pt idx="137">
                  <c:v>92.88000000000001</c:v>
                </c:pt>
                <c:pt idx="138">
                  <c:v>92.52</c:v>
                </c:pt>
                <c:pt idx="139">
                  <c:v>92.160000000000011</c:v>
                </c:pt>
                <c:pt idx="140">
                  <c:v>91.8</c:v>
                </c:pt>
                <c:pt idx="141">
                  <c:v>91.08</c:v>
                </c:pt>
                <c:pt idx="142">
                  <c:v>90.72</c:v>
                </c:pt>
                <c:pt idx="143">
                  <c:v>90.360000000000014</c:v>
                </c:pt>
                <c:pt idx="144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FB-4D44-8C68-C3584441100A}"/>
            </c:ext>
          </c:extLst>
        </c:ser>
        <c:ser>
          <c:idx val="2"/>
          <c:order val="3"/>
          <c:tx>
            <c:strRef>
              <c:f>随机森林!$K$2</c:f>
              <c:strCache>
                <c:ptCount val="1"/>
                <c:pt idx="0">
                  <c:v>多弧路线规划车速</c:v>
                </c:pt>
              </c:strCache>
            </c:strRef>
          </c:tx>
          <c:spPr>
            <a:ln w="28575" cap="rnd">
              <a:solidFill>
                <a:srgbClr val="54AC75"/>
              </a:solidFill>
              <a:round/>
            </a:ln>
            <a:effectLst/>
          </c:spPr>
          <c:marker>
            <c:symbol val="none"/>
          </c:marker>
          <c:cat>
            <c:numRef>
              <c:f>随机森林!$A$3:$A$147</c:f>
              <c:numCache>
                <c:formatCode>General</c:formatCode>
                <c:ptCount val="14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  <c:pt idx="101">
                  <c:v>2525</c:v>
                </c:pt>
                <c:pt idx="102">
                  <c:v>2550</c:v>
                </c:pt>
                <c:pt idx="103">
                  <c:v>2575</c:v>
                </c:pt>
                <c:pt idx="104">
                  <c:v>2600</c:v>
                </c:pt>
                <c:pt idx="105">
                  <c:v>2625</c:v>
                </c:pt>
                <c:pt idx="106">
                  <c:v>2650</c:v>
                </c:pt>
                <c:pt idx="107">
                  <c:v>2675</c:v>
                </c:pt>
                <c:pt idx="108">
                  <c:v>2700</c:v>
                </c:pt>
                <c:pt idx="109">
                  <c:v>2725</c:v>
                </c:pt>
                <c:pt idx="110">
                  <c:v>2750</c:v>
                </c:pt>
                <c:pt idx="111">
                  <c:v>2775</c:v>
                </c:pt>
                <c:pt idx="112">
                  <c:v>2800</c:v>
                </c:pt>
                <c:pt idx="113">
                  <c:v>2825</c:v>
                </c:pt>
                <c:pt idx="114">
                  <c:v>2850</c:v>
                </c:pt>
                <c:pt idx="115">
                  <c:v>2875</c:v>
                </c:pt>
                <c:pt idx="116">
                  <c:v>2900</c:v>
                </c:pt>
                <c:pt idx="117">
                  <c:v>2925</c:v>
                </c:pt>
                <c:pt idx="118">
                  <c:v>2950</c:v>
                </c:pt>
                <c:pt idx="119">
                  <c:v>2975</c:v>
                </c:pt>
                <c:pt idx="120">
                  <c:v>3000</c:v>
                </c:pt>
                <c:pt idx="121">
                  <c:v>3025</c:v>
                </c:pt>
                <c:pt idx="122">
                  <c:v>3050</c:v>
                </c:pt>
                <c:pt idx="123">
                  <c:v>3075</c:v>
                </c:pt>
                <c:pt idx="124">
                  <c:v>3100</c:v>
                </c:pt>
                <c:pt idx="125">
                  <c:v>3125</c:v>
                </c:pt>
                <c:pt idx="126">
                  <c:v>3150</c:v>
                </c:pt>
                <c:pt idx="127">
                  <c:v>3175</c:v>
                </c:pt>
                <c:pt idx="128">
                  <c:v>3200</c:v>
                </c:pt>
                <c:pt idx="129">
                  <c:v>3225</c:v>
                </c:pt>
                <c:pt idx="130">
                  <c:v>3250</c:v>
                </c:pt>
                <c:pt idx="131">
                  <c:v>3275</c:v>
                </c:pt>
                <c:pt idx="132">
                  <c:v>3300</c:v>
                </c:pt>
                <c:pt idx="133">
                  <c:v>3325</c:v>
                </c:pt>
                <c:pt idx="134">
                  <c:v>3350</c:v>
                </c:pt>
                <c:pt idx="135">
                  <c:v>3375</c:v>
                </c:pt>
                <c:pt idx="136">
                  <c:v>3400</c:v>
                </c:pt>
                <c:pt idx="137">
                  <c:v>3425</c:v>
                </c:pt>
                <c:pt idx="138">
                  <c:v>3450</c:v>
                </c:pt>
                <c:pt idx="139">
                  <c:v>3475</c:v>
                </c:pt>
                <c:pt idx="140">
                  <c:v>3500</c:v>
                </c:pt>
                <c:pt idx="141">
                  <c:v>3525</c:v>
                </c:pt>
                <c:pt idx="142">
                  <c:v>3550</c:v>
                </c:pt>
                <c:pt idx="143">
                  <c:v>3575</c:v>
                </c:pt>
                <c:pt idx="144">
                  <c:v>3600</c:v>
                </c:pt>
              </c:numCache>
            </c:numRef>
          </c:cat>
          <c:val>
            <c:numRef>
              <c:f>随机森林!$K$3:$K$147</c:f>
              <c:numCache>
                <c:formatCode>General</c:formatCode>
                <c:ptCount val="145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91.08</c:v>
                </c:pt>
                <c:pt idx="8">
                  <c:v>90</c:v>
                </c:pt>
                <c:pt idx="9">
                  <c:v>91.08</c:v>
                </c:pt>
                <c:pt idx="10">
                  <c:v>92.160000000000011</c:v>
                </c:pt>
                <c:pt idx="11">
                  <c:v>91.44</c:v>
                </c:pt>
                <c:pt idx="12">
                  <c:v>90.72</c:v>
                </c:pt>
                <c:pt idx="13">
                  <c:v>91.8</c:v>
                </c:pt>
                <c:pt idx="14">
                  <c:v>91.8</c:v>
                </c:pt>
                <c:pt idx="15">
                  <c:v>91.08</c:v>
                </c:pt>
                <c:pt idx="16">
                  <c:v>90.360000000000014</c:v>
                </c:pt>
                <c:pt idx="17">
                  <c:v>90</c:v>
                </c:pt>
                <c:pt idx="18">
                  <c:v>90.360000000000014</c:v>
                </c:pt>
                <c:pt idx="19">
                  <c:v>90.360000000000014</c:v>
                </c:pt>
                <c:pt idx="20">
                  <c:v>90.72</c:v>
                </c:pt>
                <c:pt idx="21">
                  <c:v>90.360000000000014</c:v>
                </c:pt>
                <c:pt idx="22">
                  <c:v>90</c:v>
                </c:pt>
                <c:pt idx="23">
                  <c:v>90</c:v>
                </c:pt>
                <c:pt idx="24">
                  <c:v>90</c:v>
                </c:pt>
                <c:pt idx="25">
                  <c:v>90</c:v>
                </c:pt>
                <c:pt idx="26">
                  <c:v>90</c:v>
                </c:pt>
                <c:pt idx="27">
                  <c:v>90</c:v>
                </c:pt>
                <c:pt idx="28">
                  <c:v>90</c:v>
                </c:pt>
                <c:pt idx="29">
                  <c:v>90</c:v>
                </c:pt>
                <c:pt idx="30">
                  <c:v>90</c:v>
                </c:pt>
                <c:pt idx="31">
                  <c:v>90</c:v>
                </c:pt>
                <c:pt idx="32">
                  <c:v>90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  <c:pt idx="36">
                  <c:v>90</c:v>
                </c:pt>
                <c:pt idx="37">
                  <c:v>90.72</c:v>
                </c:pt>
                <c:pt idx="38">
                  <c:v>91.08</c:v>
                </c:pt>
                <c:pt idx="39">
                  <c:v>91.08</c:v>
                </c:pt>
                <c:pt idx="40">
                  <c:v>91.08</c:v>
                </c:pt>
                <c:pt idx="41">
                  <c:v>91.44</c:v>
                </c:pt>
                <c:pt idx="42">
                  <c:v>92.52</c:v>
                </c:pt>
                <c:pt idx="43">
                  <c:v>92.88000000000001</c:v>
                </c:pt>
                <c:pt idx="44">
                  <c:v>93.24</c:v>
                </c:pt>
                <c:pt idx="45">
                  <c:v>94.32</c:v>
                </c:pt>
                <c:pt idx="46">
                  <c:v>95.039999999999992</c:v>
                </c:pt>
                <c:pt idx="47">
                  <c:v>95.4</c:v>
                </c:pt>
                <c:pt idx="48">
                  <c:v>95.76</c:v>
                </c:pt>
                <c:pt idx="49">
                  <c:v>95.039999999999992</c:v>
                </c:pt>
                <c:pt idx="50">
                  <c:v>95.039999999999992</c:v>
                </c:pt>
                <c:pt idx="51">
                  <c:v>95.76</c:v>
                </c:pt>
                <c:pt idx="52">
                  <c:v>96.12</c:v>
                </c:pt>
                <c:pt idx="53">
                  <c:v>96.84</c:v>
                </c:pt>
                <c:pt idx="54">
                  <c:v>97.56</c:v>
                </c:pt>
                <c:pt idx="55">
                  <c:v>96.84</c:v>
                </c:pt>
                <c:pt idx="56">
                  <c:v>96.12</c:v>
                </c:pt>
                <c:pt idx="57">
                  <c:v>95.4</c:v>
                </c:pt>
                <c:pt idx="58">
                  <c:v>94.68</c:v>
                </c:pt>
                <c:pt idx="59">
                  <c:v>93.960000000000008</c:v>
                </c:pt>
                <c:pt idx="60">
                  <c:v>93.24</c:v>
                </c:pt>
                <c:pt idx="61">
                  <c:v>92.160000000000011</c:v>
                </c:pt>
                <c:pt idx="62">
                  <c:v>91.44</c:v>
                </c:pt>
                <c:pt idx="63">
                  <c:v>90.72</c:v>
                </c:pt>
                <c:pt idx="64">
                  <c:v>90</c:v>
                </c:pt>
                <c:pt idx="65">
                  <c:v>90</c:v>
                </c:pt>
                <c:pt idx="66">
                  <c:v>90.72</c:v>
                </c:pt>
                <c:pt idx="67">
                  <c:v>90</c:v>
                </c:pt>
                <c:pt idx="68">
                  <c:v>90.72</c:v>
                </c:pt>
                <c:pt idx="69">
                  <c:v>90.360000000000014</c:v>
                </c:pt>
                <c:pt idx="70">
                  <c:v>90</c:v>
                </c:pt>
                <c:pt idx="71">
                  <c:v>90</c:v>
                </c:pt>
                <c:pt idx="72">
                  <c:v>90</c:v>
                </c:pt>
                <c:pt idx="73">
                  <c:v>90.360000000000014</c:v>
                </c:pt>
                <c:pt idx="74">
                  <c:v>90.72</c:v>
                </c:pt>
                <c:pt idx="75">
                  <c:v>90.360000000000014</c:v>
                </c:pt>
                <c:pt idx="76">
                  <c:v>90</c:v>
                </c:pt>
                <c:pt idx="77">
                  <c:v>90</c:v>
                </c:pt>
                <c:pt idx="78">
                  <c:v>90</c:v>
                </c:pt>
                <c:pt idx="79">
                  <c:v>90</c:v>
                </c:pt>
                <c:pt idx="80">
                  <c:v>90</c:v>
                </c:pt>
                <c:pt idx="81">
                  <c:v>90</c:v>
                </c:pt>
                <c:pt idx="82">
                  <c:v>90</c:v>
                </c:pt>
                <c:pt idx="83">
                  <c:v>90</c:v>
                </c:pt>
                <c:pt idx="84">
                  <c:v>90</c:v>
                </c:pt>
                <c:pt idx="85">
                  <c:v>90</c:v>
                </c:pt>
                <c:pt idx="86">
                  <c:v>90</c:v>
                </c:pt>
                <c:pt idx="87">
                  <c:v>90</c:v>
                </c:pt>
                <c:pt idx="88">
                  <c:v>90</c:v>
                </c:pt>
                <c:pt idx="89">
                  <c:v>90</c:v>
                </c:pt>
                <c:pt idx="90">
                  <c:v>90</c:v>
                </c:pt>
                <c:pt idx="91">
                  <c:v>90</c:v>
                </c:pt>
                <c:pt idx="92">
                  <c:v>90</c:v>
                </c:pt>
                <c:pt idx="93">
                  <c:v>90.72</c:v>
                </c:pt>
                <c:pt idx="94">
                  <c:v>91.08</c:v>
                </c:pt>
                <c:pt idx="95">
                  <c:v>91.08</c:v>
                </c:pt>
                <c:pt idx="96">
                  <c:v>91.08</c:v>
                </c:pt>
                <c:pt idx="97">
                  <c:v>91.44</c:v>
                </c:pt>
                <c:pt idx="98">
                  <c:v>92.52</c:v>
                </c:pt>
                <c:pt idx="99">
                  <c:v>92.88000000000001</c:v>
                </c:pt>
                <c:pt idx="100">
                  <c:v>93.24</c:v>
                </c:pt>
                <c:pt idx="101">
                  <c:v>94.32</c:v>
                </c:pt>
                <c:pt idx="102">
                  <c:v>95.039999999999992</c:v>
                </c:pt>
                <c:pt idx="103">
                  <c:v>95.4</c:v>
                </c:pt>
                <c:pt idx="104">
                  <c:v>95.76</c:v>
                </c:pt>
                <c:pt idx="105">
                  <c:v>95.039999999999992</c:v>
                </c:pt>
                <c:pt idx="106">
                  <c:v>95.039999999999992</c:v>
                </c:pt>
                <c:pt idx="107">
                  <c:v>95.76</c:v>
                </c:pt>
                <c:pt idx="108">
                  <c:v>96.48</c:v>
                </c:pt>
                <c:pt idx="109">
                  <c:v>97.2</c:v>
                </c:pt>
                <c:pt idx="110">
                  <c:v>97.92</c:v>
                </c:pt>
                <c:pt idx="111">
                  <c:v>97.2</c:v>
                </c:pt>
                <c:pt idx="112">
                  <c:v>97.92</c:v>
                </c:pt>
                <c:pt idx="113">
                  <c:v>97.2</c:v>
                </c:pt>
                <c:pt idx="114">
                  <c:v>97.92</c:v>
                </c:pt>
                <c:pt idx="115">
                  <c:v>97.2</c:v>
                </c:pt>
                <c:pt idx="116">
                  <c:v>97.92</c:v>
                </c:pt>
                <c:pt idx="117">
                  <c:v>97.2</c:v>
                </c:pt>
                <c:pt idx="118">
                  <c:v>97.92</c:v>
                </c:pt>
                <c:pt idx="119">
                  <c:v>97.2</c:v>
                </c:pt>
                <c:pt idx="120">
                  <c:v>96.48</c:v>
                </c:pt>
                <c:pt idx="121">
                  <c:v>95.76</c:v>
                </c:pt>
                <c:pt idx="122">
                  <c:v>95.039999999999992</c:v>
                </c:pt>
                <c:pt idx="123">
                  <c:v>94.32</c:v>
                </c:pt>
                <c:pt idx="124">
                  <c:v>93.600000000000009</c:v>
                </c:pt>
                <c:pt idx="125">
                  <c:v>92.88000000000001</c:v>
                </c:pt>
                <c:pt idx="126">
                  <c:v>92.160000000000011</c:v>
                </c:pt>
                <c:pt idx="127">
                  <c:v>91.08</c:v>
                </c:pt>
                <c:pt idx="128">
                  <c:v>90</c:v>
                </c:pt>
                <c:pt idx="129">
                  <c:v>90</c:v>
                </c:pt>
                <c:pt idx="130">
                  <c:v>90</c:v>
                </c:pt>
                <c:pt idx="131">
                  <c:v>90.360000000000014</c:v>
                </c:pt>
                <c:pt idx="132">
                  <c:v>90</c:v>
                </c:pt>
                <c:pt idx="133">
                  <c:v>90</c:v>
                </c:pt>
                <c:pt idx="134">
                  <c:v>90</c:v>
                </c:pt>
                <c:pt idx="135">
                  <c:v>90</c:v>
                </c:pt>
                <c:pt idx="136">
                  <c:v>90</c:v>
                </c:pt>
                <c:pt idx="137">
                  <c:v>90</c:v>
                </c:pt>
                <c:pt idx="138">
                  <c:v>90</c:v>
                </c:pt>
                <c:pt idx="139">
                  <c:v>90</c:v>
                </c:pt>
                <c:pt idx="140">
                  <c:v>90</c:v>
                </c:pt>
                <c:pt idx="141">
                  <c:v>90</c:v>
                </c:pt>
                <c:pt idx="142">
                  <c:v>90</c:v>
                </c:pt>
                <c:pt idx="143">
                  <c:v>90</c:v>
                </c:pt>
                <c:pt idx="144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FB-4D44-8C68-C35844411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4778784"/>
        <c:axId val="254777120"/>
      </c:lineChart>
      <c:catAx>
        <c:axId val="254778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/>
                  <a:t>距离（</a:t>
                </a:r>
                <a:r>
                  <a:rPr lang="en-US" altLang="zh-CN"/>
                  <a:t>m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254777120"/>
        <c:crosses val="autoZero"/>
        <c:auto val="1"/>
        <c:lblAlgn val="ctr"/>
        <c:lblOffset val="100"/>
        <c:tickLblSkip val="16"/>
        <c:tickMarkSkip val="16"/>
        <c:noMultiLvlLbl val="0"/>
      </c:catAx>
      <c:valAx>
        <c:axId val="254777120"/>
        <c:scaling>
          <c:orientation val="minMax"/>
          <c:max val="105"/>
          <c:min val="7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/>
                  <a:t>车速（</a:t>
                </a:r>
                <a:r>
                  <a:rPr lang="en-US" altLang="zh-CN"/>
                  <a:t>km/h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25477878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4440883190883194"/>
          <c:y val="0.53248429434550204"/>
          <c:w val="0.33858618233618237"/>
          <c:h val="0.281829250510352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 baseline="0">
          <a:solidFill>
            <a:schemeClr val="tx1"/>
          </a:solidFill>
          <a:latin typeface="Times New Roman" panose="02020603050405020304" pitchFamily="18" charset="0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508547008547006E-2"/>
          <c:y val="5.0925925925925923E-2"/>
          <c:w val="0.86553383190883193"/>
          <c:h val="0.77536818314377365"/>
        </c:manualLayout>
      </c:layout>
      <c:lineChart>
        <c:grouping val="standard"/>
        <c:varyColors val="0"/>
        <c:ser>
          <c:idx val="0"/>
          <c:order val="0"/>
          <c:tx>
            <c:strRef>
              <c:f>随机森林!$I$2</c:f>
              <c:strCache>
                <c:ptCount val="1"/>
                <c:pt idx="0">
                  <c:v>实际路线规划车速</c:v>
                </c:pt>
              </c:strCache>
            </c:strRef>
          </c:tx>
          <c:spPr>
            <a:ln w="28575" cap="rnd">
              <a:solidFill>
                <a:srgbClr val="81B8DF"/>
              </a:solidFill>
              <a:round/>
            </a:ln>
            <a:effectLst/>
          </c:spPr>
          <c:marker>
            <c:symbol val="none"/>
          </c:marker>
          <c:cat>
            <c:numRef>
              <c:f>随机森林!$A$3:$A$147</c:f>
              <c:numCache>
                <c:formatCode>General</c:formatCode>
                <c:ptCount val="14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  <c:pt idx="101">
                  <c:v>2525</c:v>
                </c:pt>
                <c:pt idx="102">
                  <c:v>2550</c:v>
                </c:pt>
                <c:pt idx="103">
                  <c:v>2575</c:v>
                </c:pt>
                <c:pt idx="104">
                  <c:v>2600</c:v>
                </c:pt>
                <c:pt idx="105">
                  <c:v>2625</c:v>
                </c:pt>
                <c:pt idx="106">
                  <c:v>2650</c:v>
                </c:pt>
                <c:pt idx="107">
                  <c:v>2675</c:v>
                </c:pt>
                <c:pt idx="108">
                  <c:v>2700</c:v>
                </c:pt>
                <c:pt idx="109">
                  <c:v>2725</c:v>
                </c:pt>
                <c:pt idx="110">
                  <c:v>2750</c:v>
                </c:pt>
                <c:pt idx="111">
                  <c:v>2775</c:v>
                </c:pt>
                <c:pt idx="112">
                  <c:v>2800</c:v>
                </c:pt>
                <c:pt idx="113">
                  <c:v>2825</c:v>
                </c:pt>
                <c:pt idx="114">
                  <c:v>2850</c:v>
                </c:pt>
                <c:pt idx="115">
                  <c:v>2875</c:v>
                </c:pt>
                <c:pt idx="116">
                  <c:v>2900</c:v>
                </c:pt>
                <c:pt idx="117">
                  <c:v>2925</c:v>
                </c:pt>
                <c:pt idx="118">
                  <c:v>2950</c:v>
                </c:pt>
                <c:pt idx="119">
                  <c:v>2975</c:v>
                </c:pt>
                <c:pt idx="120">
                  <c:v>3000</c:v>
                </c:pt>
                <c:pt idx="121">
                  <c:v>3025</c:v>
                </c:pt>
                <c:pt idx="122">
                  <c:v>3050</c:v>
                </c:pt>
                <c:pt idx="123">
                  <c:v>3075</c:v>
                </c:pt>
                <c:pt idx="124">
                  <c:v>3100</c:v>
                </c:pt>
                <c:pt idx="125">
                  <c:v>3125</c:v>
                </c:pt>
                <c:pt idx="126">
                  <c:v>3150</c:v>
                </c:pt>
                <c:pt idx="127">
                  <c:v>3175</c:v>
                </c:pt>
                <c:pt idx="128">
                  <c:v>3200</c:v>
                </c:pt>
                <c:pt idx="129">
                  <c:v>3225</c:v>
                </c:pt>
                <c:pt idx="130">
                  <c:v>3250</c:v>
                </c:pt>
                <c:pt idx="131">
                  <c:v>3275</c:v>
                </c:pt>
                <c:pt idx="132">
                  <c:v>3300</c:v>
                </c:pt>
                <c:pt idx="133">
                  <c:v>3325</c:v>
                </c:pt>
                <c:pt idx="134">
                  <c:v>3350</c:v>
                </c:pt>
                <c:pt idx="135">
                  <c:v>3375</c:v>
                </c:pt>
                <c:pt idx="136">
                  <c:v>3400</c:v>
                </c:pt>
                <c:pt idx="137">
                  <c:v>3425</c:v>
                </c:pt>
                <c:pt idx="138">
                  <c:v>3450</c:v>
                </c:pt>
                <c:pt idx="139">
                  <c:v>3475</c:v>
                </c:pt>
                <c:pt idx="140">
                  <c:v>3500</c:v>
                </c:pt>
                <c:pt idx="141">
                  <c:v>3525</c:v>
                </c:pt>
                <c:pt idx="142">
                  <c:v>3550</c:v>
                </c:pt>
                <c:pt idx="143">
                  <c:v>3575</c:v>
                </c:pt>
                <c:pt idx="144">
                  <c:v>3600</c:v>
                </c:pt>
              </c:numCache>
            </c:numRef>
          </c:cat>
          <c:val>
            <c:numRef>
              <c:f>随机森林!$I$3:$I$147</c:f>
              <c:numCache>
                <c:formatCode>General</c:formatCode>
                <c:ptCount val="145"/>
                <c:pt idx="0">
                  <c:v>90</c:v>
                </c:pt>
                <c:pt idx="1">
                  <c:v>91.126800000000003</c:v>
                </c:pt>
                <c:pt idx="2">
                  <c:v>92.240279999999998</c:v>
                </c:pt>
                <c:pt idx="3">
                  <c:v>93.34008</c:v>
                </c:pt>
                <c:pt idx="4">
                  <c:v>94.42728000000001</c:v>
                </c:pt>
                <c:pt idx="5">
                  <c:v>95.039999999999992</c:v>
                </c:pt>
                <c:pt idx="6">
                  <c:v>95.4</c:v>
                </c:pt>
                <c:pt idx="7">
                  <c:v>94.68</c:v>
                </c:pt>
                <c:pt idx="8">
                  <c:v>94.68</c:v>
                </c:pt>
                <c:pt idx="9">
                  <c:v>95.039999999999992</c:v>
                </c:pt>
                <c:pt idx="10">
                  <c:v>95.4</c:v>
                </c:pt>
                <c:pt idx="11">
                  <c:v>95.76</c:v>
                </c:pt>
                <c:pt idx="12">
                  <c:v>96.12</c:v>
                </c:pt>
                <c:pt idx="13">
                  <c:v>96.48</c:v>
                </c:pt>
                <c:pt idx="14">
                  <c:v>96.84</c:v>
                </c:pt>
                <c:pt idx="15">
                  <c:v>97.2</c:v>
                </c:pt>
                <c:pt idx="16">
                  <c:v>97.56</c:v>
                </c:pt>
                <c:pt idx="17">
                  <c:v>97.92</c:v>
                </c:pt>
                <c:pt idx="18">
                  <c:v>97.2</c:v>
                </c:pt>
                <c:pt idx="19">
                  <c:v>97.56</c:v>
                </c:pt>
                <c:pt idx="20">
                  <c:v>97.92</c:v>
                </c:pt>
                <c:pt idx="21">
                  <c:v>97.2</c:v>
                </c:pt>
                <c:pt idx="22">
                  <c:v>97.56</c:v>
                </c:pt>
                <c:pt idx="23">
                  <c:v>97.92</c:v>
                </c:pt>
                <c:pt idx="24">
                  <c:v>98.28</c:v>
                </c:pt>
                <c:pt idx="25">
                  <c:v>97.92</c:v>
                </c:pt>
                <c:pt idx="26">
                  <c:v>97.56</c:v>
                </c:pt>
                <c:pt idx="27">
                  <c:v>97.92</c:v>
                </c:pt>
                <c:pt idx="28">
                  <c:v>98.64</c:v>
                </c:pt>
                <c:pt idx="29">
                  <c:v>99.360000000000014</c:v>
                </c:pt>
                <c:pt idx="30">
                  <c:v>100.00800000000001</c:v>
                </c:pt>
                <c:pt idx="31">
                  <c:v>99.360000000000014</c:v>
                </c:pt>
                <c:pt idx="32">
                  <c:v>98.64</c:v>
                </c:pt>
                <c:pt idx="33">
                  <c:v>97.92</c:v>
                </c:pt>
                <c:pt idx="34">
                  <c:v>97.2</c:v>
                </c:pt>
                <c:pt idx="35">
                  <c:v>97.56</c:v>
                </c:pt>
                <c:pt idx="36">
                  <c:v>97.92</c:v>
                </c:pt>
                <c:pt idx="37">
                  <c:v>98.28</c:v>
                </c:pt>
                <c:pt idx="38">
                  <c:v>98.64</c:v>
                </c:pt>
                <c:pt idx="39">
                  <c:v>97.92</c:v>
                </c:pt>
                <c:pt idx="40">
                  <c:v>97.2</c:v>
                </c:pt>
                <c:pt idx="41">
                  <c:v>96.48</c:v>
                </c:pt>
                <c:pt idx="42">
                  <c:v>95.76</c:v>
                </c:pt>
                <c:pt idx="43">
                  <c:v>95.039999999999992</c:v>
                </c:pt>
                <c:pt idx="44">
                  <c:v>94.32</c:v>
                </c:pt>
                <c:pt idx="45">
                  <c:v>93.600000000000009</c:v>
                </c:pt>
                <c:pt idx="46">
                  <c:v>92.88000000000001</c:v>
                </c:pt>
                <c:pt idx="47">
                  <c:v>92.160000000000011</c:v>
                </c:pt>
                <c:pt idx="48">
                  <c:v>91.44</c:v>
                </c:pt>
                <c:pt idx="49">
                  <c:v>90.72</c:v>
                </c:pt>
                <c:pt idx="50">
                  <c:v>90</c:v>
                </c:pt>
                <c:pt idx="51">
                  <c:v>90.72</c:v>
                </c:pt>
                <c:pt idx="52">
                  <c:v>90</c:v>
                </c:pt>
                <c:pt idx="53">
                  <c:v>90</c:v>
                </c:pt>
                <c:pt idx="54">
                  <c:v>90</c:v>
                </c:pt>
                <c:pt idx="55">
                  <c:v>90</c:v>
                </c:pt>
                <c:pt idx="56">
                  <c:v>90</c:v>
                </c:pt>
                <c:pt idx="57">
                  <c:v>90</c:v>
                </c:pt>
                <c:pt idx="58">
                  <c:v>90</c:v>
                </c:pt>
                <c:pt idx="59">
                  <c:v>90</c:v>
                </c:pt>
                <c:pt idx="60">
                  <c:v>91.08</c:v>
                </c:pt>
                <c:pt idx="61">
                  <c:v>91.44</c:v>
                </c:pt>
                <c:pt idx="62">
                  <c:v>91.08</c:v>
                </c:pt>
                <c:pt idx="63">
                  <c:v>91.08</c:v>
                </c:pt>
                <c:pt idx="64">
                  <c:v>91.08</c:v>
                </c:pt>
                <c:pt idx="65">
                  <c:v>91.08</c:v>
                </c:pt>
                <c:pt idx="66">
                  <c:v>91.08</c:v>
                </c:pt>
                <c:pt idx="67">
                  <c:v>91.08</c:v>
                </c:pt>
                <c:pt idx="68">
                  <c:v>91.08</c:v>
                </c:pt>
                <c:pt idx="69">
                  <c:v>91.08</c:v>
                </c:pt>
                <c:pt idx="70">
                  <c:v>91.08</c:v>
                </c:pt>
                <c:pt idx="71">
                  <c:v>91.08</c:v>
                </c:pt>
                <c:pt idx="72">
                  <c:v>91.08</c:v>
                </c:pt>
                <c:pt idx="73">
                  <c:v>91.08</c:v>
                </c:pt>
                <c:pt idx="74">
                  <c:v>91.08</c:v>
                </c:pt>
                <c:pt idx="75">
                  <c:v>91.08</c:v>
                </c:pt>
                <c:pt idx="76">
                  <c:v>91.08</c:v>
                </c:pt>
                <c:pt idx="77">
                  <c:v>91.08</c:v>
                </c:pt>
                <c:pt idx="78">
                  <c:v>91.08</c:v>
                </c:pt>
                <c:pt idx="79">
                  <c:v>91.44</c:v>
                </c:pt>
                <c:pt idx="80">
                  <c:v>91.08</c:v>
                </c:pt>
                <c:pt idx="81">
                  <c:v>90.360000000000014</c:v>
                </c:pt>
                <c:pt idx="82">
                  <c:v>90</c:v>
                </c:pt>
                <c:pt idx="83">
                  <c:v>90</c:v>
                </c:pt>
                <c:pt idx="84">
                  <c:v>90</c:v>
                </c:pt>
                <c:pt idx="85">
                  <c:v>90</c:v>
                </c:pt>
                <c:pt idx="86">
                  <c:v>90</c:v>
                </c:pt>
                <c:pt idx="87">
                  <c:v>90</c:v>
                </c:pt>
                <c:pt idx="88">
                  <c:v>90</c:v>
                </c:pt>
                <c:pt idx="89">
                  <c:v>90</c:v>
                </c:pt>
                <c:pt idx="90">
                  <c:v>90</c:v>
                </c:pt>
                <c:pt idx="91">
                  <c:v>90</c:v>
                </c:pt>
                <c:pt idx="92">
                  <c:v>90.72</c:v>
                </c:pt>
                <c:pt idx="93">
                  <c:v>90</c:v>
                </c:pt>
                <c:pt idx="94">
                  <c:v>90.72</c:v>
                </c:pt>
                <c:pt idx="95">
                  <c:v>90.72</c:v>
                </c:pt>
                <c:pt idx="96">
                  <c:v>90</c:v>
                </c:pt>
                <c:pt idx="97">
                  <c:v>90</c:v>
                </c:pt>
                <c:pt idx="98">
                  <c:v>90.72</c:v>
                </c:pt>
                <c:pt idx="99">
                  <c:v>90.72</c:v>
                </c:pt>
                <c:pt idx="100">
                  <c:v>90.72</c:v>
                </c:pt>
                <c:pt idx="101">
                  <c:v>91.8</c:v>
                </c:pt>
                <c:pt idx="102">
                  <c:v>92.88000000000001</c:v>
                </c:pt>
                <c:pt idx="103">
                  <c:v>92.88000000000001</c:v>
                </c:pt>
                <c:pt idx="104">
                  <c:v>92.160000000000011</c:v>
                </c:pt>
                <c:pt idx="105">
                  <c:v>91.44</c:v>
                </c:pt>
                <c:pt idx="106">
                  <c:v>90.72</c:v>
                </c:pt>
                <c:pt idx="107">
                  <c:v>91.8</c:v>
                </c:pt>
                <c:pt idx="108">
                  <c:v>92.88000000000001</c:v>
                </c:pt>
                <c:pt idx="109">
                  <c:v>92.160000000000011</c:v>
                </c:pt>
                <c:pt idx="110">
                  <c:v>91.44</c:v>
                </c:pt>
                <c:pt idx="111">
                  <c:v>90.72</c:v>
                </c:pt>
                <c:pt idx="112">
                  <c:v>90</c:v>
                </c:pt>
                <c:pt idx="113">
                  <c:v>91.08</c:v>
                </c:pt>
                <c:pt idx="114">
                  <c:v>92.160000000000011</c:v>
                </c:pt>
                <c:pt idx="115">
                  <c:v>91.08</c:v>
                </c:pt>
                <c:pt idx="116">
                  <c:v>90.360000000000014</c:v>
                </c:pt>
                <c:pt idx="117">
                  <c:v>90</c:v>
                </c:pt>
                <c:pt idx="118">
                  <c:v>90</c:v>
                </c:pt>
                <c:pt idx="119">
                  <c:v>90</c:v>
                </c:pt>
                <c:pt idx="120">
                  <c:v>90</c:v>
                </c:pt>
                <c:pt idx="121">
                  <c:v>90</c:v>
                </c:pt>
                <c:pt idx="122">
                  <c:v>91.08</c:v>
                </c:pt>
                <c:pt idx="123">
                  <c:v>91.08</c:v>
                </c:pt>
                <c:pt idx="124">
                  <c:v>91.08</c:v>
                </c:pt>
                <c:pt idx="125">
                  <c:v>91.08</c:v>
                </c:pt>
                <c:pt idx="126">
                  <c:v>91.08</c:v>
                </c:pt>
                <c:pt idx="127">
                  <c:v>91.08</c:v>
                </c:pt>
                <c:pt idx="128">
                  <c:v>91.08</c:v>
                </c:pt>
                <c:pt idx="129">
                  <c:v>91.08</c:v>
                </c:pt>
                <c:pt idx="130">
                  <c:v>91.08</c:v>
                </c:pt>
                <c:pt idx="131">
                  <c:v>91.08</c:v>
                </c:pt>
                <c:pt idx="132">
                  <c:v>91.08</c:v>
                </c:pt>
                <c:pt idx="133">
                  <c:v>91.08</c:v>
                </c:pt>
                <c:pt idx="134">
                  <c:v>91.08</c:v>
                </c:pt>
                <c:pt idx="135">
                  <c:v>91.08</c:v>
                </c:pt>
                <c:pt idx="136">
                  <c:v>91.08</c:v>
                </c:pt>
                <c:pt idx="137">
                  <c:v>91.08</c:v>
                </c:pt>
                <c:pt idx="138">
                  <c:v>91.08</c:v>
                </c:pt>
                <c:pt idx="139">
                  <c:v>90.72</c:v>
                </c:pt>
                <c:pt idx="140">
                  <c:v>90.72</c:v>
                </c:pt>
                <c:pt idx="141">
                  <c:v>90.360000000000014</c:v>
                </c:pt>
                <c:pt idx="142">
                  <c:v>90</c:v>
                </c:pt>
                <c:pt idx="143">
                  <c:v>90</c:v>
                </c:pt>
                <c:pt idx="144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64-4E89-98EE-4C00EAEA560B}"/>
            </c:ext>
          </c:extLst>
        </c:ser>
        <c:ser>
          <c:idx val="2"/>
          <c:order val="1"/>
          <c:tx>
            <c:strRef>
              <c:f>随机森林!$K$2</c:f>
              <c:strCache>
                <c:ptCount val="1"/>
                <c:pt idx="0">
                  <c:v>多弧路线规划车速</c:v>
                </c:pt>
              </c:strCache>
            </c:strRef>
          </c:tx>
          <c:spPr>
            <a:ln w="28575" cap="rnd">
              <a:solidFill>
                <a:srgbClr val="FE817D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随机森林!$A$3:$A$147</c:f>
              <c:numCache>
                <c:formatCode>General</c:formatCode>
                <c:ptCount val="14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  <c:pt idx="101">
                  <c:v>2525</c:v>
                </c:pt>
                <c:pt idx="102">
                  <c:v>2550</c:v>
                </c:pt>
                <c:pt idx="103">
                  <c:v>2575</c:v>
                </c:pt>
                <c:pt idx="104">
                  <c:v>2600</c:v>
                </c:pt>
                <c:pt idx="105">
                  <c:v>2625</c:v>
                </c:pt>
                <c:pt idx="106">
                  <c:v>2650</c:v>
                </c:pt>
                <c:pt idx="107">
                  <c:v>2675</c:v>
                </c:pt>
                <c:pt idx="108">
                  <c:v>2700</c:v>
                </c:pt>
                <c:pt idx="109">
                  <c:v>2725</c:v>
                </c:pt>
                <c:pt idx="110">
                  <c:v>2750</c:v>
                </c:pt>
                <c:pt idx="111">
                  <c:v>2775</c:v>
                </c:pt>
                <c:pt idx="112">
                  <c:v>2800</c:v>
                </c:pt>
                <c:pt idx="113">
                  <c:v>2825</c:v>
                </c:pt>
                <c:pt idx="114">
                  <c:v>2850</c:v>
                </c:pt>
                <c:pt idx="115">
                  <c:v>2875</c:v>
                </c:pt>
                <c:pt idx="116">
                  <c:v>2900</c:v>
                </c:pt>
                <c:pt idx="117">
                  <c:v>2925</c:v>
                </c:pt>
                <c:pt idx="118">
                  <c:v>2950</c:v>
                </c:pt>
                <c:pt idx="119">
                  <c:v>2975</c:v>
                </c:pt>
                <c:pt idx="120">
                  <c:v>3000</c:v>
                </c:pt>
                <c:pt idx="121">
                  <c:v>3025</c:v>
                </c:pt>
                <c:pt idx="122">
                  <c:v>3050</c:v>
                </c:pt>
                <c:pt idx="123">
                  <c:v>3075</c:v>
                </c:pt>
                <c:pt idx="124">
                  <c:v>3100</c:v>
                </c:pt>
                <c:pt idx="125">
                  <c:v>3125</c:v>
                </c:pt>
                <c:pt idx="126">
                  <c:v>3150</c:v>
                </c:pt>
                <c:pt idx="127">
                  <c:v>3175</c:v>
                </c:pt>
                <c:pt idx="128">
                  <c:v>3200</c:v>
                </c:pt>
                <c:pt idx="129">
                  <c:v>3225</c:v>
                </c:pt>
                <c:pt idx="130">
                  <c:v>3250</c:v>
                </c:pt>
                <c:pt idx="131">
                  <c:v>3275</c:v>
                </c:pt>
                <c:pt idx="132">
                  <c:v>3300</c:v>
                </c:pt>
                <c:pt idx="133">
                  <c:v>3325</c:v>
                </c:pt>
                <c:pt idx="134">
                  <c:v>3350</c:v>
                </c:pt>
                <c:pt idx="135">
                  <c:v>3375</c:v>
                </c:pt>
                <c:pt idx="136">
                  <c:v>3400</c:v>
                </c:pt>
                <c:pt idx="137">
                  <c:v>3425</c:v>
                </c:pt>
                <c:pt idx="138">
                  <c:v>3450</c:v>
                </c:pt>
                <c:pt idx="139">
                  <c:v>3475</c:v>
                </c:pt>
                <c:pt idx="140">
                  <c:v>3500</c:v>
                </c:pt>
                <c:pt idx="141">
                  <c:v>3525</c:v>
                </c:pt>
                <c:pt idx="142">
                  <c:v>3550</c:v>
                </c:pt>
                <c:pt idx="143">
                  <c:v>3575</c:v>
                </c:pt>
                <c:pt idx="144">
                  <c:v>3600</c:v>
                </c:pt>
              </c:numCache>
            </c:numRef>
          </c:cat>
          <c:val>
            <c:numRef>
              <c:f>随机森林!$K$3:$K$147</c:f>
              <c:numCache>
                <c:formatCode>General</c:formatCode>
                <c:ptCount val="145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91.08</c:v>
                </c:pt>
                <c:pt idx="8">
                  <c:v>90</c:v>
                </c:pt>
                <c:pt idx="9">
                  <c:v>91.08</c:v>
                </c:pt>
                <c:pt idx="10">
                  <c:v>92.160000000000011</c:v>
                </c:pt>
                <c:pt idx="11">
                  <c:v>91.44</c:v>
                </c:pt>
                <c:pt idx="12">
                  <c:v>90.72</c:v>
                </c:pt>
                <c:pt idx="13">
                  <c:v>91.8</c:v>
                </c:pt>
                <c:pt idx="14">
                  <c:v>91.8</c:v>
                </c:pt>
                <c:pt idx="15">
                  <c:v>91.08</c:v>
                </c:pt>
                <c:pt idx="16">
                  <c:v>90.360000000000014</c:v>
                </c:pt>
                <c:pt idx="17">
                  <c:v>90</c:v>
                </c:pt>
                <c:pt idx="18">
                  <c:v>90.360000000000014</c:v>
                </c:pt>
                <c:pt idx="19">
                  <c:v>90.360000000000014</c:v>
                </c:pt>
                <c:pt idx="20">
                  <c:v>90.72</c:v>
                </c:pt>
                <c:pt idx="21">
                  <c:v>90.360000000000014</c:v>
                </c:pt>
                <c:pt idx="22">
                  <c:v>90</c:v>
                </c:pt>
                <c:pt idx="23">
                  <c:v>90</c:v>
                </c:pt>
                <c:pt idx="24">
                  <c:v>90</c:v>
                </c:pt>
                <c:pt idx="25">
                  <c:v>90</c:v>
                </c:pt>
                <c:pt idx="26">
                  <c:v>90</c:v>
                </c:pt>
                <c:pt idx="27">
                  <c:v>90</c:v>
                </c:pt>
                <c:pt idx="28">
                  <c:v>90</c:v>
                </c:pt>
                <c:pt idx="29">
                  <c:v>90</c:v>
                </c:pt>
                <c:pt idx="30">
                  <c:v>90</c:v>
                </c:pt>
                <c:pt idx="31">
                  <c:v>90</c:v>
                </c:pt>
                <c:pt idx="32">
                  <c:v>90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  <c:pt idx="36">
                  <c:v>90</c:v>
                </c:pt>
                <c:pt idx="37">
                  <c:v>90.72</c:v>
                </c:pt>
                <c:pt idx="38">
                  <c:v>91.08</c:v>
                </c:pt>
                <c:pt idx="39">
                  <c:v>91.08</c:v>
                </c:pt>
                <c:pt idx="40">
                  <c:v>91.08</c:v>
                </c:pt>
                <c:pt idx="41">
                  <c:v>91.44</c:v>
                </c:pt>
                <c:pt idx="42">
                  <c:v>92.52</c:v>
                </c:pt>
                <c:pt idx="43">
                  <c:v>92.88000000000001</c:v>
                </c:pt>
                <c:pt idx="44">
                  <c:v>93.24</c:v>
                </c:pt>
                <c:pt idx="45">
                  <c:v>94.32</c:v>
                </c:pt>
                <c:pt idx="46">
                  <c:v>95.039999999999992</c:v>
                </c:pt>
                <c:pt idx="47">
                  <c:v>95.4</c:v>
                </c:pt>
                <c:pt idx="48">
                  <c:v>95.76</c:v>
                </c:pt>
                <c:pt idx="49">
                  <c:v>95.039999999999992</c:v>
                </c:pt>
                <c:pt idx="50">
                  <c:v>95.039999999999992</c:v>
                </c:pt>
                <c:pt idx="51">
                  <c:v>95.76</c:v>
                </c:pt>
                <c:pt idx="52">
                  <c:v>96.12</c:v>
                </c:pt>
                <c:pt idx="53">
                  <c:v>96.84</c:v>
                </c:pt>
                <c:pt idx="54">
                  <c:v>97.56</c:v>
                </c:pt>
                <c:pt idx="55">
                  <c:v>96.84</c:v>
                </c:pt>
                <c:pt idx="56">
                  <c:v>96.12</c:v>
                </c:pt>
                <c:pt idx="57">
                  <c:v>95.4</c:v>
                </c:pt>
                <c:pt idx="58">
                  <c:v>94.68</c:v>
                </c:pt>
                <c:pt idx="59">
                  <c:v>93.960000000000008</c:v>
                </c:pt>
                <c:pt idx="60">
                  <c:v>93.24</c:v>
                </c:pt>
                <c:pt idx="61">
                  <c:v>92.160000000000011</c:v>
                </c:pt>
                <c:pt idx="62">
                  <c:v>91.44</c:v>
                </c:pt>
                <c:pt idx="63">
                  <c:v>90.72</c:v>
                </c:pt>
                <c:pt idx="64">
                  <c:v>90</c:v>
                </c:pt>
                <c:pt idx="65">
                  <c:v>90</c:v>
                </c:pt>
                <c:pt idx="66">
                  <c:v>90.72</c:v>
                </c:pt>
                <c:pt idx="67">
                  <c:v>90</c:v>
                </c:pt>
                <c:pt idx="68">
                  <c:v>90.72</c:v>
                </c:pt>
                <c:pt idx="69">
                  <c:v>90.360000000000014</c:v>
                </c:pt>
                <c:pt idx="70">
                  <c:v>90</c:v>
                </c:pt>
                <c:pt idx="71">
                  <c:v>90</c:v>
                </c:pt>
                <c:pt idx="72">
                  <c:v>90</c:v>
                </c:pt>
                <c:pt idx="73">
                  <c:v>90.360000000000014</c:v>
                </c:pt>
                <c:pt idx="74">
                  <c:v>90.72</c:v>
                </c:pt>
                <c:pt idx="75">
                  <c:v>90.360000000000014</c:v>
                </c:pt>
                <c:pt idx="76">
                  <c:v>90</c:v>
                </c:pt>
                <c:pt idx="77">
                  <c:v>90</c:v>
                </c:pt>
                <c:pt idx="78">
                  <c:v>90</c:v>
                </c:pt>
                <c:pt idx="79">
                  <c:v>90</c:v>
                </c:pt>
                <c:pt idx="80">
                  <c:v>90</c:v>
                </c:pt>
                <c:pt idx="81">
                  <c:v>90</c:v>
                </c:pt>
                <c:pt idx="82">
                  <c:v>90</c:v>
                </c:pt>
                <c:pt idx="83">
                  <c:v>90</c:v>
                </c:pt>
                <c:pt idx="84">
                  <c:v>90</c:v>
                </c:pt>
                <c:pt idx="85">
                  <c:v>90</c:v>
                </c:pt>
                <c:pt idx="86">
                  <c:v>90</c:v>
                </c:pt>
                <c:pt idx="87">
                  <c:v>90</c:v>
                </c:pt>
                <c:pt idx="88">
                  <c:v>90</c:v>
                </c:pt>
                <c:pt idx="89">
                  <c:v>90</c:v>
                </c:pt>
                <c:pt idx="90">
                  <c:v>90</c:v>
                </c:pt>
                <c:pt idx="91">
                  <c:v>90</c:v>
                </c:pt>
                <c:pt idx="92">
                  <c:v>90</c:v>
                </c:pt>
                <c:pt idx="93">
                  <c:v>90.72</c:v>
                </c:pt>
                <c:pt idx="94">
                  <c:v>91.08</c:v>
                </c:pt>
                <c:pt idx="95">
                  <c:v>91.08</c:v>
                </c:pt>
                <c:pt idx="96">
                  <c:v>91.08</c:v>
                </c:pt>
                <c:pt idx="97">
                  <c:v>91.44</c:v>
                </c:pt>
                <c:pt idx="98">
                  <c:v>92.52</c:v>
                </c:pt>
                <c:pt idx="99">
                  <c:v>92.88000000000001</c:v>
                </c:pt>
                <c:pt idx="100">
                  <c:v>93.24</c:v>
                </c:pt>
                <c:pt idx="101">
                  <c:v>94.32</c:v>
                </c:pt>
                <c:pt idx="102">
                  <c:v>95.039999999999992</c:v>
                </c:pt>
                <c:pt idx="103">
                  <c:v>95.4</c:v>
                </c:pt>
                <c:pt idx="104">
                  <c:v>95.76</c:v>
                </c:pt>
                <c:pt idx="105">
                  <c:v>95.039999999999992</c:v>
                </c:pt>
                <c:pt idx="106">
                  <c:v>95.039999999999992</c:v>
                </c:pt>
                <c:pt idx="107">
                  <c:v>95.76</c:v>
                </c:pt>
                <c:pt idx="108">
                  <c:v>96.48</c:v>
                </c:pt>
                <c:pt idx="109">
                  <c:v>97.2</c:v>
                </c:pt>
                <c:pt idx="110">
                  <c:v>97.92</c:v>
                </c:pt>
                <c:pt idx="111">
                  <c:v>97.2</c:v>
                </c:pt>
                <c:pt idx="112">
                  <c:v>97.92</c:v>
                </c:pt>
                <c:pt idx="113">
                  <c:v>97.2</c:v>
                </c:pt>
                <c:pt idx="114">
                  <c:v>97.92</c:v>
                </c:pt>
                <c:pt idx="115">
                  <c:v>97.2</c:v>
                </c:pt>
                <c:pt idx="116">
                  <c:v>97.92</c:v>
                </c:pt>
                <c:pt idx="117">
                  <c:v>97.2</c:v>
                </c:pt>
                <c:pt idx="118">
                  <c:v>97.92</c:v>
                </c:pt>
                <c:pt idx="119">
                  <c:v>97.2</c:v>
                </c:pt>
                <c:pt idx="120">
                  <c:v>96.48</c:v>
                </c:pt>
                <c:pt idx="121">
                  <c:v>95.76</c:v>
                </c:pt>
                <c:pt idx="122">
                  <c:v>95.039999999999992</c:v>
                </c:pt>
                <c:pt idx="123">
                  <c:v>94.32</c:v>
                </c:pt>
                <c:pt idx="124">
                  <c:v>93.600000000000009</c:v>
                </c:pt>
                <c:pt idx="125">
                  <c:v>92.88000000000001</c:v>
                </c:pt>
                <c:pt idx="126">
                  <c:v>92.160000000000011</c:v>
                </c:pt>
                <c:pt idx="127">
                  <c:v>91.08</c:v>
                </c:pt>
                <c:pt idx="128">
                  <c:v>90</c:v>
                </c:pt>
                <c:pt idx="129">
                  <c:v>90</c:v>
                </c:pt>
                <c:pt idx="130">
                  <c:v>90</c:v>
                </c:pt>
                <c:pt idx="131">
                  <c:v>90.360000000000014</c:v>
                </c:pt>
                <c:pt idx="132">
                  <c:v>90</c:v>
                </c:pt>
                <c:pt idx="133">
                  <c:v>90</c:v>
                </c:pt>
                <c:pt idx="134">
                  <c:v>90</c:v>
                </c:pt>
                <c:pt idx="135">
                  <c:v>90</c:v>
                </c:pt>
                <c:pt idx="136">
                  <c:v>90</c:v>
                </c:pt>
                <c:pt idx="137">
                  <c:v>90</c:v>
                </c:pt>
                <c:pt idx="138">
                  <c:v>90</c:v>
                </c:pt>
                <c:pt idx="139">
                  <c:v>90</c:v>
                </c:pt>
                <c:pt idx="140">
                  <c:v>90</c:v>
                </c:pt>
                <c:pt idx="141">
                  <c:v>90</c:v>
                </c:pt>
                <c:pt idx="142">
                  <c:v>90</c:v>
                </c:pt>
                <c:pt idx="143">
                  <c:v>90</c:v>
                </c:pt>
                <c:pt idx="144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64-4E89-98EE-4C00EAEA5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4778784"/>
        <c:axId val="254777120"/>
      </c:lineChart>
      <c:catAx>
        <c:axId val="254778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/>
                  <a:t>距离（</a:t>
                </a:r>
                <a:r>
                  <a:rPr lang="en-US"/>
                  <a:t>m</a:t>
                </a:r>
                <a:r>
                  <a:rPr lang="zh-CN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254777120"/>
        <c:crosses val="autoZero"/>
        <c:auto val="1"/>
        <c:lblAlgn val="ctr"/>
        <c:lblOffset val="100"/>
        <c:tickLblSkip val="16"/>
        <c:tickMarkSkip val="16"/>
        <c:noMultiLvlLbl val="0"/>
      </c:catAx>
      <c:valAx>
        <c:axId val="254777120"/>
        <c:scaling>
          <c:orientation val="minMax"/>
          <c:max val="105"/>
          <c:min val="7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/>
                  <a:t>车速（</a:t>
                </a:r>
                <a:r>
                  <a:rPr lang="en-US"/>
                  <a:t>km/h</a:t>
                </a:r>
                <a:r>
                  <a:rPr lang="zh-CN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25477878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3486467236467237"/>
          <c:y val="0.53248429434550204"/>
          <c:w val="0.36513532763532763"/>
          <c:h val="0.18352903918303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 b="0" baseline="0">
          <a:solidFill>
            <a:schemeClr val="tx1"/>
          </a:solidFill>
          <a:latin typeface="Times New Roman" panose="02020603050405020304" pitchFamily="18" charset="0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508547008547006E-2"/>
          <c:y val="5.0925925925925923E-2"/>
          <c:w val="0.86553383190883193"/>
          <c:h val="0.77536818314377365"/>
        </c:manualLayout>
      </c:layout>
      <c:lineChart>
        <c:grouping val="standard"/>
        <c:varyColors val="0"/>
        <c:ser>
          <c:idx val="3"/>
          <c:order val="0"/>
          <c:tx>
            <c:strRef>
              <c:f>回归!$M$2</c:f>
              <c:strCache>
                <c:ptCount val="1"/>
                <c:pt idx="0">
                  <c:v>实车实验车速</c:v>
                </c:pt>
              </c:strCache>
            </c:strRef>
          </c:tx>
          <c:spPr>
            <a:ln w="28575" cap="rnd">
              <a:solidFill>
                <a:srgbClr val="F7903D"/>
              </a:solidFill>
              <a:round/>
            </a:ln>
            <a:effectLst/>
          </c:spPr>
          <c:marker>
            <c:symbol val="none"/>
          </c:marker>
          <c:cat>
            <c:numRef>
              <c:f>随机森林!$A$3:$A$147</c:f>
              <c:numCache>
                <c:formatCode>General</c:formatCode>
                <c:ptCount val="14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  <c:pt idx="101">
                  <c:v>2525</c:v>
                </c:pt>
                <c:pt idx="102">
                  <c:v>2550</c:v>
                </c:pt>
                <c:pt idx="103">
                  <c:v>2575</c:v>
                </c:pt>
                <c:pt idx="104">
                  <c:v>2600</c:v>
                </c:pt>
                <c:pt idx="105">
                  <c:v>2625</c:v>
                </c:pt>
                <c:pt idx="106">
                  <c:v>2650</c:v>
                </c:pt>
                <c:pt idx="107">
                  <c:v>2675</c:v>
                </c:pt>
                <c:pt idx="108">
                  <c:v>2700</c:v>
                </c:pt>
                <c:pt idx="109">
                  <c:v>2725</c:v>
                </c:pt>
                <c:pt idx="110">
                  <c:v>2750</c:v>
                </c:pt>
                <c:pt idx="111">
                  <c:v>2775</c:v>
                </c:pt>
                <c:pt idx="112">
                  <c:v>2800</c:v>
                </c:pt>
                <c:pt idx="113">
                  <c:v>2825</c:v>
                </c:pt>
                <c:pt idx="114">
                  <c:v>2850</c:v>
                </c:pt>
                <c:pt idx="115">
                  <c:v>2875</c:v>
                </c:pt>
                <c:pt idx="116">
                  <c:v>2900</c:v>
                </c:pt>
                <c:pt idx="117">
                  <c:v>2925</c:v>
                </c:pt>
                <c:pt idx="118">
                  <c:v>2950</c:v>
                </c:pt>
                <c:pt idx="119">
                  <c:v>2975</c:v>
                </c:pt>
                <c:pt idx="120">
                  <c:v>3000</c:v>
                </c:pt>
                <c:pt idx="121">
                  <c:v>3025</c:v>
                </c:pt>
                <c:pt idx="122">
                  <c:v>3050</c:v>
                </c:pt>
                <c:pt idx="123">
                  <c:v>3075</c:v>
                </c:pt>
                <c:pt idx="124">
                  <c:v>3100</c:v>
                </c:pt>
                <c:pt idx="125">
                  <c:v>3125</c:v>
                </c:pt>
                <c:pt idx="126">
                  <c:v>3150</c:v>
                </c:pt>
                <c:pt idx="127">
                  <c:v>3175</c:v>
                </c:pt>
                <c:pt idx="128">
                  <c:v>3200</c:v>
                </c:pt>
                <c:pt idx="129">
                  <c:v>3225</c:v>
                </c:pt>
                <c:pt idx="130">
                  <c:v>3250</c:v>
                </c:pt>
                <c:pt idx="131">
                  <c:v>3275</c:v>
                </c:pt>
                <c:pt idx="132">
                  <c:v>3300</c:v>
                </c:pt>
                <c:pt idx="133">
                  <c:v>3325</c:v>
                </c:pt>
                <c:pt idx="134">
                  <c:v>3350</c:v>
                </c:pt>
                <c:pt idx="135">
                  <c:v>3375</c:v>
                </c:pt>
                <c:pt idx="136">
                  <c:v>3400</c:v>
                </c:pt>
                <c:pt idx="137">
                  <c:v>3425</c:v>
                </c:pt>
                <c:pt idx="138">
                  <c:v>3450</c:v>
                </c:pt>
                <c:pt idx="139">
                  <c:v>3475</c:v>
                </c:pt>
                <c:pt idx="140">
                  <c:v>3500</c:v>
                </c:pt>
                <c:pt idx="141">
                  <c:v>3525</c:v>
                </c:pt>
                <c:pt idx="142">
                  <c:v>3550</c:v>
                </c:pt>
                <c:pt idx="143">
                  <c:v>3575</c:v>
                </c:pt>
                <c:pt idx="144">
                  <c:v>3600</c:v>
                </c:pt>
              </c:numCache>
            </c:numRef>
          </c:cat>
          <c:val>
            <c:numRef>
              <c:f>回归!$M$3:$M$147</c:f>
              <c:numCache>
                <c:formatCode>General</c:formatCode>
                <c:ptCount val="145"/>
                <c:pt idx="0">
                  <c:v>93.585599999999999</c:v>
                </c:pt>
                <c:pt idx="1">
                  <c:v>94.492440000000002</c:v>
                </c:pt>
                <c:pt idx="2">
                  <c:v>95.792760000000001</c:v>
                </c:pt>
                <c:pt idx="3">
                  <c:v>97.124039999999994</c:v>
                </c:pt>
                <c:pt idx="4">
                  <c:v>98.376840000000001</c:v>
                </c:pt>
                <c:pt idx="5">
                  <c:v>98.408519999999996</c:v>
                </c:pt>
                <c:pt idx="6">
                  <c:v>97.424999999999997</c:v>
                </c:pt>
                <c:pt idx="7">
                  <c:v>95.839200000000005</c:v>
                </c:pt>
                <c:pt idx="8">
                  <c:v>94.698000000000008</c:v>
                </c:pt>
                <c:pt idx="9">
                  <c:v>94.015440000000012</c:v>
                </c:pt>
                <c:pt idx="10">
                  <c:v>94.652640000000005</c:v>
                </c:pt>
                <c:pt idx="11">
                  <c:v>95.164200000000008</c:v>
                </c:pt>
                <c:pt idx="12">
                  <c:v>93.982320000000001</c:v>
                </c:pt>
                <c:pt idx="13">
                  <c:v>92.664360000000002</c:v>
                </c:pt>
                <c:pt idx="14">
                  <c:v>92.069280000000006</c:v>
                </c:pt>
                <c:pt idx="15">
                  <c:v>91.510199999999998</c:v>
                </c:pt>
                <c:pt idx="16">
                  <c:v>90.521640000000005</c:v>
                </c:pt>
                <c:pt idx="17">
                  <c:v>90.09684</c:v>
                </c:pt>
                <c:pt idx="18">
                  <c:v>88.846560000000011</c:v>
                </c:pt>
                <c:pt idx="19">
                  <c:v>86.802120000000002</c:v>
                </c:pt>
                <c:pt idx="20">
                  <c:v>85.832640000000012</c:v>
                </c:pt>
                <c:pt idx="21">
                  <c:v>85.124880000000005</c:v>
                </c:pt>
                <c:pt idx="22">
                  <c:v>84.271320000000003</c:v>
                </c:pt>
                <c:pt idx="23">
                  <c:v>83.862000000000009</c:v>
                </c:pt>
                <c:pt idx="24">
                  <c:v>85.346640000000008</c:v>
                </c:pt>
                <c:pt idx="25">
                  <c:v>87.201000000000008</c:v>
                </c:pt>
                <c:pt idx="26">
                  <c:v>89.120519999999999</c:v>
                </c:pt>
                <c:pt idx="27">
                  <c:v>91.323719999999994</c:v>
                </c:pt>
                <c:pt idx="28">
                  <c:v>93.164400000000001</c:v>
                </c:pt>
                <c:pt idx="29">
                  <c:v>92.297880000000006</c:v>
                </c:pt>
                <c:pt idx="30">
                  <c:v>91.445039999999992</c:v>
                </c:pt>
                <c:pt idx="31">
                  <c:v>91.839600000000004</c:v>
                </c:pt>
                <c:pt idx="32">
                  <c:v>92.162520000000001</c:v>
                </c:pt>
                <c:pt idx="33">
                  <c:v>90.293760000000006</c:v>
                </c:pt>
                <c:pt idx="34">
                  <c:v>88.765200000000007</c:v>
                </c:pt>
                <c:pt idx="35">
                  <c:v>87.61572000000001</c:v>
                </c:pt>
                <c:pt idx="36">
                  <c:v>85.932000000000002</c:v>
                </c:pt>
                <c:pt idx="37">
                  <c:v>83.97072</c:v>
                </c:pt>
                <c:pt idx="38">
                  <c:v>82.161720000000003</c:v>
                </c:pt>
                <c:pt idx="39">
                  <c:v>80.02152000000001</c:v>
                </c:pt>
                <c:pt idx="40">
                  <c:v>78.461640000000003</c:v>
                </c:pt>
                <c:pt idx="41">
                  <c:v>77.52564000000001</c:v>
                </c:pt>
                <c:pt idx="42">
                  <c:v>76.909680000000009</c:v>
                </c:pt>
                <c:pt idx="43">
                  <c:v>78.005160000000004</c:v>
                </c:pt>
                <c:pt idx="44">
                  <c:v>78.950880000000012</c:v>
                </c:pt>
                <c:pt idx="45">
                  <c:v>80.712720000000004</c:v>
                </c:pt>
                <c:pt idx="46">
                  <c:v>82.89864</c:v>
                </c:pt>
                <c:pt idx="47">
                  <c:v>82.372320000000002</c:v>
                </c:pt>
                <c:pt idx="48">
                  <c:v>81.429479999999998</c:v>
                </c:pt>
                <c:pt idx="49">
                  <c:v>82.306080000000009</c:v>
                </c:pt>
                <c:pt idx="50">
                  <c:v>81.699119999999994</c:v>
                </c:pt>
                <c:pt idx="51">
                  <c:v>83.170079999999999</c:v>
                </c:pt>
                <c:pt idx="52">
                  <c:v>85.493160000000003</c:v>
                </c:pt>
                <c:pt idx="53">
                  <c:v>86.487120000000004</c:v>
                </c:pt>
                <c:pt idx="54">
                  <c:v>86.265360000000001</c:v>
                </c:pt>
                <c:pt idx="55">
                  <c:v>85.879800000000003</c:v>
                </c:pt>
                <c:pt idx="56">
                  <c:v>86.865120000000005</c:v>
                </c:pt>
                <c:pt idx="57">
                  <c:v>88.360559999999992</c:v>
                </c:pt>
                <c:pt idx="58">
                  <c:v>90.13427999999999</c:v>
                </c:pt>
                <c:pt idx="59">
                  <c:v>90.150120000000001</c:v>
                </c:pt>
                <c:pt idx="60">
                  <c:v>89.317080000000004</c:v>
                </c:pt>
                <c:pt idx="61">
                  <c:v>88.2774</c:v>
                </c:pt>
                <c:pt idx="62">
                  <c:v>87.464880000000008</c:v>
                </c:pt>
                <c:pt idx="63">
                  <c:v>87.81156</c:v>
                </c:pt>
                <c:pt idx="64">
                  <c:v>88.975439999999992</c:v>
                </c:pt>
                <c:pt idx="65">
                  <c:v>90.063720000000004</c:v>
                </c:pt>
                <c:pt idx="66">
                  <c:v>90.772919999999999</c:v>
                </c:pt>
                <c:pt idx="67">
                  <c:v>90.186840000000004</c:v>
                </c:pt>
                <c:pt idx="68">
                  <c:v>90.318240000000003</c:v>
                </c:pt>
                <c:pt idx="69">
                  <c:v>91.584000000000003</c:v>
                </c:pt>
                <c:pt idx="70">
                  <c:v>91.846800000000002</c:v>
                </c:pt>
                <c:pt idx="71">
                  <c:v>90.948599999999999</c:v>
                </c:pt>
                <c:pt idx="72">
                  <c:v>90.172079999999994</c:v>
                </c:pt>
                <c:pt idx="73">
                  <c:v>90.179280000000006</c:v>
                </c:pt>
                <c:pt idx="74">
                  <c:v>89.649720000000002</c:v>
                </c:pt>
                <c:pt idx="75">
                  <c:v>88.797960000000003</c:v>
                </c:pt>
                <c:pt idx="76">
                  <c:v>87.982559999999992</c:v>
                </c:pt>
                <c:pt idx="77">
                  <c:v>87.897240000000011</c:v>
                </c:pt>
                <c:pt idx="78">
                  <c:v>87.31331999999999</c:v>
                </c:pt>
                <c:pt idx="79">
                  <c:v>86.649840000000012</c:v>
                </c:pt>
                <c:pt idx="80">
                  <c:v>87.663600000000002</c:v>
                </c:pt>
                <c:pt idx="81">
                  <c:v>88.467120000000008</c:v>
                </c:pt>
                <c:pt idx="82">
                  <c:v>89.435879999999997</c:v>
                </c:pt>
                <c:pt idx="83">
                  <c:v>89.547840000000008</c:v>
                </c:pt>
                <c:pt idx="84">
                  <c:v>89.863200000000006</c:v>
                </c:pt>
                <c:pt idx="85">
                  <c:v>90.059400000000011</c:v>
                </c:pt>
                <c:pt idx="86">
                  <c:v>89.97120000000001</c:v>
                </c:pt>
                <c:pt idx="87">
                  <c:v>90.16704</c:v>
                </c:pt>
                <c:pt idx="88">
                  <c:v>91.506600000000006</c:v>
                </c:pt>
                <c:pt idx="89">
                  <c:v>92.129400000000004</c:v>
                </c:pt>
                <c:pt idx="90">
                  <c:v>91.11348000000001</c:v>
                </c:pt>
                <c:pt idx="91">
                  <c:v>89.69256</c:v>
                </c:pt>
                <c:pt idx="92">
                  <c:v>88.280640000000005</c:v>
                </c:pt>
                <c:pt idx="93">
                  <c:v>87.582599999999999</c:v>
                </c:pt>
                <c:pt idx="94">
                  <c:v>88.849440000000001</c:v>
                </c:pt>
                <c:pt idx="95">
                  <c:v>90.838080000000005</c:v>
                </c:pt>
                <c:pt idx="96">
                  <c:v>92.435400000000001</c:v>
                </c:pt>
                <c:pt idx="97">
                  <c:v>94.152240000000006</c:v>
                </c:pt>
                <c:pt idx="98">
                  <c:v>94.00500000000001</c:v>
                </c:pt>
                <c:pt idx="99">
                  <c:v>94.681080000000009</c:v>
                </c:pt>
                <c:pt idx="100">
                  <c:v>95.583240000000004</c:v>
                </c:pt>
                <c:pt idx="101">
                  <c:v>95.801400000000001</c:v>
                </c:pt>
                <c:pt idx="102">
                  <c:v>95.424840000000003</c:v>
                </c:pt>
                <c:pt idx="103">
                  <c:v>95.565600000000003</c:v>
                </c:pt>
                <c:pt idx="104">
                  <c:v>95.896800000000013</c:v>
                </c:pt>
                <c:pt idx="105">
                  <c:v>95.118120000000005</c:v>
                </c:pt>
                <c:pt idx="106">
                  <c:v>96.045480000000012</c:v>
                </c:pt>
                <c:pt idx="107">
                  <c:v>96.914519999999996</c:v>
                </c:pt>
                <c:pt idx="108">
                  <c:v>95.860080000000011</c:v>
                </c:pt>
                <c:pt idx="109">
                  <c:v>94.307040000000001</c:v>
                </c:pt>
                <c:pt idx="110">
                  <c:v>92.690280000000001</c:v>
                </c:pt>
                <c:pt idx="111">
                  <c:v>90.620280000000008</c:v>
                </c:pt>
                <c:pt idx="112">
                  <c:v>89.488440000000011</c:v>
                </c:pt>
                <c:pt idx="113">
                  <c:v>89.82</c:v>
                </c:pt>
                <c:pt idx="114">
                  <c:v>89.930520000000001</c:v>
                </c:pt>
                <c:pt idx="115">
                  <c:v>89.587800000000001</c:v>
                </c:pt>
                <c:pt idx="116">
                  <c:v>89.098200000000006</c:v>
                </c:pt>
                <c:pt idx="117">
                  <c:v>89.809200000000004</c:v>
                </c:pt>
                <c:pt idx="118">
                  <c:v>89.416800000000009</c:v>
                </c:pt>
                <c:pt idx="119">
                  <c:v>88.664040000000014</c:v>
                </c:pt>
                <c:pt idx="120">
                  <c:v>87.772679999999994</c:v>
                </c:pt>
                <c:pt idx="121">
                  <c:v>85.740120000000005</c:v>
                </c:pt>
                <c:pt idx="122">
                  <c:v>83.989800000000002</c:v>
                </c:pt>
                <c:pt idx="123">
                  <c:v>83.604240000000004</c:v>
                </c:pt>
                <c:pt idx="124">
                  <c:v>85.052160000000001</c:v>
                </c:pt>
                <c:pt idx="125">
                  <c:v>87.046559999999999</c:v>
                </c:pt>
                <c:pt idx="126">
                  <c:v>87.564959999999999</c:v>
                </c:pt>
                <c:pt idx="127">
                  <c:v>87.768720000000002</c:v>
                </c:pt>
                <c:pt idx="128">
                  <c:v>87.82056</c:v>
                </c:pt>
                <c:pt idx="129">
                  <c:v>85.307400000000001</c:v>
                </c:pt>
                <c:pt idx="130">
                  <c:v>83.90664000000001</c:v>
                </c:pt>
                <c:pt idx="131">
                  <c:v>83.456280000000007</c:v>
                </c:pt>
                <c:pt idx="132">
                  <c:v>84.601079999999996</c:v>
                </c:pt>
                <c:pt idx="133">
                  <c:v>84.188519999999997</c:v>
                </c:pt>
                <c:pt idx="134">
                  <c:v>84.574439999999996</c:v>
                </c:pt>
                <c:pt idx="135">
                  <c:v>85.229640000000003</c:v>
                </c:pt>
                <c:pt idx="136">
                  <c:v>84.650040000000004</c:v>
                </c:pt>
                <c:pt idx="137">
                  <c:v>84.259799999999998</c:v>
                </c:pt>
                <c:pt idx="138">
                  <c:v>85.777200000000008</c:v>
                </c:pt>
                <c:pt idx="139">
                  <c:v>87.781320000000008</c:v>
                </c:pt>
                <c:pt idx="140">
                  <c:v>89.986680000000007</c:v>
                </c:pt>
                <c:pt idx="141">
                  <c:v>92.057040000000001</c:v>
                </c:pt>
                <c:pt idx="142">
                  <c:v>93.979079999999996</c:v>
                </c:pt>
                <c:pt idx="143">
                  <c:v>94.510440000000003</c:v>
                </c:pt>
                <c:pt idx="144">
                  <c:v>94.84920000000001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77-4FD8-9A8D-DE87B77F3F63}"/>
            </c:ext>
          </c:extLst>
        </c:ser>
        <c:ser>
          <c:idx val="0"/>
          <c:order val="1"/>
          <c:tx>
            <c:strRef>
              <c:f>随机森林!$I$2</c:f>
              <c:strCache>
                <c:ptCount val="1"/>
                <c:pt idx="0">
                  <c:v>实际路线规划车速</c:v>
                </c:pt>
              </c:strCache>
            </c:strRef>
          </c:tx>
          <c:spPr>
            <a:ln w="28575" cap="rnd">
              <a:solidFill>
                <a:srgbClr val="4D85BD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随机森林!$A$3:$A$147</c:f>
              <c:numCache>
                <c:formatCode>General</c:formatCode>
                <c:ptCount val="14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  <c:pt idx="101">
                  <c:v>2525</c:v>
                </c:pt>
                <c:pt idx="102">
                  <c:v>2550</c:v>
                </c:pt>
                <c:pt idx="103">
                  <c:v>2575</c:v>
                </c:pt>
                <c:pt idx="104">
                  <c:v>2600</c:v>
                </c:pt>
                <c:pt idx="105">
                  <c:v>2625</c:v>
                </c:pt>
                <c:pt idx="106">
                  <c:v>2650</c:v>
                </c:pt>
                <c:pt idx="107">
                  <c:v>2675</c:v>
                </c:pt>
                <c:pt idx="108">
                  <c:v>2700</c:v>
                </c:pt>
                <c:pt idx="109">
                  <c:v>2725</c:v>
                </c:pt>
                <c:pt idx="110">
                  <c:v>2750</c:v>
                </c:pt>
                <c:pt idx="111">
                  <c:v>2775</c:v>
                </c:pt>
                <c:pt idx="112">
                  <c:v>2800</c:v>
                </c:pt>
                <c:pt idx="113">
                  <c:v>2825</c:v>
                </c:pt>
                <c:pt idx="114">
                  <c:v>2850</c:v>
                </c:pt>
                <c:pt idx="115">
                  <c:v>2875</c:v>
                </c:pt>
                <c:pt idx="116">
                  <c:v>2900</c:v>
                </c:pt>
                <c:pt idx="117">
                  <c:v>2925</c:v>
                </c:pt>
                <c:pt idx="118">
                  <c:v>2950</c:v>
                </c:pt>
                <c:pt idx="119">
                  <c:v>2975</c:v>
                </c:pt>
                <c:pt idx="120">
                  <c:v>3000</c:v>
                </c:pt>
                <c:pt idx="121">
                  <c:v>3025</c:v>
                </c:pt>
                <c:pt idx="122">
                  <c:v>3050</c:v>
                </c:pt>
                <c:pt idx="123">
                  <c:v>3075</c:v>
                </c:pt>
                <c:pt idx="124">
                  <c:v>3100</c:v>
                </c:pt>
                <c:pt idx="125">
                  <c:v>3125</c:v>
                </c:pt>
                <c:pt idx="126">
                  <c:v>3150</c:v>
                </c:pt>
                <c:pt idx="127">
                  <c:v>3175</c:v>
                </c:pt>
                <c:pt idx="128">
                  <c:v>3200</c:v>
                </c:pt>
                <c:pt idx="129">
                  <c:v>3225</c:v>
                </c:pt>
                <c:pt idx="130">
                  <c:v>3250</c:v>
                </c:pt>
                <c:pt idx="131">
                  <c:v>3275</c:v>
                </c:pt>
                <c:pt idx="132">
                  <c:v>3300</c:v>
                </c:pt>
                <c:pt idx="133">
                  <c:v>3325</c:v>
                </c:pt>
                <c:pt idx="134">
                  <c:v>3350</c:v>
                </c:pt>
                <c:pt idx="135">
                  <c:v>3375</c:v>
                </c:pt>
                <c:pt idx="136">
                  <c:v>3400</c:v>
                </c:pt>
                <c:pt idx="137">
                  <c:v>3425</c:v>
                </c:pt>
                <c:pt idx="138">
                  <c:v>3450</c:v>
                </c:pt>
                <c:pt idx="139">
                  <c:v>3475</c:v>
                </c:pt>
                <c:pt idx="140">
                  <c:v>3500</c:v>
                </c:pt>
                <c:pt idx="141">
                  <c:v>3525</c:v>
                </c:pt>
                <c:pt idx="142">
                  <c:v>3550</c:v>
                </c:pt>
                <c:pt idx="143">
                  <c:v>3575</c:v>
                </c:pt>
                <c:pt idx="144">
                  <c:v>3600</c:v>
                </c:pt>
              </c:numCache>
            </c:numRef>
          </c:cat>
          <c:val>
            <c:numRef>
              <c:f>随机森林!$I$3:$I$147</c:f>
              <c:numCache>
                <c:formatCode>General</c:formatCode>
                <c:ptCount val="145"/>
                <c:pt idx="0">
                  <c:v>90</c:v>
                </c:pt>
                <c:pt idx="1">
                  <c:v>91.126800000000003</c:v>
                </c:pt>
                <c:pt idx="2">
                  <c:v>92.240279999999998</c:v>
                </c:pt>
                <c:pt idx="3">
                  <c:v>93.34008</c:v>
                </c:pt>
                <c:pt idx="4">
                  <c:v>94.42728000000001</c:v>
                </c:pt>
                <c:pt idx="5">
                  <c:v>95.039999999999992</c:v>
                </c:pt>
                <c:pt idx="6">
                  <c:v>95.4</c:v>
                </c:pt>
                <c:pt idx="7">
                  <c:v>94.68</c:v>
                </c:pt>
                <c:pt idx="8">
                  <c:v>94.68</c:v>
                </c:pt>
                <c:pt idx="9">
                  <c:v>95.039999999999992</c:v>
                </c:pt>
                <c:pt idx="10">
                  <c:v>95.4</c:v>
                </c:pt>
                <c:pt idx="11">
                  <c:v>95.76</c:v>
                </c:pt>
                <c:pt idx="12">
                  <c:v>96.12</c:v>
                </c:pt>
                <c:pt idx="13">
                  <c:v>96.48</c:v>
                </c:pt>
                <c:pt idx="14">
                  <c:v>96.84</c:v>
                </c:pt>
                <c:pt idx="15">
                  <c:v>97.2</c:v>
                </c:pt>
                <c:pt idx="16">
                  <c:v>97.56</c:v>
                </c:pt>
                <c:pt idx="17">
                  <c:v>97.92</c:v>
                </c:pt>
                <c:pt idx="18">
                  <c:v>97.2</c:v>
                </c:pt>
                <c:pt idx="19">
                  <c:v>97.56</c:v>
                </c:pt>
                <c:pt idx="20">
                  <c:v>97.92</c:v>
                </c:pt>
                <c:pt idx="21">
                  <c:v>97.2</c:v>
                </c:pt>
                <c:pt idx="22">
                  <c:v>97.56</c:v>
                </c:pt>
                <c:pt idx="23">
                  <c:v>97.92</c:v>
                </c:pt>
                <c:pt idx="24">
                  <c:v>98.28</c:v>
                </c:pt>
                <c:pt idx="25">
                  <c:v>97.92</c:v>
                </c:pt>
                <c:pt idx="26">
                  <c:v>97.56</c:v>
                </c:pt>
                <c:pt idx="27">
                  <c:v>97.92</c:v>
                </c:pt>
                <c:pt idx="28">
                  <c:v>98.64</c:v>
                </c:pt>
                <c:pt idx="29">
                  <c:v>99.360000000000014</c:v>
                </c:pt>
                <c:pt idx="30">
                  <c:v>100.00800000000001</c:v>
                </c:pt>
                <c:pt idx="31">
                  <c:v>99.360000000000014</c:v>
                </c:pt>
                <c:pt idx="32">
                  <c:v>98.64</c:v>
                </c:pt>
                <c:pt idx="33">
                  <c:v>97.92</c:v>
                </c:pt>
                <c:pt idx="34">
                  <c:v>97.2</c:v>
                </c:pt>
                <c:pt idx="35">
                  <c:v>97.56</c:v>
                </c:pt>
                <c:pt idx="36">
                  <c:v>97.92</c:v>
                </c:pt>
                <c:pt idx="37">
                  <c:v>98.28</c:v>
                </c:pt>
                <c:pt idx="38">
                  <c:v>98.64</c:v>
                </c:pt>
                <c:pt idx="39">
                  <c:v>97.92</c:v>
                </c:pt>
                <c:pt idx="40">
                  <c:v>97.2</c:v>
                </c:pt>
                <c:pt idx="41">
                  <c:v>96.48</c:v>
                </c:pt>
                <c:pt idx="42">
                  <c:v>95.76</c:v>
                </c:pt>
                <c:pt idx="43">
                  <c:v>95.039999999999992</c:v>
                </c:pt>
                <c:pt idx="44">
                  <c:v>94.32</c:v>
                </c:pt>
                <c:pt idx="45">
                  <c:v>93.600000000000009</c:v>
                </c:pt>
                <c:pt idx="46">
                  <c:v>92.88000000000001</c:v>
                </c:pt>
                <c:pt idx="47">
                  <c:v>92.160000000000011</c:v>
                </c:pt>
                <c:pt idx="48">
                  <c:v>91.44</c:v>
                </c:pt>
                <c:pt idx="49">
                  <c:v>90.72</c:v>
                </c:pt>
                <c:pt idx="50">
                  <c:v>90</c:v>
                </c:pt>
                <c:pt idx="51">
                  <c:v>90.72</c:v>
                </c:pt>
                <c:pt idx="52">
                  <c:v>90</c:v>
                </c:pt>
                <c:pt idx="53">
                  <c:v>90</c:v>
                </c:pt>
                <c:pt idx="54">
                  <c:v>90</c:v>
                </c:pt>
                <c:pt idx="55">
                  <c:v>90</c:v>
                </c:pt>
                <c:pt idx="56">
                  <c:v>90</c:v>
                </c:pt>
                <c:pt idx="57">
                  <c:v>90</c:v>
                </c:pt>
                <c:pt idx="58">
                  <c:v>90</c:v>
                </c:pt>
                <c:pt idx="59">
                  <c:v>90</c:v>
                </c:pt>
                <c:pt idx="60">
                  <c:v>91.08</c:v>
                </c:pt>
                <c:pt idx="61">
                  <c:v>91.44</c:v>
                </c:pt>
                <c:pt idx="62">
                  <c:v>91.08</c:v>
                </c:pt>
                <c:pt idx="63">
                  <c:v>91.08</c:v>
                </c:pt>
                <c:pt idx="64">
                  <c:v>91.08</c:v>
                </c:pt>
                <c:pt idx="65">
                  <c:v>91.08</c:v>
                </c:pt>
                <c:pt idx="66">
                  <c:v>91.08</c:v>
                </c:pt>
                <c:pt idx="67">
                  <c:v>91.08</c:v>
                </c:pt>
                <c:pt idx="68">
                  <c:v>91.08</c:v>
                </c:pt>
                <c:pt idx="69">
                  <c:v>91.08</c:v>
                </c:pt>
                <c:pt idx="70">
                  <c:v>91.08</c:v>
                </c:pt>
                <c:pt idx="71">
                  <c:v>91.08</c:v>
                </c:pt>
                <c:pt idx="72">
                  <c:v>91.08</c:v>
                </c:pt>
                <c:pt idx="73">
                  <c:v>91.08</c:v>
                </c:pt>
                <c:pt idx="74">
                  <c:v>91.08</c:v>
                </c:pt>
                <c:pt idx="75">
                  <c:v>91.08</c:v>
                </c:pt>
                <c:pt idx="76">
                  <c:v>91.08</c:v>
                </c:pt>
                <c:pt idx="77">
                  <c:v>91.08</c:v>
                </c:pt>
                <c:pt idx="78">
                  <c:v>91.08</c:v>
                </c:pt>
                <c:pt idx="79">
                  <c:v>91.44</c:v>
                </c:pt>
                <c:pt idx="80">
                  <c:v>91.08</c:v>
                </c:pt>
                <c:pt idx="81">
                  <c:v>90.360000000000014</c:v>
                </c:pt>
                <c:pt idx="82">
                  <c:v>90</c:v>
                </c:pt>
                <c:pt idx="83">
                  <c:v>90</c:v>
                </c:pt>
                <c:pt idx="84">
                  <c:v>90</c:v>
                </c:pt>
                <c:pt idx="85">
                  <c:v>90</c:v>
                </c:pt>
                <c:pt idx="86">
                  <c:v>90</c:v>
                </c:pt>
                <c:pt idx="87">
                  <c:v>90</c:v>
                </c:pt>
                <c:pt idx="88">
                  <c:v>90</c:v>
                </c:pt>
                <c:pt idx="89">
                  <c:v>90</c:v>
                </c:pt>
                <c:pt idx="90">
                  <c:v>90</c:v>
                </c:pt>
                <c:pt idx="91">
                  <c:v>90</c:v>
                </c:pt>
                <c:pt idx="92">
                  <c:v>90.72</c:v>
                </c:pt>
                <c:pt idx="93">
                  <c:v>90</c:v>
                </c:pt>
                <c:pt idx="94">
                  <c:v>90.72</c:v>
                </c:pt>
                <c:pt idx="95">
                  <c:v>90.72</c:v>
                </c:pt>
                <c:pt idx="96">
                  <c:v>90</c:v>
                </c:pt>
                <c:pt idx="97">
                  <c:v>90</c:v>
                </c:pt>
                <c:pt idx="98">
                  <c:v>90.72</c:v>
                </c:pt>
                <c:pt idx="99">
                  <c:v>90.72</c:v>
                </c:pt>
                <c:pt idx="100">
                  <c:v>90.72</c:v>
                </c:pt>
                <c:pt idx="101">
                  <c:v>91.8</c:v>
                </c:pt>
                <c:pt idx="102">
                  <c:v>92.88000000000001</c:v>
                </c:pt>
                <c:pt idx="103">
                  <c:v>92.88000000000001</c:v>
                </c:pt>
                <c:pt idx="104">
                  <c:v>92.160000000000011</c:v>
                </c:pt>
                <c:pt idx="105">
                  <c:v>91.44</c:v>
                </c:pt>
                <c:pt idx="106">
                  <c:v>90.72</c:v>
                </c:pt>
                <c:pt idx="107">
                  <c:v>91.8</c:v>
                </c:pt>
                <c:pt idx="108">
                  <c:v>92.88000000000001</c:v>
                </c:pt>
                <c:pt idx="109">
                  <c:v>92.160000000000011</c:v>
                </c:pt>
                <c:pt idx="110">
                  <c:v>91.44</c:v>
                </c:pt>
                <c:pt idx="111">
                  <c:v>90.72</c:v>
                </c:pt>
                <c:pt idx="112">
                  <c:v>90</c:v>
                </c:pt>
                <c:pt idx="113">
                  <c:v>91.08</c:v>
                </c:pt>
                <c:pt idx="114">
                  <c:v>92.160000000000011</c:v>
                </c:pt>
                <c:pt idx="115">
                  <c:v>91.08</c:v>
                </c:pt>
                <c:pt idx="116">
                  <c:v>90.360000000000014</c:v>
                </c:pt>
                <c:pt idx="117">
                  <c:v>90</c:v>
                </c:pt>
                <c:pt idx="118">
                  <c:v>90</c:v>
                </c:pt>
                <c:pt idx="119">
                  <c:v>90</c:v>
                </c:pt>
                <c:pt idx="120">
                  <c:v>90</c:v>
                </c:pt>
                <c:pt idx="121">
                  <c:v>90</c:v>
                </c:pt>
                <c:pt idx="122">
                  <c:v>91.08</c:v>
                </c:pt>
                <c:pt idx="123">
                  <c:v>91.08</c:v>
                </c:pt>
                <c:pt idx="124">
                  <c:v>91.08</c:v>
                </c:pt>
                <c:pt idx="125">
                  <c:v>91.08</c:v>
                </c:pt>
                <c:pt idx="126">
                  <c:v>91.08</c:v>
                </c:pt>
                <c:pt idx="127">
                  <c:v>91.08</c:v>
                </c:pt>
                <c:pt idx="128">
                  <c:v>91.08</c:v>
                </c:pt>
                <c:pt idx="129">
                  <c:v>91.08</c:v>
                </c:pt>
                <c:pt idx="130">
                  <c:v>91.08</c:v>
                </c:pt>
                <c:pt idx="131">
                  <c:v>91.08</c:v>
                </c:pt>
                <c:pt idx="132">
                  <c:v>91.08</c:v>
                </c:pt>
                <c:pt idx="133">
                  <c:v>91.08</c:v>
                </c:pt>
                <c:pt idx="134">
                  <c:v>91.08</c:v>
                </c:pt>
                <c:pt idx="135">
                  <c:v>91.08</c:v>
                </c:pt>
                <c:pt idx="136">
                  <c:v>91.08</c:v>
                </c:pt>
                <c:pt idx="137">
                  <c:v>91.08</c:v>
                </c:pt>
                <c:pt idx="138">
                  <c:v>91.08</c:v>
                </c:pt>
                <c:pt idx="139">
                  <c:v>90.72</c:v>
                </c:pt>
                <c:pt idx="140">
                  <c:v>90.72</c:v>
                </c:pt>
                <c:pt idx="141">
                  <c:v>90.360000000000014</c:v>
                </c:pt>
                <c:pt idx="142">
                  <c:v>90</c:v>
                </c:pt>
                <c:pt idx="143">
                  <c:v>90</c:v>
                </c:pt>
                <c:pt idx="144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77-4FD8-9A8D-DE87B77F3F63}"/>
            </c:ext>
          </c:extLst>
        </c:ser>
        <c:ser>
          <c:idx val="2"/>
          <c:order val="2"/>
          <c:tx>
            <c:strRef>
              <c:f>随机森林!$K$2</c:f>
              <c:strCache>
                <c:ptCount val="1"/>
                <c:pt idx="0">
                  <c:v>多弧路线规划车速</c:v>
                </c:pt>
              </c:strCache>
            </c:strRef>
          </c:tx>
          <c:spPr>
            <a:ln w="28575" cap="rnd">
              <a:solidFill>
                <a:srgbClr val="59A95A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随机森林!$A$3:$A$147</c:f>
              <c:numCache>
                <c:formatCode>General</c:formatCode>
                <c:ptCount val="14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  <c:pt idx="101">
                  <c:v>2525</c:v>
                </c:pt>
                <c:pt idx="102">
                  <c:v>2550</c:v>
                </c:pt>
                <c:pt idx="103">
                  <c:v>2575</c:v>
                </c:pt>
                <c:pt idx="104">
                  <c:v>2600</c:v>
                </c:pt>
                <c:pt idx="105">
                  <c:v>2625</c:v>
                </c:pt>
                <c:pt idx="106">
                  <c:v>2650</c:v>
                </c:pt>
                <c:pt idx="107">
                  <c:v>2675</c:v>
                </c:pt>
                <c:pt idx="108">
                  <c:v>2700</c:v>
                </c:pt>
                <c:pt idx="109">
                  <c:v>2725</c:v>
                </c:pt>
                <c:pt idx="110">
                  <c:v>2750</c:v>
                </c:pt>
                <c:pt idx="111">
                  <c:v>2775</c:v>
                </c:pt>
                <c:pt idx="112">
                  <c:v>2800</c:v>
                </c:pt>
                <c:pt idx="113">
                  <c:v>2825</c:v>
                </c:pt>
                <c:pt idx="114">
                  <c:v>2850</c:v>
                </c:pt>
                <c:pt idx="115">
                  <c:v>2875</c:v>
                </c:pt>
                <c:pt idx="116">
                  <c:v>2900</c:v>
                </c:pt>
                <c:pt idx="117">
                  <c:v>2925</c:v>
                </c:pt>
                <c:pt idx="118">
                  <c:v>2950</c:v>
                </c:pt>
                <c:pt idx="119">
                  <c:v>2975</c:v>
                </c:pt>
                <c:pt idx="120">
                  <c:v>3000</c:v>
                </c:pt>
                <c:pt idx="121">
                  <c:v>3025</c:v>
                </c:pt>
                <c:pt idx="122">
                  <c:v>3050</c:v>
                </c:pt>
                <c:pt idx="123">
                  <c:v>3075</c:v>
                </c:pt>
                <c:pt idx="124">
                  <c:v>3100</c:v>
                </c:pt>
                <c:pt idx="125">
                  <c:v>3125</c:v>
                </c:pt>
                <c:pt idx="126">
                  <c:v>3150</c:v>
                </c:pt>
                <c:pt idx="127">
                  <c:v>3175</c:v>
                </c:pt>
                <c:pt idx="128">
                  <c:v>3200</c:v>
                </c:pt>
                <c:pt idx="129">
                  <c:v>3225</c:v>
                </c:pt>
                <c:pt idx="130">
                  <c:v>3250</c:v>
                </c:pt>
                <c:pt idx="131">
                  <c:v>3275</c:v>
                </c:pt>
                <c:pt idx="132">
                  <c:v>3300</c:v>
                </c:pt>
                <c:pt idx="133">
                  <c:v>3325</c:v>
                </c:pt>
                <c:pt idx="134">
                  <c:v>3350</c:v>
                </c:pt>
                <c:pt idx="135">
                  <c:v>3375</c:v>
                </c:pt>
                <c:pt idx="136">
                  <c:v>3400</c:v>
                </c:pt>
                <c:pt idx="137">
                  <c:v>3425</c:v>
                </c:pt>
                <c:pt idx="138">
                  <c:v>3450</c:v>
                </c:pt>
                <c:pt idx="139">
                  <c:v>3475</c:v>
                </c:pt>
                <c:pt idx="140">
                  <c:v>3500</c:v>
                </c:pt>
                <c:pt idx="141">
                  <c:v>3525</c:v>
                </c:pt>
                <c:pt idx="142">
                  <c:v>3550</c:v>
                </c:pt>
                <c:pt idx="143">
                  <c:v>3575</c:v>
                </c:pt>
                <c:pt idx="144">
                  <c:v>3600</c:v>
                </c:pt>
              </c:numCache>
            </c:numRef>
          </c:cat>
          <c:val>
            <c:numRef>
              <c:f>随机森林!$K$3:$K$147</c:f>
              <c:numCache>
                <c:formatCode>General</c:formatCode>
                <c:ptCount val="145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91.08</c:v>
                </c:pt>
                <c:pt idx="8">
                  <c:v>90</c:v>
                </c:pt>
                <c:pt idx="9">
                  <c:v>91.08</c:v>
                </c:pt>
                <c:pt idx="10">
                  <c:v>92.160000000000011</c:v>
                </c:pt>
                <c:pt idx="11">
                  <c:v>91.44</c:v>
                </c:pt>
                <c:pt idx="12">
                  <c:v>90.72</c:v>
                </c:pt>
                <c:pt idx="13">
                  <c:v>91.8</c:v>
                </c:pt>
                <c:pt idx="14">
                  <c:v>91.8</c:v>
                </c:pt>
                <c:pt idx="15">
                  <c:v>91.08</c:v>
                </c:pt>
                <c:pt idx="16">
                  <c:v>90.360000000000014</c:v>
                </c:pt>
                <c:pt idx="17">
                  <c:v>90</c:v>
                </c:pt>
                <c:pt idx="18">
                  <c:v>90.360000000000014</c:v>
                </c:pt>
                <c:pt idx="19">
                  <c:v>90.360000000000014</c:v>
                </c:pt>
                <c:pt idx="20">
                  <c:v>90.72</c:v>
                </c:pt>
                <c:pt idx="21">
                  <c:v>90.360000000000014</c:v>
                </c:pt>
                <c:pt idx="22">
                  <c:v>90</c:v>
                </c:pt>
                <c:pt idx="23">
                  <c:v>90</c:v>
                </c:pt>
                <c:pt idx="24">
                  <c:v>90</c:v>
                </c:pt>
                <c:pt idx="25">
                  <c:v>90</c:v>
                </c:pt>
                <c:pt idx="26">
                  <c:v>90</c:v>
                </c:pt>
                <c:pt idx="27">
                  <c:v>90</c:v>
                </c:pt>
                <c:pt idx="28">
                  <c:v>90</c:v>
                </c:pt>
                <c:pt idx="29">
                  <c:v>90</c:v>
                </c:pt>
                <c:pt idx="30">
                  <c:v>90</c:v>
                </c:pt>
                <c:pt idx="31">
                  <c:v>90</c:v>
                </c:pt>
                <c:pt idx="32">
                  <c:v>90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  <c:pt idx="36">
                  <c:v>90</c:v>
                </c:pt>
                <c:pt idx="37">
                  <c:v>90.72</c:v>
                </c:pt>
                <c:pt idx="38">
                  <c:v>91.08</c:v>
                </c:pt>
                <c:pt idx="39">
                  <c:v>91.08</c:v>
                </c:pt>
                <c:pt idx="40">
                  <c:v>91.08</c:v>
                </c:pt>
                <c:pt idx="41">
                  <c:v>91.44</c:v>
                </c:pt>
                <c:pt idx="42">
                  <c:v>92.52</c:v>
                </c:pt>
                <c:pt idx="43">
                  <c:v>92.88000000000001</c:v>
                </c:pt>
                <c:pt idx="44">
                  <c:v>93.24</c:v>
                </c:pt>
                <c:pt idx="45">
                  <c:v>94.32</c:v>
                </c:pt>
                <c:pt idx="46">
                  <c:v>95.039999999999992</c:v>
                </c:pt>
                <c:pt idx="47">
                  <c:v>95.4</c:v>
                </c:pt>
                <c:pt idx="48">
                  <c:v>95.76</c:v>
                </c:pt>
                <c:pt idx="49">
                  <c:v>95.039999999999992</c:v>
                </c:pt>
                <c:pt idx="50">
                  <c:v>95.039999999999992</c:v>
                </c:pt>
                <c:pt idx="51">
                  <c:v>95.76</c:v>
                </c:pt>
                <c:pt idx="52">
                  <c:v>96.12</c:v>
                </c:pt>
                <c:pt idx="53">
                  <c:v>96.84</c:v>
                </c:pt>
                <c:pt idx="54">
                  <c:v>97.56</c:v>
                </c:pt>
                <c:pt idx="55">
                  <c:v>96.84</c:v>
                </c:pt>
                <c:pt idx="56">
                  <c:v>96.12</c:v>
                </c:pt>
                <c:pt idx="57">
                  <c:v>95.4</c:v>
                </c:pt>
                <c:pt idx="58">
                  <c:v>94.68</c:v>
                </c:pt>
                <c:pt idx="59">
                  <c:v>93.960000000000008</c:v>
                </c:pt>
                <c:pt idx="60">
                  <c:v>93.24</c:v>
                </c:pt>
                <c:pt idx="61">
                  <c:v>92.160000000000011</c:v>
                </c:pt>
                <c:pt idx="62">
                  <c:v>91.44</c:v>
                </c:pt>
                <c:pt idx="63">
                  <c:v>90.72</c:v>
                </c:pt>
                <c:pt idx="64">
                  <c:v>90</c:v>
                </c:pt>
                <c:pt idx="65">
                  <c:v>90</c:v>
                </c:pt>
                <c:pt idx="66">
                  <c:v>90.72</c:v>
                </c:pt>
                <c:pt idx="67">
                  <c:v>90</c:v>
                </c:pt>
                <c:pt idx="68">
                  <c:v>90.72</c:v>
                </c:pt>
                <c:pt idx="69">
                  <c:v>90.360000000000014</c:v>
                </c:pt>
                <c:pt idx="70">
                  <c:v>90</c:v>
                </c:pt>
                <c:pt idx="71">
                  <c:v>90</c:v>
                </c:pt>
                <c:pt idx="72">
                  <c:v>90</c:v>
                </c:pt>
                <c:pt idx="73">
                  <c:v>90.360000000000014</c:v>
                </c:pt>
                <c:pt idx="74">
                  <c:v>90.72</c:v>
                </c:pt>
                <c:pt idx="75">
                  <c:v>90.360000000000014</c:v>
                </c:pt>
                <c:pt idx="76">
                  <c:v>90</c:v>
                </c:pt>
                <c:pt idx="77">
                  <c:v>90</c:v>
                </c:pt>
                <c:pt idx="78">
                  <c:v>90</c:v>
                </c:pt>
                <c:pt idx="79">
                  <c:v>90</c:v>
                </c:pt>
                <c:pt idx="80">
                  <c:v>90</c:v>
                </c:pt>
                <c:pt idx="81">
                  <c:v>90</c:v>
                </c:pt>
                <c:pt idx="82">
                  <c:v>90</c:v>
                </c:pt>
                <c:pt idx="83">
                  <c:v>90</c:v>
                </c:pt>
                <c:pt idx="84">
                  <c:v>90</c:v>
                </c:pt>
                <c:pt idx="85">
                  <c:v>90</c:v>
                </c:pt>
                <c:pt idx="86">
                  <c:v>90</c:v>
                </c:pt>
                <c:pt idx="87">
                  <c:v>90</c:v>
                </c:pt>
                <c:pt idx="88">
                  <c:v>90</c:v>
                </c:pt>
                <c:pt idx="89">
                  <c:v>90</c:v>
                </c:pt>
                <c:pt idx="90">
                  <c:v>90</c:v>
                </c:pt>
                <c:pt idx="91">
                  <c:v>90</c:v>
                </c:pt>
                <c:pt idx="92">
                  <c:v>90</c:v>
                </c:pt>
                <c:pt idx="93">
                  <c:v>90.72</c:v>
                </c:pt>
                <c:pt idx="94">
                  <c:v>91.08</c:v>
                </c:pt>
                <c:pt idx="95">
                  <c:v>91.08</c:v>
                </c:pt>
                <c:pt idx="96">
                  <c:v>91.08</c:v>
                </c:pt>
                <c:pt idx="97">
                  <c:v>91.44</c:v>
                </c:pt>
                <c:pt idx="98">
                  <c:v>92.52</c:v>
                </c:pt>
                <c:pt idx="99">
                  <c:v>92.88000000000001</c:v>
                </c:pt>
                <c:pt idx="100">
                  <c:v>93.24</c:v>
                </c:pt>
                <c:pt idx="101">
                  <c:v>94.32</c:v>
                </c:pt>
                <c:pt idx="102">
                  <c:v>95.039999999999992</c:v>
                </c:pt>
                <c:pt idx="103">
                  <c:v>95.4</c:v>
                </c:pt>
                <c:pt idx="104">
                  <c:v>95.76</c:v>
                </c:pt>
                <c:pt idx="105">
                  <c:v>95.039999999999992</c:v>
                </c:pt>
                <c:pt idx="106">
                  <c:v>95.039999999999992</c:v>
                </c:pt>
                <c:pt idx="107">
                  <c:v>95.76</c:v>
                </c:pt>
                <c:pt idx="108">
                  <c:v>96.48</c:v>
                </c:pt>
                <c:pt idx="109">
                  <c:v>97.2</c:v>
                </c:pt>
                <c:pt idx="110">
                  <c:v>97.92</c:v>
                </c:pt>
                <c:pt idx="111">
                  <c:v>97.2</c:v>
                </c:pt>
                <c:pt idx="112">
                  <c:v>97.92</c:v>
                </c:pt>
                <c:pt idx="113">
                  <c:v>97.2</c:v>
                </c:pt>
                <c:pt idx="114">
                  <c:v>97.92</c:v>
                </c:pt>
                <c:pt idx="115">
                  <c:v>97.2</c:v>
                </c:pt>
                <c:pt idx="116">
                  <c:v>97.92</c:v>
                </c:pt>
                <c:pt idx="117">
                  <c:v>97.2</c:v>
                </c:pt>
                <c:pt idx="118">
                  <c:v>97.92</c:v>
                </c:pt>
                <c:pt idx="119">
                  <c:v>97.2</c:v>
                </c:pt>
                <c:pt idx="120">
                  <c:v>96.48</c:v>
                </c:pt>
                <c:pt idx="121">
                  <c:v>95.76</c:v>
                </c:pt>
                <c:pt idx="122">
                  <c:v>95.039999999999992</c:v>
                </c:pt>
                <c:pt idx="123">
                  <c:v>94.32</c:v>
                </c:pt>
                <c:pt idx="124">
                  <c:v>93.600000000000009</c:v>
                </c:pt>
                <c:pt idx="125">
                  <c:v>92.88000000000001</c:v>
                </c:pt>
                <c:pt idx="126">
                  <c:v>92.160000000000011</c:v>
                </c:pt>
                <c:pt idx="127">
                  <c:v>91.08</c:v>
                </c:pt>
                <c:pt idx="128">
                  <c:v>90</c:v>
                </c:pt>
                <c:pt idx="129">
                  <c:v>90</c:v>
                </c:pt>
                <c:pt idx="130">
                  <c:v>90</c:v>
                </c:pt>
                <c:pt idx="131">
                  <c:v>90.360000000000014</c:v>
                </c:pt>
                <c:pt idx="132">
                  <c:v>90</c:v>
                </c:pt>
                <c:pt idx="133">
                  <c:v>90</c:v>
                </c:pt>
                <c:pt idx="134">
                  <c:v>90</c:v>
                </c:pt>
                <c:pt idx="135">
                  <c:v>90</c:v>
                </c:pt>
                <c:pt idx="136">
                  <c:v>90</c:v>
                </c:pt>
                <c:pt idx="137">
                  <c:v>90</c:v>
                </c:pt>
                <c:pt idx="138">
                  <c:v>90</c:v>
                </c:pt>
                <c:pt idx="139">
                  <c:v>90</c:v>
                </c:pt>
                <c:pt idx="140">
                  <c:v>90</c:v>
                </c:pt>
                <c:pt idx="141">
                  <c:v>90</c:v>
                </c:pt>
                <c:pt idx="142">
                  <c:v>90</c:v>
                </c:pt>
                <c:pt idx="143">
                  <c:v>90</c:v>
                </c:pt>
                <c:pt idx="144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77-4FD8-9A8D-DE87B77F3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4778784"/>
        <c:axId val="254777120"/>
      </c:lineChart>
      <c:catAx>
        <c:axId val="254778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/>
                  <a:t>距离（</a:t>
                </a:r>
                <a:r>
                  <a:rPr lang="en-US" altLang="zh-CN"/>
                  <a:t>m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254777120"/>
        <c:crosses val="autoZero"/>
        <c:auto val="1"/>
        <c:lblAlgn val="ctr"/>
        <c:lblOffset val="100"/>
        <c:tickLblSkip val="16"/>
        <c:tickMarkSkip val="16"/>
        <c:noMultiLvlLbl val="0"/>
      </c:catAx>
      <c:valAx>
        <c:axId val="254777120"/>
        <c:scaling>
          <c:orientation val="minMax"/>
          <c:max val="105"/>
          <c:min val="7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/>
                  <a:t>车速（</a:t>
                </a:r>
                <a:r>
                  <a:rPr lang="en-US" altLang="zh-CN"/>
                  <a:t>km/h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25477878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4440883190883194"/>
          <c:y val="0.53248429434550204"/>
          <c:w val="0.33858618233618237"/>
          <c:h val="0.281829250510352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 baseline="0">
          <a:solidFill>
            <a:schemeClr val="tx1"/>
          </a:solidFill>
          <a:latin typeface="Times New Roman" panose="02020603050405020304" pitchFamily="18" charset="0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3616452991453E-2"/>
          <c:y val="4.5337462276927191E-2"/>
          <c:w val="0.87127065527065528"/>
          <c:h val="0.79589704079754986"/>
        </c:manualLayout>
      </c:layout>
      <c:lineChart>
        <c:grouping val="standard"/>
        <c:varyColors val="0"/>
        <c:ser>
          <c:idx val="0"/>
          <c:order val="0"/>
          <c:tx>
            <c:strRef>
              <c:f>'回归-油耗差'!$B$2</c:f>
              <c:strCache>
                <c:ptCount val="1"/>
                <c:pt idx="0">
                  <c:v>实际路线</c:v>
                </c:pt>
              </c:strCache>
            </c:strRef>
          </c:tx>
          <c:spPr>
            <a:ln w="28575" cap="rnd">
              <a:solidFill>
                <a:srgbClr val="F7903D"/>
              </a:solidFill>
              <a:round/>
            </a:ln>
            <a:effectLst/>
          </c:spPr>
          <c:marker>
            <c:symbol val="none"/>
          </c:marker>
          <c:cat>
            <c:numRef>
              <c:f>'回归-油耗差'!$A$3:$A$147</c:f>
              <c:numCache>
                <c:formatCode>General</c:formatCode>
                <c:ptCount val="14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  <c:pt idx="101">
                  <c:v>2525</c:v>
                </c:pt>
                <c:pt idx="102">
                  <c:v>2550</c:v>
                </c:pt>
                <c:pt idx="103">
                  <c:v>2575</c:v>
                </c:pt>
                <c:pt idx="104">
                  <c:v>2600</c:v>
                </c:pt>
                <c:pt idx="105">
                  <c:v>2625</c:v>
                </c:pt>
                <c:pt idx="106">
                  <c:v>2650</c:v>
                </c:pt>
                <c:pt idx="107">
                  <c:v>2675</c:v>
                </c:pt>
                <c:pt idx="108">
                  <c:v>2700</c:v>
                </c:pt>
                <c:pt idx="109">
                  <c:v>2725</c:v>
                </c:pt>
                <c:pt idx="110">
                  <c:v>2750</c:v>
                </c:pt>
                <c:pt idx="111">
                  <c:v>2775</c:v>
                </c:pt>
                <c:pt idx="112">
                  <c:v>2800</c:v>
                </c:pt>
                <c:pt idx="113">
                  <c:v>2825</c:v>
                </c:pt>
                <c:pt idx="114">
                  <c:v>2850</c:v>
                </c:pt>
                <c:pt idx="115">
                  <c:v>2875</c:v>
                </c:pt>
                <c:pt idx="116">
                  <c:v>2900</c:v>
                </c:pt>
                <c:pt idx="117">
                  <c:v>2925</c:v>
                </c:pt>
                <c:pt idx="118">
                  <c:v>2950</c:v>
                </c:pt>
                <c:pt idx="119">
                  <c:v>2975</c:v>
                </c:pt>
                <c:pt idx="120">
                  <c:v>3000</c:v>
                </c:pt>
                <c:pt idx="121">
                  <c:v>3025</c:v>
                </c:pt>
                <c:pt idx="122">
                  <c:v>3050</c:v>
                </c:pt>
                <c:pt idx="123">
                  <c:v>3075</c:v>
                </c:pt>
                <c:pt idx="124">
                  <c:v>3100</c:v>
                </c:pt>
                <c:pt idx="125">
                  <c:v>3125</c:v>
                </c:pt>
                <c:pt idx="126">
                  <c:v>3150</c:v>
                </c:pt>
                <c:pt idx="127">
                  <c:v>3175</c:v>
                </c:pt>
                <c:pt idx="128">
                  <c:v>3200</c:v>
                </c:pt>
                <c:pt idx="129">
                  <c:v>3225</c:v>
                </c:pt>
                <c:pt idx="130">
                  <c:v>3250</c:v>
                </c:pt>
                <c:pt idx="131">
                  <c:v>3275</c:v>
                </c:pt>
                <c:pt idx="132">
                  <c:v>3300</c:v>
                </c:pt>
                <c:pt idx="133">
                  <c:v>3325</c:v>
                </c:pt>
                <c:pt idx="134">
                  <c:v>3350</c:v>
                </c:pt>
                <c:pt idx="135">
                  <c:v>3375</c:v>
                </c:pt>
                <c:pt idx="136">
                  <c:v>3400</c:v>
                </c:pt>
                <c:pt idx="137">
                  <c:v>3425</c:v>
                </c:pt>
                <c:pt idx="138">
                  <c:v>3450</c:v>
                </c:pt>
                <c:pt idx="139">
                  <c:v>3475</c:v>
                </c:pt>
                <c:pt idx="140">
                  <c:v>3500</c:v>
                </c:pt>
                <c:pt idx="141">
                  <c:v>3525</c:v>
                </c:pt>
                <c:pt idx="142">
                  <c:v>3550</c:v>
                </c:pt>
                <c:pt idx="143">
                  <c:v>3575</c:v>
                </c:pt>
                <c:pt idx="144">
                  <c:v>3600</c:v>
                </c:pt>
              </c:numCache>
            </c:numRef>
          </c:cat>
          <c:val>
            <c:numRef>
              <c:f>'回归-油耗差'!$B$3:$B$147</c:f>
              <c:numCache>
                <c:formatCode>General</c:formatCode>
                <c:ptCount val="145"/>
                <c:pt idx="0">
                  <c:v>1.06913036956837</c:v>
                </c:pt>
                <c:pt idx="1">
                  <c:v>1.06913036956837</c:v>
                </c:pt>
                <c:pt idx="2">
                  <c:v>1.1032206177608299</c:v>
                </c:pt>
                <c:pt idx="3">
                  <c:v>1.1032206177608299</c:v>
                </c:pt>
                <c:pt idx="4">
                  <c:v>1.21836562645419</c:v>
                </c:pt>
                <c:pt idx="5">
                  <c:v>1.21836562645419</c:v>
                </c:pt>
                <c:pt idx="6">
                  <c:v>1.30474901323126</c:v>
                </c:pt>
                <c:pt idx="7">
                  <c:v>1.30474901323126</c:v>
                </c:pt>
                <c:pt idx="8">
                  <c:v>1.14228060567901</c:v>
                </c:pt>
                <c:pt idx="9">
                  <c:v>1.14228060567901</c:v>
                </c:pt>
                <c:pt idx="10">
                  <c:v>1.2250723109600601</c:v>
                </c:pt>
                <c:pt idx="11">
                  <c:v>1.2250723109600601</c:v>
                </c:pt>
                <c:pt idx="12">
                  <c:v>1.2205412530489199</c:v>
                </c:pt>
                <c:pt idx="13">
                  <c:v>1.2205412530489199</c:v>
                </c:pt>
                <c:pt idx="14">
                  <c:v>1.2188999863974499</c:v>
                </c:pt>
                <c:pt idx="15">
                  <c:v>1.2188999863974499</c:v>
                </c:pt>
                <c:pt idx="16">
                  <c:v>1.28807655671319</c:v>
                </c:pt>
                <c:pt idx="17">
                  <c:v>1.28807655671319</c:v>
                </c:pt>
                <c:pt idx="18">
                  <c:v>1.1829075112523399</c:v>
                </c:pt>
                <c:pt idx="19">
                  <c:v>1.1829075112523399</c:v>
                </c:pt>
                <c:pt idx="20">
                  <c:v>1.2067645144361401</c:v>
                </c:pt>
                <c:pt idx="21">
                  <c:v>1.2067645144361401</c:v>
                </c:pt>
                <c:pt idx="22">
                  <c:v>1.2219442331710699</c:v>
                </c:pt>
                <c:pt idx="23">
                  <c:v>1.2219442331710699</c:v>
                </c:pt>
                <c:pt idx="24">
                  <c:v>1.16365426839576</c:v>
                </c:pt>
                <c:pt idx="25">
                  <c:v>1.16365426839576</c:v>
                </c:pt>
                <c:pt idx="26">
                  <c:v>1.2021550387894999</c:v>
                </c:pt>
                <c:pt idx="27">
                  <c:v>1.2021550387894999</c:v>
                </c:pt>
                <c:pt idx="28">
                  <c:v>1.16134637168063</c:v>
                </c:pt>
                <c:pt idx="29">
                  <c:v>1.16134637168063</c:v>
                </c:pt>
                <c:pt idx="30">
                  <c:v>1.32411707292479</c:v>
                </c:pt>
                <c:pt idx="31">
                  <c:v>1.32411707292479</c:v>
                </c:pt>
                <c:pt idx="32">
                  <c:v>1.22128574206503</c:v>
                </c:pt>
                <c:pt idx="33">
                  <c:v>1.22128574206503</c:v>
                </c:pt>
                <c:pt idx="34">
                  <c:v>1.2909368034490001</c:v>
                </c:pt>
                <c:pt idx="35">
                  <c:v>1.2909368034490001</c:v>
                </c:pt>
                <c:pt idx="36">
                  <c:v>1.2645851082812201</c:v>
                </c:pt>
                <c:pt idx="37">
                  <c:v>1.2645851082812201</c:v>
                </c:pt>
                <c:pt idx="38">
                  <c:v>1.3394255936578801</c:v>
                </c:pt>
                <c:pt idx="39">
                  <c:v>1.3394255936578801</c:v>
                </c:pt>
                <c:pt idx="40">
                  <c:v>1.38070975496667</c:v>
                </c:pt>
                <c:pt idx="41">
                  <c:v>1.38070975496667</c:v>
                </c:pt>
                <c:pt idx="42">
                  <c:v>1.33074009197989</c:v>
                </c:pt>
                <c:pt idx="43">
                  <c:v>1.33074009197989</c:v>
                </c:pt>
                <c:pt idx="44">
                  <c:v>1.3020488087381199</c:v>
                </c:pt>
                <c:pt idx="45">
                  <c:v>1.3020488087381199</c:v>
                </c:pt>
                <c:pt idx="46">
                  <c:v>1.36601869580449</c:v>
                </c:pt>
                <c:pt idx="47">
                  <c:v>1.36601869580449</c:v>
                </c:pt>
                <c:pt idx="48">
                  <c:v>1.36109604258789</c:v>
                </c:pt>
                <c:pt idx="49">
                  <c:v>1.36109604258789</c:v>
                </c:pt>
                <c:pt idx="50">
                  <c:v>1.38210580395313</c:v>
                </c:pt>
                <c:pt idx="51">
                  <c:v>1.38210580395313</c:v>
                </c:pt>
                <c:pt idx="52">
                  <c:v>1.67382829769903</c:v>
                </c:pt>
                <c:pt idx="53">
                  <c:v>1.6789137197361399</c:v>
                </c:pt>
                <c:pt idx="54">
                  <c:v>1.57926239558003</c:v>
                </c:pt>
                <c:pt idx="55">
                  <c:v>1.5834141397931101</c:v>
                </c:pt>
                <c:pt idx="56">
                  <c:v>1.5040863009787699</c:v>
                </c:pt>
                <c:pt idx="57">
                  <c:v>1.5074520846750401</c:v>
                </c:pt>
                <c:pt idx="58">
                  <c:v>1.36640936360849</c:v>
                </c:pt>
                <c:pt idx="59">
                  <c:v>1.3682381592310999</c:v>
                </c:pt>
                <c:pt idx="60">
                  <c:v>1.71264255412766</c:v>
                </c:pt>
                <c:pt idx="61">
                  <c:v>1.2792379622401999</c:v>
                </c:pt>
                <c:pt idx="62">
                  <c:v>1.62214602746021</c:v>
                </c:pt>
                <c:pt idx="63">
                  <c:v>1.6285540549904101</c:v>
                </c:pt>
                <c:pt idx="64">
                  <c:v>1.57916654537768</c:v>
                </c:pt>
                <c:pt idx="65">
                  <c:v>1.1316935776325101</c:v>
                </c:pt>
                <c:pt idx="66">
                  <c:v>1.1527703366870501</c:v>
                </c:pt>
                <c:pt idx="67">
                  <c:v>1.1516369738197301</c:v>
                </c:pt>
                <c:pt idx="68">
                  <c:v>1.12758743104085</c:v>
                </c:pt>
                <c:pt idx="69">
                  <c:v>1.1260334951181199</c:v>
                </c:pt>
                <c:pt idx="70">
                  <c:v>1.19157570117149</c:v>
                </c:pt>
                <c:pt idx="71">
                  <c:v>1.1907625111728799</c:v>
                </c:pt>
                <c:pt idx="72">
                  <c:v>1.1739345570425099</c:v>
                </c:pt>
                <c:pt idx="73">
                  <c:v>1.17279822405379</c:v>
                </c:pt>
                <c:pt idx="74">
                  <c:v>1.14334001197269</c:v>
                </c:pt>
                <c:pt idx="75">
                  <c:v>1.0493186370833101</c:v>
                </c:pt>
                <c:pt idx="76">
                  <c:v>0.73788101233040604</c:v>
                </c:pt>
                <c:pt idx="77">
                  <c:v>0.73788101233040604</c:v>
                </c:pt>
                <c:pt idx="78">
                  <c:v>0.80168826902518897</c:v>
                </c:pt>
                <c:pt idx="79">
                  <c:v>0.80168826902518897</c:v>
                </c:pt>
                <c:pt idx="80">
                  <c:v>0.89301569395781</c:v>
                </c:pt>
                <c:pt idx="81">
                  <c:v>0.89301569395781</c:v>
                </c:pt>
                <c:pt idx="82">
                  <c:v>0.95596925833269397</c:v>
                </c:pt>
                <c:pt idx="83">
                  <c:v>0.62128115231520098</c:v>
                </c:pt>
                <c:pt idx="84">
                  <c:v>0.63860246221723005</c:v>
                </c:pt>
                <c:pt idx="85">
                  <c:v>0.64273833615560105</c:v>
                </c:pt>
                <c:pt idx="86">
                  <c:v>0.62397457587114602</c:v>
                </c:pt>
                <c:pt idx="87">
                  <c:v>0.62824152674320499</c:v>
                </c:pt>
                <c:pt idx="88">
                  <c:v>0.78859847395707305</c:v>
                </c:pt>
                <c:pt idx="89">
                  <c:v>0.79077621858614899</c:v>
                </c:pt>
                <c:pt idx="90">
                  <c:v>0.85087497723820504</c:v>
                </c:pt>
                <c:pt idx="91">
                  <c:v>0.85228751075567599</c:v>
                </c:pt>
                <c:pt idx="92">
                  <c:v>0.97193236968160202</c:v>
                </c:pt>
                <c:pt idx="93">
                  <c:v>0.97193366773560097</c:v>
                </c:pt>
                <c:pt idx="94">
                  <c:v>1.0084735794200701</c:v>
                </c:pt>
                <c:pt idx="95">
                  <c:v>1.00809437039504</c:v>
                </c:pt>
                <c:pt idx="96">
                  <c:v>0.75239355029164401</c:v>
                </c:pt>
                <c:pt idx="97">
                  <c:v>0.75507989251683505</c:v>
                </c:pt>
                <c:pt idx="98">
                  <c:v>1.0458401536485</c:v>
                </c:pt>
                <c:pt idx="99">
                  <c:v>1.0452180437524199</c:v>
                </c:pt>
                <c:pt idx="100">
                  <c:v>1.0316582376808501</c:v>
                </c:pt>
                <c:pt idx="101">
                  <c:v>1.03124518361619</c:v>
                </c:pt>
                <c:pt idx="102">
                  <c:v>0.95141170800266905</c:v>
                </c:pt>
                <c:pt idx="103">
                  <c:v>0.95185189786221003</c:v>
                </c:pt>
                <c:pt idx="104">
                  <c:v>0.94047512516813003</c:v>
                </c:pt>
                <c:pt idx="105">
                  <c:v>0.941062024535672</c:v>
                </c:pt>
                <c:pt idx="106">
                  <c:v>1.00810549694784</c:v>
                </c:pt>
                <c:pt idx="107">
                  <c:v>1.00811101277076</c:v>
                </c:pt>
                <c:pt idx="108">
                  <c:v>1.01260718658354</c:v>
                </c:pt>
                <c:pt idx="109">
                  <c:v>1.39160705670392</c:v>
                </c:pt>
                <c:pt idx="110">
                  <c:v>1.30078820759883</c:v>
                </c:pt>
                <c:pt idx="111">
                  <c:v>1.30078820759883</c:v>
                </c:pt>
                <c:pt idx="112">
                  <c:v>1.2227649866672801</c:v>
                </c:pt>
                <c:pt idx="113">
                  <c:v>1.2227649866672801</c:v>
                </c:pt>
                <c:pt idx="114">
                  <c:v>1.1343941163064299</c:v>
                </c:pt>
                <c:pt idx="115">
                  <c:v>1.1343941163064299</c:v>
                </c:pt>
                <c:pt idx="116">
                  <c:v>0.97362521471598595</c:v>
                </c:pt>
                <c:pt idx="117">
                  <c:v>0.97362521471598595</c:v>
                </c:pt>
                <c:pt idx="118">
                  <c:v>0.97344839367491798</c:v>
                </c:pt>
                <c:pt idx="119">
                  <c:v>0.97344839367491798</c:v>
                </c:pt>
                <c:pt idx="120">
                  <c:v>0.97431734623218802</c:v>
                </c:pt>
                <c:pt idx="121">
                  <c:v>0.97431734623218802</c:v>
                </c:pt>
                <c:pt idx="122">
                  <c:v>1.2317376949429</c:v>
                </c:pt>
                <c:pt idx="123">
                  <c:v>0.86736891707226804</c:v>
                </c:pt>
                <c:pt idx="124">
                  <c:v>1.16035626810901</c:v>
                </c:pt>
                <c:pt idx="125">
                  <c:v>1.1600686822691</c:v>
                </c:pt>
                <c:pt idx="126">
                  <c:v>0.83062600995060198</c:v>
                </c:pt>
                <c:pt idx="127">
                  <c:v>0.83062600995060198</c:v>
                </c:pt>
                <c:pt idx="128">
                  <c:v>0.81944758988043898</c:v>
                </c:pt>
                <c:pt idx="129">
                  <c:v>0.81944758988043898</c:v>
                </c:pt>
                <c:pt idx="130">
                  <c:v>0.78655912526693605</c:v>
                </c:pt>
                <c:pt idx="131">
                  <c:v>0.78655912526693605</c:v>
                </c:pt>
                <c:pt idx="132">
                  <c:v>0.85317398640856901</c:v>
                </c:pt>
                <c:pt idx="133">
                  <c:v>0.85317398640856901</c:v>
                </c:pt>
                <c:pt idx="134">
                  <c:v>0.85061234702645705</c:v>
                </c:pt>
                <c:pt idx="135">
                  <c:v>0.85061234702645705</c:v>
                </c:pt>
                <c:pt idx="136">
                  <c:v>0.76661770005509899</c:v>
                </c:pt>
                <c:pt idx="137">
                  <c:v>0.76661770005509899</c:v>
                </c:pt>
                <c:pt idx="138">
                  <c:v>0.72597107511422598</c:v>
                </c:pt>
                <c:pt idx="139">
                  <c:v>0.72597107511422598</c:v>
                </c:pt>
                <c:pt idx="140">
                  <c:v>0.81227587471329099</c:v>
                </c:pt>
                <c:pt idx="141">
                  <c:v>0.49364658951206702</c:v>
                </c:pt>
                <c:pt idx="142">
                  <c:v>0.46485933002331398</c:v>
                </c:pt>
                <c:pt idx="143">
                  <c:v>0.46997763670166098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4E-421F-8F42-14068D739ECB}"/>
            </c:ext>
          </c:extLst>
        </c:ser>
        <c:ser>
          <c:idx val="1"/>
          <c:order val="1"/>
          <c:tx>
            <c:strRef>
              <c:f>'回归-油耗差'!$C$2</c:f>
              <c:strCache>
                <c:ptCount val="1"/>
                <c:pt idx="0">
                  <c:v>单弧路线</c:v>
                </c:pt>
              </c:strCache>
            </c:strRef>
          </c:tx>
          <c:spPr>
            <a:ln w="28575" cap="rnd">
              <a:solidFill>
                <a:srgbClr val="4D85BD"/>
              </a:solidFill>
              <a:round/>
            </a:ln>
            <a:effectLst/>
          </c:spPr>
          <c:marker>
            <c:symbol val="none"/>
          </c:marker>
          <c:cat>
            <c:numRef>
              <c:f>'回归-油耗差'!$A$3:$A$147</c:f>
              <c:numCache>
                <c:formatCode>General</c:formatCode>
                <c:ptCount val="14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  <c:pt idx="101">
                  <c:v>2525</c:v>
                </c:pt>
                <c:pt idx="102">
                  <c:v>2550</c:v>
                </c:pt>
                <c:pt idx="103">
                  <c:v>2575</c:v>
                </c:pt>
                <c:pt idx="104">
                  <c:v>2600</c:v>
                </c:pt>
                <c:pt idx="105">
                  <c:v>2625</c:v>
                </c:pt>
                <c:pt idx="106">
                  <c:v>2650</c:v>
                </c:pt>
                <c:pt idx="107">
                  <c:v>2675</c:v>
                </c:pt>
                <c:pt idx="108">
                  <c:v>2700</c:v>
                </c:pt>
                <c:pt idx="109">
                  <c:v>2725</c:v>
                </c:pt>
                <c:pt idx="110">
                  <c:v>2750</c:v>
                </c:pt>
                <c:pt idx="111">
                  <c:v>2775</c:v>
                </c:pt>
                <c:pt idx="112">
                  <c:v>2800</c:v>
                </c:pt>
                <c:pt idx="113">
                  <c:v>2825</c:v>
                </c:pt>
                <c:pt idx="114">
                  <c:v>2850</c:v>
                </c:pt>
                <c:pt idx="115">
                  <c:v>2875</c:v>
                </c:pt>
                <c:pt idx="116">
                  <c:v>2900</c:v>
                </c:pt>
                <c:pt idx="117">
                  <c:v>2925</c:v>
                </c:pt>
                <c:pt idx="118">
                  <c:v>2950</c:v>
                </c:pt>
                <c:pt idx="119">
                  <c:v>2975</c:v>
                </c:pt>
                <c:pt idx="120">
                  <c:v>3000</c:v>
                </c:pt>
                <c:pt idx="121">
                  <c:v>3025</c:v>
                </c:pt>
                <c:pt idx="122">
                  <c:v>3050</c:v>
                </c:pt>
                <c:pt idx="123">
                  <c:v>3075</c:v>
                </c:pt>
                <c:pt idx="124">
                  <c:v>3100</c:v>
                </c:pt>
                <c:pt idx="125">
                  <c:v>3125</c:v>
                </c:pt>
                <c:pt idx="126">
                  <c:v>3150</c:v>
                </c:pt>
                <c:pt idx="127">
                  <c:v>3175</c:v>
                </c:pt>
                <c:pt idx="128">
                  <c:v>3200</c:v>
                </c:pt>
                <c:pt idx="129">
                  <c:v>3225</c:v>
                </c:pt>
                <c:pt idx="130">
                  <c:v>3250</c:v>
                </c:pt>
                <c:pt idx="131">
                  <c:v>3275</c:v>
                </c:pt>
                <c:pt idx="132">
                  <c:v>3300</c:v>
                </c:pt>
                <c:pt idx="133">
                  <c:v>3325</c:v>
                </c:pt>
                <c:pt idx="134">
                  <c:v>3350</c:v>
                </c:pt>
                <c:pt idx="135">
                  <c:v>3375</c:v>
                </c:pt>
                <c:pt idx="136">
                  <c:v>3400</c:v>
                </c:pt>
                <c:pt idx="137">
                  <c:v>3425</c:v>
                </c:pt>
                <c:pt idx="138">
                  <c:v>3450</c:v>
                </c:pt>
                <c:pt idx="139">
                  <c:v>3475</c:v>
                </c:pt>
                <c:pt idx="140">
                  <c:v>3500</c:v>
                </c:pt>
                <c:pt idx="141">
                  <c:v>3525</c:v>
                </c:pt>
                <c:pt idx="142">
                  <c:v>3550</c:v>
                </c:pt>
                <c:pt idx="143">
                  <c:v>3575</c:v>
                </c:pt>
                <c:pt idx="144">
                  <c:v>3600</c:v>
                </c:pt>
              </c:numCache>
            </c:numRef>
          </c:cat>
          <c:val>
            <c:numRef>
              <c:f>'回归-油耗差'!$C$3:$C$147</c:f>
              <c:numCache>
                <c:formatCode>General</c:formatCode>
                <c:ptCount val="145"/>
                <c:pt idx="0">
                  <c:v>1.2659066758964901</c:v>
                </c:pt>
                <c:pt idx="1">
                  <c:v>1.2659066758964901</c:v>
                </c:pt>
                <c:pt idx="2">
                  <c:v>1.26144029603248</c:v>
                </c:pt>
                <c:pt idx="3">
                  <c:v>1.26144029603248</c:v>
                </c:pt>
                <c:pt idx="4">
                  <c:v>1.25697514101626</c:v>
                </c:pt>
                <c:pt idx="5">
                  <c:v>1.25697514101626</c:v>
                </c:pt>
                <c:pt idx="6">
                  <c:v>1.2525112111049901</c:v>
                </c:pt>
                <c:pt idx="7">
                  <c:v>1.2525112111049901</c:v>
                </c:pt>
                <c:pt idx="8">
                  <c:v>1.2480485064356901</c:v>
                </c:pt>
                <c:pt idx="9">
                  <c:v>1.2480485064356901</c:v>
                </c:pt>
                <c:pt idx="10">
                  <c:v>1.24358702726538</c:v>
                </c:pt>
                <c:pt idx="11">
                  <c:v>1.24358702726538</c:v>
                </c:pt>
                <c:pt idx="12">
                  <c:v>1.2391267737310101</c:v>
                </c:pt>
                <c:pt idx="13">
                  <c:v>1.2391267737310101</c:v>
                </c:pt>
                <c:pt idx="14">
                  <c:v>1.2346677459695801</c:v>
                </c:pt>
                <c:pt idx="15">
                  <c:v>1.2346677459695801</c:v>
                </c:pt>
                <c:pt idx="16">
                  <c:v>1.23020994431784</c:v>
                </c:pt>
                <c:pt idx="17">
                  <c:v>1.23020994431784</c:v>
                </c:pt>
                <c:pt idx="18">
                  <c:v>1.22575336883276</c:v>
                </c:pt>
                <c:pt idx="19">
                  <c:v>1.22575336883276</c:v>
                </c:pt>
                <c:pt idx="20">
                  <c:v>1.2212980197311101</c:v>
                </c:pt>
                <c:pt idx="21">
                  <c:v>1.2212980197311101</c:v>
                </c:pt>
                <c:pt idx="22">
                  <c:v>1.2168438972695499</c:v>
                </c:pt>
                <c:pt idx="23">
                  <c:v>1.2168438972695499</c:v>
                </c:pt>
                <c:pt idx="24">
                  <c:v>1.2123910016247701</c:v>
                </c:pt>
                <c:pt idx="25">
                  <c:v>1.2123910016247701</c:v>
                </c:pt>
                <c:pt idx="26">
                  <c:v>1.2079393328936401</c:v>
                </c:pt>
                <c:pt idx="27">
                  <c:v>1.2079393328936401</c:v>
                </c:pt>
                <c:pt idx="28">
                  <c:v>1.2034888913725399</c:v>
                </c:pt>
                <c:pt idx="29">
                  <c:v>1.2034888913725399</c:v>
                </c:pt>
                <c:pt idx="30">
                  <c:v>1.1990396772380501</c:v>
                </c:pt>
                <c:pt idx="31">
                  <c:v>1.1990396772380501</c:v>
                </c:pt>
                <c:pt idx="32">
                  <c:v>1.19459169058698</c:v>
                </c:pt>
                <c:pt idx="33">
                  <c:v>1.19459169058698</c:v>
                </c:pt>
                <c:pt idx="34">
                  <c:v>1.1901449317155</c:v>
                </c:pt>
                <c:pt idx="35">
                  <c:v>1.1901449317155</c:v>
                </c:pt>
                <c:pt idx="36">
                  <c:v>1.1856994008000601</c:v>
                </c:pt>
                <c:pt idx="37">
                  <c:v>1.1856994008000601</c:v>
                </c:pt>
                <c:pt idx="38">
                  <c:v>1.1812550980170999</c:v>
                </c:pt>
                <c:pt idx="39">
                  <c:v>1.1812550980170999</c:v>
                </c:pt>
                <c:pt idx="40">
                  <c:v>1.1768120235032</c:v>
                </c:pt>
                <c:pt idx="41">
                  <c:v>1.1768120235032</c:v>
                </c:pt>
                <c:pt idx="42">
                  <c:v>1.17237017751439</c:v>
                </c:pt>
                <c:pt idx="43">
                  <c:v>1.17237017751439</c:v>
                </c:pt>
                <c:pt idx="44">
                  <c:v>1.1679295602269899</c:v>
                </c:pt>
                <c:pt idx="45">
                  <c:v>1.1679295602269899</c:v>
                </c:pt>
                <c:pt idx="46">
                  <c:v>1.1634901718172901</c:v>
                </c:pt>
                <c:pt idx="47">
                  <c:v>1.1634901718172901</c:v>
                </c:pt>
                <c:pt idx="48">
                  <c:v>1.15905201250132</c:v>
                </c:pt>
                <c:pt idx="49">
                  <c:v>1.15905201250132</c:v>
                </c:pt>
                <c:pt idx="50">
                  <c:v>1.1546150824552901</c:v>
                </c:pt>
                <c:pt idx="51">
                  <c:v>1.1546150824552901</c:v>
                </c:pt>
                <c:pt idx="52">
                  <c:v>1.1501793818553501</c:v>
                </c:pt>
                <c:pt idx="53">
                  <c:v>1.1501793818553501</c:v>
                </c:pt>
                <c:pt idx="54">
                  <c:v>1.1457449109174001</c:v>
                </c:pt>
                <c:pt idx="55">
                  <c:v>1.1457449109174001</c:v>
                </c:pt>
                <c:pt idx="56">
                  <c:v>1.1413116697777901</c:v>
                </c:pt>
                <c:pt idx="57">
                  <c:v>1.1413116697777901</c:v>
                </c:pt>
                <c:pt idx="58">
                  <c:v>1.13687965869204</c:v>
                </c:pt>
                <c:pt idx="59">
                  <c:v>1.13687965869204</c:v>
                </c:pt>
                <c:pt idx="60">
                  <c:v>1.1324488778758699</c:v>
                </c:pt>
                <c:pt idx="61">
                  <c:v>1.1324488778758699</c:v>
                </c:pt>
                <c:pt idx="62">
                  <c:v>1.1280193273860999</c:v>
                </c:pt>
                <c:pt idx="63">
                  <c:v>1.1280193273860999</c:v>
                </c:pt>
                <c:pt idx="64">
                  <c:v>1.1235910075575</c:v>
                </c:pt>
                <c:pt idx="65">
                  <c:v>1.1235910075575</c:v>
                </c:pt>
                <c:pt idx="66">
                  <c:v>1.1191639184865401</c:v>
                </c:pt>
                <c:pt idx="67">
                  <c:v>1.1191639184865401</c:v>
                </c:pt>
                <c:pt idx="68">
                  <c:v>1.11473806038879</c:v>
                </c:pt>
                <c:pt idx="69">
                  <c:v>1.11473806038879</c:v>
                </c:pt>
                <c:pt idx="70">
                  <c:v>1.1103134335193801</c:v>
                </c:pt>
                <c:pt idx="71">
                  <c:v>1.1103134335193801</c:v>
                </c:pt>
                <c:pt idx="72">
                  <c:v>1.10589003793509</c:v>
                </c:pt>
                <c:pt idx="73">
                  <c:v>1.10589003793509</c:v>
                </c:pt>
                <c:pt idx="74">
                  <c:v>1.1014678739306301</c:v>
                </c:pt>
                <c:pt idx="75">
                  <c:v>1.1014678739306301</c:v>
                </c:pt>
                <c:pt idx="76">
                  <c:v>1.0970469416420601</c:v>
                </c:pt>
                <c:pt idx="77">
                  <c:v>1.0970469416420601</c:v>
                </c:pt>
                <c:pt idx="78">
                  <c:v>1.0926272413242699</c:v>
                </c:pt>
                <c:pt idx="79">
                  <c:v>1.0926272413242699</c:v>
                </c:pt>
                <c:pt idx="80">
                  <c:v>1.0882087731132599</c:v>
                </c:pt>
                <c:pt idx="81">
                  <c:v>1.0882087731132599</c:v>
                </c:pt>
                <c:pt idx="82">
                  <c:v>1.0837915371846101</c:v>
                </c:pt>
                <c:pt idx="83">
                  <c:v>1.0837915371846101</c:v>
                </c:pt>
                <c:pt idx="84">
                  <c:v>1.07937553379305</c:v>
                </c:pt>
                <c:pt idx="85">
                  <c:v>1.07937553379305</c:v>
                </c:pt>
                <c:pt idx="86">
                  <c:v>1.0749607630349201</c:v>
                </c:pt>
                <c:pt idx="87">
                  <c:v>1.0749607630349201</c:v>
                </c:pt>
                <c:pt idx="88">
                  <c:v>1.0705472252043999</c:v>
                </c:pt>
                <c:pt idx="89">
                  <c:v>1.0705472252043999</c:v>
                </c:pt>
                <c:pt idx="90">
                  <c:v>1.0661349203977899</c:v>
                </c:pt>
                <c:pt idx="91">
                  <c:v>1.0661349203977899</c:v>
                </c:pt>
                <c:pt idx="92">
                  <c:v>1.0617238489091101</c:v>
                </c:pt>
                <c:pt idx="93">
                  <c:v>1.0617238489091101</c:v>
                </c:pt>
                <c:pt idx="94">
                  <c:v>1.05731401079509</c:v>
                </c:pt>
                <c:pt idx="95">
                  <c:v>1.05731401079509</c:v>
                </c:pt>
                <c:pt idx="96">
                  <c:v>1.0529054063496399</c:v>
                </c:pt>
                <c:pt idx="97">
                  <c:v>1.0529054063496399</c:v>
                </c:pt>
                <c:pt idx="98">
                  <c:v>1.0484980357085201</c:v>
                </c:pt>
                <c:pt idx="99">
                  <c:v>1.0484980357085201</c:v>
                </c:pt>
                <c:pt idx="100">
                  <c:v>1.04409189912595</c:v>
                </c:pt>
                <c:pt idx="101">
                  <c:v>1.04409189912595</c:v>
                </c:pt>
                <c:pt idx="102">
                  <c:v>1.0396869966981399</c:v>
                </c:pt>
                <c:pt idx="103">
                  <c:v>1.0396869966981399</c:v>
                </c:pt>
                <c:pt idx="104">
                  <c:v>1.03528332871869</c:v>
                </c:pt>
                <c:pt idx="105">
                  <c:v>1.03528332871869</c:v>
                </c:pt>
                <c:pt idx="106">
                  <c:v>1.0308808952443</c:v>
                </c:pt>
                <c:pt idx="107">
                  <c:v>1.0308808952443</c:v>
                </c:pt>
                <c:pt idx="108">
                  <c:v>1.0264796965684699</c:v>
                </c:pt>
                <c:pt idx="109">
                  <c:v>1.0264796965684699</c:v>
                </c:pt>
                <c:pt idx="110">
                  <c:v>1.0220797328662099</c:v>
                </c:pt>
                <c:pt idx="111">
                  <c:v>1.0220797328662099</c:v>
                </c:pt>
                <c:pt idx="112">
                  <c:v>1.0176810043125299</c:v>
                </c:pt>
                <c:pt idx="113">
                  <c:v>1.0176810043125299</c:v>
                </c:pt>
                <c:pt idx="114">
                  <c:v>1.0132835110823899</c:v>
                </c:pt>
                <c:pt idx="115">
                  <c:v>1.0132835110823899</c:v>
                </c:pt>
                <c:pt idx="116">
                  <c:v>1.0088872534295401</c:v>
                </c:pt>
                <c:pt idx="117">
                  <c:v>1.0088872534295401</c:v>
                </c:pt>
                <c:pt idx="118">
                  <c:v>1.0044922314106699</c:v>
                </c:pt>
                <c:pt idx="119">
                  <c:v>1.0044922314106699</c:v>
                </c:pt>
                <c:pt idx="120">
                  <c:v>1.00009844535822</c:v>
                </c:pt>
                <c:pt idx="121">
                  <c:v>1.00009844535822</c:v>
                </c:pt>
                <c:pt idx="122">
                  <c:v>0.99570589532885301</c:v>
                </c:pt>
                <c:pt idx="123">
                  <c:v>0.99570589532885301</c:v>
                </c:pt>
                <c:pt idx="124">
                  <c:v>0.99131458165483899</c:v>
                </c:pt>
                <c:pt idx="125">
                  <c:v>0.99131458165483899</c:v>
                </c:pt>
                <c:pt idx="126">
                  <c:v>0.98692450443216995</c:v>
                </c:pt>
                <c:pt idx="127">
                  <c:v>0.98692450443216995</c:v>
                </c:pt>
                <c:pt idx="128">
                  <c:v>0.982535663835571</c:v>
                </c:pt>
                <c:pt idx="129">
                  <c:v>0.982535663835571</c:v>
                </c:pt>
                <c:pt idx="130">
                  <c:v>0.97814806011839095</c:v>
                </c:pt>
                <c:pt idx="131">
                  <c:v>0.97814806011839095</c:v>
                </c:pt>
                <c:pt idx="132">
                  <c:v>0.973761693415925</c:v>
                </c:pt>
                <c:pt idx="133">
                  <c:v>0.973761693415925</c:v>
                </c:pt>
                <c:pt idx="134">
                  <c:v>0.96937656398139205</c:v>
                </c:pt>
                <c:pt idx="135">
                  <c:v>0.96937656398139205</c:v>
                </c:pt>
                <c:pt idx="136">
                  <c:v>0.96499267191073301</c:v>
                </c:pt>
                <c:pt idx="137">
                  <c:v>0.96499267191073301</c:v>
                </c:pt>
                <c:pt idx="138">
                  <c:v>0.96061001745707397</c:v>
                </c:pt>
                <c:pt idx="139">
                  <c:v>0.96061001745707397</c:v>
                </c:pt>
                <c:pt idx="140">
                  <c:v>0.95622860079488803</c:v>
                </c:pt>
                <c:pt idx="141">
                  <c:v>0.95622860079488803</c:v>
                </c:pt>
                <c:pt idx="142">
                  <c:v>0.95184842209862397</c:v>
                </c:pt>
                <c:pt idx="143">
                  <c:v>0.95184842209862397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4E-421F-8F42-14068D739ECB}"/>
            </c:ext>
          </c:extLst>
        </c:ser>
        <c:ser>
          <c:idx val="2"/>
          <c:order val="2"/>
          <c:tx>
            <c:strRef>
              <c:f>'回归-油耗差'!$D$2</c:f>
              <c:strCache>
                <c:ptCount val="1"/>
                <c:pt idx="0">
                  <c:v>多弧路线</c:v>
                </c:pt>
              </c:strCache>
            </c:strRef>
          </c:tx>
          <c:spPr>
            <a:ln w="28575" cap="rnd">
              <a:solidFill>
                <a:srgbClr val="59A95A"/>
              </a:solidFill>
              <a:round/>
            </a:ln>
            <a:effectLst/>
          </c:spPr>
          <c:marker>
            <c:symbol val="none"/>
          </c:marker>
          <c:cat>
            <c:numRef>
              <c:f>'回归-油耗差'!$A$3:$A$147</c:f>
              <c:numCache>
                <c:formatCode>General</c:formatCode>
                <c:ptCount val="14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  <c:pt idx="101">
                  <c:v>2525</c:v>
                </c:pt>
                <c:pt idx="102">
                  <c:v>2550</c:v>
                </c:pt>
                <c:pt idx="103">
                  <c:v>2575</c:v>
                </c:pt>
                <c:pt idx="104">
                  <c:v>2600</c:v>
                </c:pt>
                <c:pt idx="105">
                  <c:v>2625</c:v>
                </c:pt>
                <c:pt idx="106">
                  <c:v>2650</c:v>
                </c:pt>
                <c:pt idx="107">
                  <c:v>2675</c:v>
                </c:pt>
                <c:pt idx="108">
                  <c:v>2700</c:v>
                </c:pt>
                <c:pt idx="109">
                  <c:v>2725</c:v>
                </c:pt>
                <c:pt idx="110">
                  <c:v>2750</c:v>
                </c:pt>
                <c:pt idx="111">
                  <c:v>2775</c:v>
                </c:pt>
                <c:pt idx="112">
                  <c:v>2800</c:v>
                </c:pt>
                <c:pt idx="113">
                  <c:v>2825</c:v>
                </c:pt>
                <c:pt idx="114">
                  <c:v>2850</c:v>
                </c:pt>
                <c:pt idx="115">
                  <c:v>2875</c:v>
                </c:pt>
                <c:pt idx="116">
                  <c:v>2900</c:v>
                </c:pt>
                <c:pt idx="117">
                  <c:v>2925</c:v>
                </c:pt>
                <c:pt idx="118">
                  <c:v>2950</c:v>
                </c:pt>
                <c:pt idx="119">
                  <c:v>2975</c:v>
                </c:pt>
                <c:pt idx="120">
                  <c:v>3000</c:v>
                </c:pt>
                <c:pt idx="121">
                  <c:v>3025</c:v>
                </c:pt>
                <c:pt idx="122">
                  <c:v>3050</c:v>
                </c:pt>
                <c:pt idx="123">
                  <c:v>3075</c:v>
                </c:pt>
                <c:pt idx="124">
                  <c:v>3100</c:v>
                </c:pt>
                <c:pt idx="125">
                  <c:v>3125</c:v>
                </c:pt>
                <c:pt idx="126">
                  <c:v>3150</c:v>
                </c:pt>
                <c:pt idx="127">
                  <c:v>3175</c:v>
                </c:pt>
                <c:pt idx="128">
                  <c:v>3200</c:v>
                </c:pt>
                <c:pt idx="129">
                  <c:v>3225</c:v>
                </c:pt>
                <c:pt idx="130">
                  <c:v>3250</c:v>
                </c:pt>
                <c:pt idx="131">
                  <c:v>3275</c:v>
                </c:pt>
                <c:pt idx="132">
                  <c:v>3300</c:v>
                </c:pt>
                <c:pt idx="133">
                  <c:v>3325</c:v>
                </c:pt>
                <c:pt idx="134">
                  <c:v>3350</c:v>
                </c:pt>
                <c:pt idx="135">
                  <c:v>3375</c:v>
                </c:pt>
                <c:pt idx="136">
                  <c:v>3400</c:v>
                </c:pt>
                <c:pt idx="137">
                  <c:v>3425</c:v>
                </c:pt>
                <c:pt idx="138">
                  <c:v>3450</c:v>
                </c:pt>
                <c:pt idx="139">
                  <c:v>3475</c:v>
                </c:pt>
                <c:pt idx="140">
                  <c:v>3500</c:v>
                </c:pt>
                <c:pt idx="141">
                  <c:v>3525</c:v>
                </c:pt>
                <c:pt idx="142">
                  <c:v>3550</c:v>
                </c:pt>
                <c:pt idx="143">
                  <c:v>3575</c:v>
                </c:pt>
                <c:pt idx="144">
                  <c:v>3600</c:v>
                </c:pt>
              </c:numCache>
            </c:numRef>
          </c:cat>
          <c:val>
            <c:numRef>
              <c:f>'回归-油耗差'!$D$3:$D$147</c:f>
              <c:numCache>
                <c:formatCode>General</c:formatCode>
                <c:ptCount val="145"/>
                <c:pt idx="0">
                  <c:v>1.8589331092610999</c:v>
                </c:pt>
                <c:pt idx="1">
                  <c:v>1.8589331092610999</c:v>
                </c:pt>
                <c:pt idx="2">
                  <c:v>1.8589331092610999</c:v>
                </c:pt>
                <c:pt idx="3">
                  <c:v>1.8589331092610999</c:v>
                </c:pt>
                <c:pt idx="4">
                  <c:v>1.8535245691189699</c:v>
                </c:pt>
                <c:pt idx="5">
                  <c:v>1.8535245691189699</c:v>
                </c:pt>
                <c:pt idx="6">
                  <c:v>1.7640175058356999</c:v>
                </c:pt>
                <c:pt idx="7">
                  <c:v>1.7640175058356999</c:v>
                </c:pt>
                <c:pt idx="8">
                  <c:v>1.6462272086847001</c:v>
                </c:pt>
                <c:pt idx="9">
                  <c:v>1.6462272086847001</c:v>
                </c:pt>
                <c:pt idx="10">
                  <c:v>1.52935500367314</c:v>
                </c:pt>
                <c:pt idx="11">
                  <c:v>1.52935500367314</c:v>
                </c:pt>
                <c:pt idx="12">
                  <c:v>1.41333621314785</c:v>
                </c:pt>
                <c:pt idx="13">
                  <c:v>1.41333621314785</c:v>
                </c:pt>
                <c:pt idx="14">
                  <c:v>1.2980389684345599</c:v>
                </c:pt>
                <c:pt idx="15">
                  <c:v>1.70874150514344</c:v>
                </c:pt>
                <c:pt idx="16">
                  <c:v>1.5860625474672101</c:v>
                </c:pt>
                <c:pt idx="17">
                  <c:v>1.5902667420524801</c:v>
                </c:pt>
                <c:pt idx="18">
                  <c:v>1.4641375986391301</c:v>
                </c:pt>
                <c:pt idx="19">
                  <c:v>1.4670672377711</c:v>
                </c:pt>
                <c:pt idx="20">
                  <c:v>1.33729854225407</c:v>
                </c:pt>
                <c:pt idx="21">
                  <c:v>1.3388191330774499</c:v>
                </c:pt>
                <c:pt idx="22">
                  <c:v>1.6286666437981001</c:v>
                </c:pt>
                <c:pt idx="23">
                  <c:v>1.6355138968473999</c:v>
                </c:pt>
                <c:pt idx="24">
                  <c:v>1.48548463649647</c:v>
                </c:pt>
                <c:pt idx="25">
                  <c:v>1.4885211549409201</c:v>
                </c:pt>
                <c:pt idx="26">
                  <c:v>1.36668702025547</c:v>
                </c:pt>
                <c:pt idx="27">
                  <c:v>1.36626300646957</c:v>
                </c:pt>
                <c:pt idx="28">
                  <c:v>1.3575572679278001</c:v>
                </c:pt>
                <c:pt idx="29">
                  <c:v>0.91251993592556901</c:v>
                </c:pt>
                <c:pt idx="30">
                  <c:v>0.90810214116825805</c:v>
                </c:pt>
                <c:pt idx="31">
                  <c:v>0.90355594022798602</c:v>
                </c:pt>
                <c:pt idx="32">
                  <c:v>0.89897877012934302</c:v>
                </c:pt>
                <c:pt idx="33">
                  <c:v>0.89417086833354198</c:v>
                </c:pt>
                <c:pt idx="34">
                  <c:v>0.88912612581871298</c:v>
                </c:pt>
                <c:pt idx="35">
                  <c:v>0.79764591890330305</c:v>
                </c:pt>
                <c:pt idx="36">
                  <c:v>0.52609357436612803</c:v>
                </c:pt>
                <c:pt idx="37">
                  <c:v>0.52609357436612803</c:v>
                </c:pt>
                <c:pt idx="38">
                  <c:v>0.678854857071717</c:v>
                </c:pt>
                <c:pt idx="39">
                  <c:v>0.678854857071717</c:v>
                </c:pt>
                <c:pt idx="40">
                  <c:v>0.83402923495482695</c:v>
                </c:pt>
                <c:pt idx="41">
                  <c:v>0.83402923495482695</c:v>
                </c:pt>
                <c:pt idx="42">
                  <c:v>0.65160287934664596</c:v>
                </c:pt>
                <c:pt idx="43">
                  <c:v>0.57746478294265902</c:v>
                </c:pt>
                <c:pt idx="44">
                  <c:v>0.71626155088662002</c:v>
                </c:pt>
                <c:pt idx="45">
                  <c:v>0.71938370488192005</c:v>
                </c:pt>
                <c:pt idx="46">
                  <c:v>0.85366216623100599</c:v>
                </c:pt>
                <c:pt idx="47">
                  <c:v>0.85504625314589999</c:v>
                </c:pt>
                <c:pt idx="48">
                  <c:v>0.93808690268609896</c:v>
                </c:pt>
                <c:pt idx="49">
                  <c:v>0.93845090682272303</c:v>
                </c:pt>
                <c:pt idx="50">
                  <c:v>0.74950841536284696</c:v>
                </c:pt>
                <c:pt idx="51">
                  <c:v>0.75195918737536005</c:v>
                </c:pt>
                <c:pt idx="52">
                  <c:v>0.75453657812050701</c:v>
                </c:pt>
                <c:pt idx="53">
                  <c:v>0.75711735123650603</c:v>
                </c:pt>
                <c:pt idx="54">
                  <c:v>1.14254965627575</c:v>
                </c:pt>
                <c:pt idx="55">
                  <c:v>1.1408827158002599</c:v>
                </c:pt>
                <c:pt idx="56">
                  <c:v>1.1393481253239199</c:v>
                </c:pt>
                <c:pt idx="57">
                  <c:v>1.1378072282876299</c:v>
                </c:pt>
                <c:pt idx="58">
                  <c:v>1.1363295503030599</c:v>
                </c:pt>
                <c:pt idx="59">
                  <c:v>1.1349149791661099</c:v>
                </c:pt>
                <c:pt idx="60">
                  <c:v>1.13349716727311</c:v>
                </c:pt>
                <c:pt idx="61">
                  <c:v>1.1322091059020301</c:v>
                </c:pt>
                <c:pt idx="62">
                  <c:v>1.13104879853054</c:v>
                </c:pt>
                <c:pt idx="63">
                  <c:v>1.1298855526144</c:v>
                </c:pt>
                <c:pt idx="64">
                  <c:v>1.48388820525892</c:v>
                </c:pt>
                <c:pt idx="65">
                  <c:v>1.48388820525892</c:v>
                </c:pt>
                <c:pt idx="66">
                  <c:v>1.3671838940600001</c:v>
                </c:pt>
                <c:pt idx="67">
                  <c:v>1.3671838940600001</c:v>
                </c:pt>
                <c:pt idx="68">
                  <c:v>1.66189302312692</c:v>
                </c:pt>
                <c:pt idx="69">
                  <c:v>1.6669187355400299</c:v>
                </c:pt>
                <c:pt idx="70">
                  <c:v>1.53983299598769</c:v>
                </c:pt>
                <c:pt idx="71">
                  <c:v>1.5435886109830099</c:v>
                </c:pt>
                <c:pt idx="72">
                  <c:v>1.41327875405895</c:v>
                </c:pt>
                <c:pt idx="73">
                  <c:v>1.41563419942539</c:v>
                </c:pt>
                <c:pt idx="74">
                  <c:v>1.2806964088989601</c:v>
                </c:pt>
                <c:pt idx="75">
                  <c:v>1.28150378756293</c:v>
                </c:pt>
                <c:pt idx="76">
                  <c:v>1.5697486876012701</c:v>
                </c:pt>
                <c:pt idx="77">
                  <c:v>1.5749500406915</c:v>
                </c:pt>
                <c:pt idx="78">
                  <c:v>1.41911613068385</c:v>
                </c:pt>
                <c:pt idx="79">
                  <c:v>1.42015313981921</c:v>
                </c:pt>
                <c:pt idx="80">
                  <c:v>1.3580439578146899</c:v>
                </c:pt>
                <c:pt idx="81">
                  <c:v>0.91681136858368395</c:v>
                </c:pt>
                <c:pt idx="82">
                  <c:v>0.91261559757476496</c:v>
                </c:pt>
                <c:pt idx="83">
                  <c:v>0.90819905767494702</c:v>
                </c:pt>
                <c:pt idx="84">
                  <c:v>0.90355594022798602</c:v>
                </c:pt>
                <c:pt idx="85">
                  <c:v>0.898879266870795</c:v>
                </c:pt>
                <c:pt idx="86">
                  <c:v>0.89407003247942896</c:v>
                </c:pt>
                <c:pt idx="87">
                  <c:v>0.88912612581871298</c:v>
                </c:pt>
                <c:pt idx="88">
                  <c:v>0.79774705899752696</c:v>
                </c:pt>
                <c:pt idx="89">
                  <c:v>0.46958682741776198</c:v>
                </c:pt>
                <c:pt idx="90">
                  <c:v>0.46949457987322402</c:v>
                </c:pt>
                <c:pt idx="91">
                  <c:v>0.46949457987322402</c:v>
                </c:pt>
                <c:pt idx="92">
                  <c:v>0.52609357436612803</c:v>
                </c:pt>
                <c:pt idx="93">
                  <c:v>0.52609357436612803</c:v>
                </c:pt>
                <c:pt idx="94">
                  <c:v>0.678854857071717</c:v>
                </c:pt>
                <c:pt idx="95">
                  <c:v>0.678854857071717</c:v>
                </c:pt>
                <c:pt idx="96">
                  <c:v>0.83402923495482695</c:v>
                </c:pt>
                <c:pt idx="97">
                  <c:v>0.83402923495482695</c:v>
                </c:pt>
                <c:pt idx="98">
                  <c:v>0.65160287934664596</c:v>
                </c:pt>
                <c:pt idx="99">
                  <c:v>0.57746478294265902</c:v>
                </c:pt>
                <c:pt idx="100">
                  <c:v>0.71626155088662002</c:v>
                </c:pt>
                <c:pt idx="101">
                  <c:v>0.71938370488192005</c:v>
                </c:pt>
                <c:pt idx="102">
                  <c:v>0.85366216623100599</c:v>
                </c:pt>
                <c:pt idx="103">
                  <c:v>0.85504625314589999</c:v>
                </c:pt>
                <c:pt idx="104">
                  <c:v>0.55288117304439799</c:v>
                </c:pt>
                <c:pt idx="105">
                  <c:v>0.93881987306730996</c:v>
                </c:pt>
                <c:pt idx="106">
                  <c:v>0.75072636569364204</c:v>
                </c:pt>
                <c:pt idx="107">
                  <c:v>0.75320766393131</c:v>
                </c:pt>
                <c:pt idx="108">
                  <c:v>0.75581799544530304</c:v>
                </c:pt>
                <c:pt idx="109">
                  <c:v>0.75843537409023698</c:v>
                </c:pt>
                <c:pt idx="110">
                  <c:v>0.76106940671415502</c:v>
                </c:pt>
                <c:pt idx="111">
                  <c:v>1.1377390030114101</c:v>
                </c:pt>
                <c:pt idx="112">
                  <c:v>1.1363295503030599</c:v>
                </c:pt>
                <c:pt idx="113">
                  <c:v>1.1349149791661099</c:v>
                </c:pt>
                <c:pt idx="114">
                  <c:v>1.13356340349853</c:v>
                </c:pt>
                <c:pt idx="115">
                  <c:v>1.13227471297187</c:v>
                </c:pt>
                <c:pt idx="116">
                  <c:v>1.130983804085</c:v>
                </c:pt>
                <c:pt idx="117">
                  <c:v>1.1298211544966399</c:v>
                </c:pt>
                <c:pt idx="118">
                  <c:v>1.1287848693806499</c:v>
                </c:pt>
                <c:pt idx="119">
                  <c:v>1.12774664492529</c:v>
                </c:pt>
                <c:pt idx="120">
                  <c:v>1.45753381676309</c:v>
                </c:pt>
                <c:pt idx="121">
                  <c:v>1.45753381676309</c:v>
                </c:pt>
                <c:pt idx="122">
                  <c:v>1.3420028676262401</c:v>
                </c:pt>
                <c:pt idx="123">
                  <c:v>1.3420028676262401</c:v>
                </c:pt>
                <c:pt idx="124">
                  <c:v>1.2271982754733399</c:v>
                </c:pt>
                <c:pt idx="125">
                  <c:v>1.2271982754733399</c:v>
                </c:pt>
                <c:pt idx="126">
                  <c:v>1.11326498419465</c:v>
                </c:pt>
                <c:pt idx="127">
                  <c:v>1.11326498419465</c:v>
                </c:pt>
                <c:pt idx="128">
                  <c:v>1.00007330628941</c:v>
                </c:pt>
                <c:pt idx="129">
                  <c:v>1.00007330628941</c:v>
                </c:pt>
                <c:pt idx="130">
                  <c:v>0.88769883514803904</c:v>
                </c:pt>
                <c:pt idx="131">
                  <c:v>0.88769883514803904</c:v>
                </c:pt>
                <c:pt idx="132">
                  <c:v>0.77621507582398597</c:v>
                </c:pt>
                <c:pt idx="133">
                  <c:v>0.77621507582398597</c:v>
                </c:pt>
                <c:pt idx="134">
                  <c:v>0.66542872984975898</c:v>
                </c:pt>
                <c:pt idx="135">
                  <c:v>0.66542872984975898</c:v>
                </c:pt>
                <c:pt idx="136">
                  <c:v>0.60738360014735404</c:v>
                </c:pt>
                <c:pt idx="137">
                  <c:v>0.60738360014735404</c:v>
                </c:pt>
                <c:pt idx="138">
                  <c:v>0.60731769767476995</c:v>
                </c:pt>
                <c:pt idx="139">
                  <c:v>0.60731769767476995</c:v>
                </c:pt>
                <c:pt idx="140">
                  <c:v>0.60731769767476695</c:v>
                </c:pt>
                <c:pt idx="141">
                  <c:v>0.60731769767476695</c:v>
                </c:pt>
                <c:pt idx="142">
                  <c:v>0.60731769767476995</c:v>
                </c:pt>
                <c:pt idx="143">
                  <c:v>0.60731769767476995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4E-421F-8F42-14068D739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1328480"/>
        <c:axId val="1061337632"/>
      </c:lineChart>
      <c:catAx>
        <c:axId val="1061328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/>
                  <a:t>距离（</a:t>
                </a:r>
                <a:r>
                  <a:rPr lang="en-US" altLang="zh-CN"/>
                  <a:t>m</a:t>
                </a:r>
                <a:r>
                  <a:rPr lang="zh-CN" altLang="en-US"/>
                  <a:t>）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1061337632"/>
        <c:crosses val="autoZero"/>
        <c:auto val="1"/>
        <c:lblAlgn val="ctr"/>
        <c:lblOffset val="100"/>
        <c:tickLblSkip val="16"/>
        <c:tickMarkSkip val="16"/>
        <c:noMultiLvlLbl val="0"/>
      </c:catAx>
      <c:valAx>
        <c:axId val="1061337632"/>
        <c:scaling>
          <c:orientation val="minMax"/>
          <c:min val="0.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/>
                  <a:t>阶段油耗（</a:t>
                </a:r>
                <a:r>
                  <a:rPr lang="en-US" altLang="zh-CN"/>
                  <a:t>ml</a:t>
                </a:r>
                <a:r>
                  <a:rPr lang="zh-CN" altLang="en-US"/>
                  <a:t>）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#,##0.0_ 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106132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3709358987870288"/>
          <c:y val="2.7820066419219996E-2"/>
          <c:w val="0.22179732313575526"/>
          <c:h val="0.283874824467430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 baseline="0">
          <a:solidFill>
            <a:schemeClr val="tx1"/>
          </a:solidFill>
          <a:latin typeface="Times New Roman" panose="02020603050405020304" pitchFamily="18" charset="0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212606837606834E-2"/>
          <c:y val="4.2635645902567937E-2"/>
          <c:w val="0.87350730056980053"/>
          <c:h val="0.78364523809523801"/>
        </c:manualLayout>
      </c:layout>
      <c:lineChart>
        <c:grouping val="standard"/>
        <c:varyColors val="0"/>
        <c:ser>
          <c:idx val="0"/>
          <c:order val="0"/>
          <c:tx>
            <c:strRef>
              <c:f>图10!$F$2</c:f>
              <c:strCache>
                <c:ptCount val="1"/>
                <c:pt idx="0">
                  <c:v>Actual path</c:v>
                </c:pt>
              </c:strCache>
            </c:strRef>
          </c:tx>
          <c:spPr>
            <a:ln w="28575" cap="rnd">
              <a:solidFill>
                <a:srgbClr val="070707"/>
              </a:solidFill>
              <a:round/>
            </a:ln>
            <a:effectLst/>
          </c:spPr>
          <c:marker>
            <c:symbol val="none"/>
          </c:marker>
          <c:cat>
            <c:numRef>
              <c:f>图10!$A$3:$A$147</c:f>
              <c:numCache>
                <c:formatCode>General</c:formatCode>
                <c:ptCount val="14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  <c:pt idx="101">
                  <c:v>2525</c:v>
                </c:pt>
                <c:pt idx="102">
                  <c:v>2550</c:v>
                </c:pt>
                <c:pt idx="103">
                  <c:v>2575</c:v>
                </c:pt>
                <c:pt idx="104">
                  <c:v>2600</c:v>
                </c:pt>
                <c:pt idx="105">
                  <c:v>2625</c:v>
                </c:pt>
                <c:pt idx="106">
                  <c:v>2650</c:v>
                </c:pt>
                <c:pt idx="107">
                  <c:v>2675</c:v>
                </c:pt>
                <c:pt idx="108">
                  <c:v>2700</c:v>
                </c:pt>
                <c:pt idx="109">
                  <c:v>2725</c:v>
                </c:pt>
                <c:pt idx="110">
                  <c:v>2750</c:v>
                </c:pt>
                <c:pt idx="111">
                  <c:v>2775</c:v>
                </c:pt>
                <c:pt idx="112">
                  <c:v>2800</c:v>
                </c:pt>
                <c:pt idx="113">
                  <c:v>2825</c:v>
                </c:pt>
                <c:pt idx="114">
                  <c:v>2850</c:v>
                </c:pt>
                <c:pt idx="115">
                  <c:v>2875</c:v>
                </c:pt>
                <c:pt idx="116">
                  <c:v>2900</c:v>
                </c:pt>
                <c:pt idx="117">
                  <c:v>2925</c:v>
                </c:pt>
                <c:pt idx="118">
                  <c:v>2950</c:v>
                </c:pt>
                <c:pt idx="119">
                  <c:v>2975</c:v>
                </c:pt>
                <c:pt idx="120">
                  <c:v>3000</c:v>
                </c:pt>
                <c:pt idx="121">
                  <c:v>3025</c:v>
                </c:pt>
                <c:pt idx="122">
                  <c:v>3050</c:v>
                </c:pt>
                <c:pt idx="123">
                  <c:v>3075</c:v>
                </c:pt>
                <c:pt idx="124">
                  <c:v>3100</c:v>
                </c:pt>
                <c:pt idx="125">
                  <c:v>3125</c:v>
                </c:pt>
                <c:pt idx="126">
                  <c:v>3150</c:v>
                </c:pt>
                <c:pt idx="127">
                  <c:v>3175</c:v>
                </c:pt>
                <c:pt idx="128">
                  <c:v>3200</c:v>
                </c:pt>
                <c:pt idx="129">
                  <c:v>3225</c:v>
                </c:pt>
                <c:pt idx="130">
                  <c:v>3250</c:v>
                </c:pt>
                <c:pt idx="131">
                  <c:v>3275</c:v>
                </c:pt>
                <c:pt idx="132">
                  <c:v>3300</c:v>
                </c:pt>
                <c:pt idx="133">
                  <c:v>3325</c:v>
                </c:pt>
                <c:pt idx="134">
                  <c:v>3350</c:v>
                </c:pt>
                <c:pt idx="135">
                  <c:v>3375</c:v>
                </c:pt>
                <c:pt idx="136">
                  <c:v>3400</c:v>
                </c:pt>
                <c:pt idx="137">
                  <c:v>3425</c:v>
                </c:pt>
                <c:pt idx="138">
                  <c:v>3450</c:v>
                </c:pt>
                <c:pt idx="139">
                  <c:v>3475</c:v>
                </c:pt>
                <c:pt idx="140">
                  <c:v>3500</c:v>
                </c:pt>
                <c:pt idx="141">
                  <c:v>3525</c:v>
                </c:pt>
                <c:pt idx="142">
                  <c:v>3550</c:v>
                </c:pt>
                <c:pt idx="143">
                  <c:v>3575</c:v>
                </c:pt>
                <c:pt idx="144">
                  <c:v>3600</c:v>
                </c:pt>
              </c:numCache>
            </c:numRef>
          </c:cat>
          <c:val>
            <c:numRef>
              <c:f>图10!$F$3:$F$147</c:f>
              <c:numCache>
                <c:formatCode>General</c:formatCode>
                <c:ptCount val="145"/>
                <c:pt idx="0">
                  <c:v>2.28959</c:v>
                </c:pt>
                <c:pt idx="1">
                  <c:v>4.6076899999999998</c:v>
                </c:pt>
                <c:pt idx="2">
                  <c:v>6.8884100000000004</c:v>
                </c:pt>
                <c:pt idx="3">
                  <c:v>9.0950799999999994</c:v>
                </c:pt>
                <c:pt idx="4">
                  <c:v>11.0703</c:v>
                </c:pt>
                <c:pt idx="5">
                  <c:v>12.65762</c:v>
                </c:pt>
                <c:pt idx="6">
                  <c:v>13.154987999999999</c:v>
                </c:pt>
                <c:pt idx="7">
                  <c:v>14.435338</c:v>
                </c:pt>
                <c:pt idx="8">
                  <c:v>16.055817999999999</c:v>
                </c:pt>
                <c:pt idx="9">
                  <c:v>17.657967999999997</c:v>
                </c:pt>
                <c:pt idx="10">
                  <c:v>19.179837999999997</c:v>
                </c:pt>
                <c:pt idx="11">
                  <c:v>20.701747999999995</c:v>
                </c:pt>
                <c:pt idx="12">
                  <c:v>22.215887999999996</c:v>
                </c:pt>
                <c:pt idx="13">
                  <c:v>23.730947999999998</c:v>
                </c:pt>
                <c:pt idx="14">
                  <c:v>25.219387999999999</c:v>
                </c:pt>
                <c:pt idx="15">
                  <c:v>26.696127999999998</c:v>
                </c:pt>
                <c:pt idx="16">
                  <c:v>28.207287999999998</c:v>
                </c:pt>
                <c:pt idx="17">
                  <c:v>28.688587999999999</c:v>
                </c:pt>
                <c:pt idx="18">
                  <c:v>30.245777999999998</c:v>
                </c:pt>
                <c:pt idx="19">
                  <c:v>31.731837999999996</c:v>
                </c:pt>
                <c:pt idx="20">
                  <c:v>32.185856999999999</c:v>
                </c:pt>
                <c:pt idx="21">
                  <c:v>33.733196999999997</c:v>
                </c:pt>
                <c:pt idx="22">
                  <c:v>35.197187</c:v>
                </c:pt>
                <c:pt idx="23">
                  <c:v>36.724257000000001</c:v>
                </c:pt>
                <c:pt idx="24">
                  <c:v>37.434637000000002</c:v>
                </c:pt>
                <c:pt idx="25">
                  <c:v>38.150683000000001</c:v>
                </c:pt>
                <c:pt idx="26">
                  <c:v>39.632353000000002</c:v>
                </c:pt>
                <c:pt idx="27">
                  <c:v>41.610182999999999</c:v>
                </c:pt>
                <c:pt idx="28">
                  <c:v>43.582273000000001</c:v>
                </c:pt>
                <c:pt idx="29">
                  <c:v>45.496023000000001</c:v>
                </c:pt>
                <c:pt idx="30">
                  <c:v>46.023744999999998</c:v>
                </c:pt>
                <c:pt idx="31">
                  <c:v>46.489483999999997</c:v>
                </c:pt>
                <c:pt idx="32">
                  <c:v>46.956288999999998</c:v>
                </c:pt>
                <c:pt idx="33">
                  <c:v>47.446832000000001</c:v>
                </c:pt>
                <c:pt idx="34">
                  <c:v>49.061832000000003</c:v>
                </c:pt>
                <c:pt idx="35">
                  <c:v>50.653862000000004</c:v>
                </c:pt>
                <c:pt idx="36">
                  <c:v>52.371512000000003</c:v>
                </c:pt>
                <c:pt idx="37">
                  <c:v>54.111062000000004</c:v>
                </c:pt>
                <c:pt idx="38">
                  <c:v>54.574405000000006</c:v>
                </c:pt>
                <c:pt idx="39">
                  <c:v>55.038835000000006</c:v>
                </c:pt>
                <c:pt idx="40">
                  <c:v>55.520422000000003</c:v>
                </c:pt>
                <c:pt idx="41">
                  <c:v>56.008188000000004</c:v>
                </c:pt>
                <c:pt idx="42">
                  <c:v>56.515541000000006</c:v>
                </c:pt>
                <c:pt idx="43">
                  <c:v>57.061705000000003</c:v>
                </c:pt>
                <c:pt idx="44">
                  <c:v>57.569225000000003</c:v>
                </c:pt>
                <c:pt idx="45">
                  <c:v>58.038053000000005</c:v>
                </c:pt>
                <c:pt idx="46">
                  <c:v>58.607343000000007</c:v>
                </c:pt>
                <c:pt idx="47">
                  <c:v>59.16938300000001</c:v>
                </c:pt>
                <c:pt idx="48">
                  <c:v>59.766930000000009</c:v>
                </c:pt>
                <c:pt idx="49">
                  <c:v>60.358058000000007</c:v>
                </c:pt>
                <c:pt idx="50">
                  <c:v>62.511758000000007</c:v>
                </c:pt>
                <c:pt idx="51">
                  <c:v>63.050516000000009</c:v>
                </c:pt>
                <c:pt idx="52">
                  <c:v>64.34786600000001</c:v>
                </c:pt>
                <c:pt idx="53">
                  <c:v>65.645216000000005</c:v>
                </c:pt>
                <c:pt idx="54">
                  <c:v>66.732726</c:v>
                </c:pt>
                <c:pt idx="55">
                  <c:v>67.820235999999994</c:v>
                </c:pt>
                <c:pt idx="56">
                  <c:v>68.81791299999999</c:v>
                </c:pt>
                <c:pt idx="57">
                  <c:v>69.815589999999986</c:v>
                </c:pt>
                <c:pt idx="58">
                  <c:v>70.799303999999992</c:v>
                </c:pt>
                <c:pt idx="59">
                  <c:v>72.976703999999998</c:v>
                </c:pt>
                <c:pt idx="60">
                  <c:v>74.262664000000001</c:v>
                </c:pt>
                <c:pt idx="61">
                  <c:v>74.796782000000007</c:v>
                </c:pt>
                <c:pt idx="62">
                  <c:v>75.504403000000011</c:v>
                </c:pt>
                <c:pt idx="63">
                  <c:v>76.212024000000014</c:v>
                </c:pt>
                <c:pt idx="64">
                  <c:v>76.939046000000019</c:v>
                </c:pt>
                <c:pt idx="65">
                  <c:v>77.666068000000024</c:v>
                </c:pt>
                <c:pt idx="66">
                  <c:v>78.389627000000019</c:v>
                </c:pt>
                <c:pt idx="67">
                  <c:v>79.113186000000013</c:v>
                </c:pt>
                <c:pt idx="68">
                  <c:v>79.841290000000015</c:v>
                </c:pt>
                <c:pt idx="69">
                  <c:v>80.569394000000017</c:v>
                </c:pt>
                <c:pt idx="70">
                  <c:v>81.27701500000002</c:v>
                </c:pt>
                <c:pt idx="71">
                  <c:v>81.984636000000023</c:v>
                </c:pt>
                <c:pt idx="72">
                  <c:v>82.71587700000002</c:v>
                </c:pt>
                <c:pt idx="73">
                  <c:v>83.447118000000017</c:v>
                </c:pt>
                <c:pt idx="74">
                  <c:v>84.179851000000014</c:v>
                </c:pt>
                <c:pt idx="75">
                  <c:v>84.91258400000001</c:v>
                </c:pt>
                <c:pt idx="76">
                  <c:v>85.639029000000008</c:v>
                </c:pt>
                <c:pt idx="77">
                  <c:v>86.365474000000006</c:v>
                </c:pt>
                <c:pt idx="78">
                  <c:v>87.651434000000009</c:v>
                </c:pt>
                <c:pt idx="79">
                  <c:v>88.175300000000007</c:v>
                </c:pt>
                <c:pt idx="80">
                  <c:v>88.336525000000009</c:v>
                </c:pt>
                <c:pt idx="81">
                  <c:v>88.845398000000003</c:v>
                </c:pt>
                <c:pt idx="82">
                  <c:v>89.807647000000003</c:v>
                </c:pt>
                <c:pt idx="83">
                  <c:v>90.769896000000003</c:v>
                </c:pt>
                <c:pt idx="84">
                  <c:v>91.737048000000001</c:v>
                </c:pt>
                <c:pt idx="85">
                  <c:v>92.7042</c:v>
                </c:pt>
                <c:pt idx="86">
                  <c:v>93.710970000000003</c:v>
                </c:pt>
                <c:pt idx="87">
                  <c:v>94.717740000000006</c:v>
                </c:pt>
                <c:pt idx="88">
                  <c:v>95.792450000000002</c:v>
                </c:pt>
                <c:pt idx="89">
                  <c:v>96.867159999999998</c:v>
                </c:pt>
                <c:pt idx="90">
                  <c:v>98.111540000000005</c:v>
                </c:pt>
                <c:pt idx="91">
                  <c:v>100.1362</c:v>
                </c:pt>
                <c:pt idx="92">
                  <c:v>100.67109000000001</c:v>
                </c:pt>
                <c:pt idx="93">
                  <c:v>102.77226</c:v>
                </c:pt>
                <c:pt idx="94">
                  <c:v>104.22353</c:v>
                </c:pt>
                <c:pt idx="95">
                  <c:v>104.840582</c:v>
                </c:pt>
                <c:pt idx="96">
                  <c:v>106.138882</c:v>
                </c:pt>
                <c:pt idx="97">
                  <c:v>108.154252</c:v>
                </c:pt>
                <c:pt idx="98">
                  <c:v>109.578222</c:v>
                </c:pt>
                <c:pt idx="99">
                  <c:v>111.00219199999999</c:v>
                </c:pt>
                <c:pt idx="100">
                  <c:v>113.563712</c:v>
                </c:pt>
                <c:pt idx="101">
                  <c:v>116.10502199999999</c:v>
                </c:pt>
                <c:pt idx="102">
                  <c:v>117.46382199999999</c:v>
                </c:pt>
                <c:pt idx="103">
                  <c:v>118.001362</c:v>
                </c:pt>
                <c:pt idx="104">
                  <c:v>118.52718900000001</c:v>
                </c:pt>
                <c:pt idx="105">
                  <c:v>119.04492200000001</c:v>
                </c:pt>
                <c:pt idx="106">
                  <c:v>121.67696200000002</c:v>
                </c:pt>
                <c:pt idx="107">
                  <c:v>124.27620200000001</c:v>
                </c:pt>
                <c:pt idx="108">
                  <c:v>124.91226200000001</c:v>
                </c:pt>
                <c:pt idx="109">
                  <c:v>125.52697500000001</c:v>
                </c:pt>
                <c:pt idx="110">
                  <c:v>125.97059700000001</c:v>
                </c:pt>
                <c:pt idx="111">
                  <c:v>126.41465000000001</c:v>
                </c:pt>
                <c:pt idx="112">
                  <c:v>128.89772000000002</c:v>
                </c:pt>
                <c:pt idx="113">
                  <c:v>131.19400000000002</c:v>
                </c:pt>
                <c:pt idx="114">
                  <c:v>131.22214710000003</c:v>
                </c:pt>
                <c:pt idx="115">
                  <c:v>131.65234110000003</c:v>
                </c:pt>
                <c:pt idx="116">
                  <c:v>132.38626710000003</c:v>
                </c:pt>
                <c:pt idx="117">
                  <c:v>133.34062110000002</c:v>
                </c:pt>
                <c:pt idx="118">
                  <c:v>134.33072610000002</c:v>
                </c:pt>
                <c:pt idx="119">
                  <c:v>135.32083110000002</c:v>
                </c:pt>
                <c:pt idx="120">
                  <c:v>136.30836210000001</c:v>
                </c:pt>
                <c:pt idx="121">
                  <c:v>138.45148210000002</c:v>
                </c:pt>
                <c:pt idx="122">
                  <c:v>139.17255110000002</c:v>
                </c:pt>
                <c:pt idx="123">
                  <c:v>139.89362010000002</c:v>
                </c:pt>
                <c:pt idx="124">
                  <c:v>140.66012610000001</c:v>
                </c:pt>
                <c:pt idx="125">
                  <c:v>141.42663210000001</c:v>
                </c:pt>
                <c:pt idx="126">
                  <c:v>142.15428210000002</c:v>
                </c:pt>
                <c:pt idx="127">
                  <c:v>142.88193210000003</c:v>
                </c:pt>
                <c:pt idx="128">
                  <c:v>143.60351510000004</c:v>
                </c:pt>
                <c:pt idx="129">
                  <c:v>144.32509810000005</c:v>
                </c:pt>
                <c:pt idx="130">
                  <c:v>145.05764610000006</c:v>
                </c:pt>
                <c:pt idx="131">
                  <c:v>145.79019410000006</c:v>
                </c:pt>
                <c:pt idx="132">
                  <c:v>146.49620110000006</c:v>
                </c:pt>
                <c:pt idx="133">
                  <c:v>147.20220810000006</c:v>
                </c:pt>
                <c:pt idx="134">
                  <c:v>147.90155610000005</c:v>
                </c:pt>
                <c:pt idx="135">
                  <c:v>148.60090410000004</c:v>
                </c:pt>
                <c:pt idx="136">
                  <c:v>149.32236310000005</c:v>
                </c:pt>
                <c:pt idx="137">
                  <c:v>150.04382210000006</c:v>
                </c:pt>
                <c:pt idx="138">
                  <c:v>150.44836210000005</c:v>
                </c:pt>
                <c:pt idx="139">
                  <c:v>151.16078310000006</c:v>
                </c:pt>
                <c:pt idx="140">
                  <c:v>151.57776410000005</c:v>
                </c:pt>
                <c:pt idx="141">
                  <c:v>152.00703010000007</c:v>
                </c:pt>
                <c:pt idx="142">
                  <c:v>152.73306110000007</c:v>
                </c:pt>
                <c:pt idx="143">
                  <c:v>153.45909210000008</c:v>
                </c:pt>
                <c:pt idx="144">
                  <c:v>153.45909210000008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4E-4FD8-8AC1-86238E81E803}"/>
            </c:ext>
          </c:extLst>
        </c:ser>
        <c:ser>
          <c:idx val="1"/>
          <c:order val="1"/>
          <c:tx>
            <c:strRef>
              <c:f>图10!$G$2</c:f>
              <c:strCache>
                <c:ptCount val="1"/>
                <c:pt idx="0">
                  <c:v>Multi-arc path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图10!$A$3:$A$147</c:f>
              <c:numCache>
                <c:formatCode>General</c:formatCode>
                <c:ptCount val="14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  <c:pt idx="101">
                  <c:v>2525</c:v>
                </c:pt>
                <c:pt idx="102">
                  <c:v>2550</c:v>
                </c:pt>
                <c:pt idx="103">
                  <c:v>2575</c:v>
                </c:pt>
                <c:pt idx="104">
                  <c:v>2600</c:v>
                </c:pt>
                <c:pt idx="105">
                  <c:v>2625</c:v>
                </c:pt>
                <c:pt idx="106">
                  <c:v>2650</c:v>
                </c:pt>
                <c:pt idx="107">
                  <c:v>2675</c:v>
                </c:pt>
                <c:pt idx="108">
                  <c:v>2700</c:v>
                </c:pt>
                <c:pt idx="109">
                  <c:v>2725</c:v>
                </c:pt>
                <c:pt idx="110">
                  <c:v>2750</c:v>
                </c:pt>
                <c:pt idx="111">
                  <c:v>2775</c:v>
                </c:pt>
                <c:pt idx="112">
                  <c:v>2800</c:v>
                </c:pt>
                <c:pt idx="113">
                  <c:v>2825</c:v>
                </c:pt>
                <c:pt idx="114">
                  <c:v>2850</c:v>
                </c:pt>
                <c:pt idx="115">
                  <c:v>2875</c:v>
                </c:pt>
                <c:pt idx="116">
                  <c:v>2900</c:v>
                </c:pt>
                <c:pt idx="117">
                  <c:v>2925</c:v>
                </c:pt>
                <c:pt idx="118">
                  <c:v>2950</c:v>
                </c:pt>
                <c:pt idx="119">
                  <c:v>2975</c:v>
                </c:pt>
                <c:pt idx="120">
                  <c:v>3000</c:v>
                </c:pt>
                <c:pt idx="121">
                  <c:v>3025</c:v>
                </c:pt>
                <c:pt idx="122">
                  <c:v>3050</c:v>
                </c:pt>
                <c:pt idx="123">
                  <c:v>3075</c:v>
                </c:pt>
                <c:pt idx="124">
                  <c:v>3100</c:v>
                </c:pt>
                <c:pt idx="125">
                  <c:v>3125</c:v>
                </c:pt>
                <c:pt idx="126">
                  <c:v>3150</c:v>
                </c:pt>
                <c:pt idx="127">
                  <c:v>3175</c:v>
                </c:pt>
                <c:pt idx="128">
                  <c:v>3200</c:v>
                </c:pt>
                <c:pt idx="129">
                  <c:v>3225</c:v>
                </c:pt>
                <c:pt idx="130">
                  <c:v>3250</c:v>
                </c:pt>
                <c:pt idx="131">
                  <c:v>3275</c:v>
                </c:pt>
                <c:pt idx="132">
                  <c:v>3300</c:v>
                </c:pt>
                <c:pt idx="133">
                  <c:v>3325</c:v>
                </c:pt>
                <c:pt idx="134">
                  <c:v>3350</c:v>
                </c:pt>
                <c:pt idx="135">
                  <c:v>3375</c:v>
                </c:pt>
                <c:pt idx="136">
                  <c:v>3400</c:v>
                </c:pt>
                <c:pt idx="137">
                  <c:v>3425</c:v>
                </c:pt>
                <c:pt idx="138">
                  <c:v>3450</c:v>
                </c:pt>
                <c:pt idx="139">
                  <c:v>3475</c:v>
                </c:pt>
                <c:pt idx="140">
                  <c:v>3500</c:v>
                </c:pt>
                <c:pt idx="141">
                  <c:v>3525</c:v>
                </c:pt>
                <c:pt idx="142">
                  <c:v>3550</c:v>
                </c:pt>
                <c:pt idx="143">
                  <c:v>3575</c:v>
                </c:pt>
                <c:pt idx="144">
                  <c:v>3600</c:v>
                </c:pt>
              </c:numCache>
            </c:numRef>
          </c:cat>
          <c:val>
            <c:numRef>
              <c:f>图10!$G$3:$G$147</c:f>
              <c:numCache>
                <c:formatCode>General</c:formatCode>
                <c:ptCount val="145"/>
                <c:pt idx="0">
                  <c:v>1.6112299999999999</c:v>
                </c:pt>
                <c:pt idx="1">
                  <c:v>3.2224599999999999</c:v>
                </c:pt>
                <c:pt idx="2">
                  <c:v>4.8336899999999998</c:v>
                </c:pt>
                <c:pt idx="3">
                  <c:v>6.4449199999999998</c:v>
                </c:pt>
                <c:pt idx="4">
                  <c:v>8.0555400000000006</c:v>
                </c:pt>
                <c:pt idx="5">
                  <c:v>9.6661600000000014</c:v>
                </c:pt>
                <c:pt idx="6">
                  <c:v>12.251920000000002</c:v>
                </c:pt>
                <c:pt idx="7">
                  <c:v>12.621719000000002</c:v>
                </c:pt>
                <c:pt idx="8">
                  <c:v>15.025359000000002</c:v>
                </c:pt>
                <c:pt idx="9">
                  <c:v>17.449109</c:v>
                </c:pt>
                <c:pt idx="10">
                  <c:v>18.174372999999999</c:v>
                </c:pt>
                <c:pt idx="11">
                  <c:v>18.833269999999999</c:v>
                </c:pt>
                <c:pt idx="12">
                  <c:v>21.469469999999998</c:v>
                </c:pt>
                <c:pt idx="13">
                  <c:v>22.906879999999997</c:v>
                </c:pt>
                <c:pt idx="14">
                  <c:v>23.365682999999997</c:v>
                </c:pt>
                <c:pt idx="15">
                  <c:v>23.846540999999998</c:v>
                </c:pt>
                <c:pt idx="16">
                  <c:v>24.754058999999998</c:v>
                </c:pt>
                <c:pt idx="17">
                  <c:v>26.252738999999998</c:v>
                </c:pt>
                <c:pt idx="18">
                  <c:v>27.263209</c:v>
                </c:pt>
                <c:pt idx="19">
                  <c:v>28.716649</c:v>
                </c:pt>
                <c:pt idx="20">
                  <c:v>29.234165000000001</c:v>
                </c:pt>
                <c:pt idx="21">
                  <c:v>29.739487</c:v>
                </c:pt>
                <c:pt idx="22">
                  <c:v>30.462209000000001</c:v>
                </c:pt>
                <c:pt idx="23">
                  <c:v>31.184931000000002</c:v>
                </c:pt>
                <c:pt idx="24">
                  <c:v>31.867481000000002</c:v>
                </c:pt>
                <c:pt idx="25">
                  <c:v>32.550031000000004</c:v>
                </c:pt>
                <c:pt idx="26">
                  <c:v>32.945771000000008</c:v>
                </c:pt>
                <c:pt idx="27">
                  <c:v>33.341511000000011</c:v>
                </c:pt>
                <c:pt idx="28">
                  <c:v>33.737390000000012</c:v>
                </c:pt>
                <c:pt idx="29">
                  <c:v>34.133269000000013</c:v>
                </c:pt>
                <c:pt idx="30">
                  <c:v>34.529148000000013</c:v>
                </c:pt>
                <c:pt idx="31">
                  <c:v>34.925027000000014</c:v>
                </c:pt>
                <c:pt idx="32">
                  <c:v>35.320906000000015</c:v>
                </c:pt>
                <c:pt idx="33">
                  <c:v>35.716785000000016</c:v>
                </c:pt>
                <c:pt idx="34">
                  <c:v>36.112664000000017</c:v>
                </c:pt>
                <c:pt idx="35">
                  <c:v>36.508543000000017</c:v>
                </c:pt>
                <c:pt idx="36">
                  <c:v>37.817843000000018</c:v>
                </c:pt>
                <c:pt idx="37">
                  <c:v>38.794654000000016</c:v>
                </c:pt>
                <c:pt idx="38">
                  <c:v>39.530957000000015</c:v>
                </c:pt>
                <c:pt idx="39">
                  <c:v>40.267260000000014</c:v>
                </c:pt>
                <c:pt idx="40">
                  <c:v>41.550760000000011</c:v>
                </c:pt>
                <c:pt idx="41">
                  <c:v>43.724170000000008</c:v>
                </c:pt>
                <c:pt idx="42">
                  <c:v>44.923290000000009</c:v>
                </c:pt>
                <c:pt idx="43">
                  <c:v>46.123930000000009</c:v>
                </c:pt>
                <c:pt idx="44">
                  <c:v>48.453780000000009</c:v>
                </c:pt>
                <c:pt idx="45">
                  <c:v>50.422630000000012</c:v>
                </c:pt>
                <c:pt idx="46">
                  <c:v>52.046070000000014</c:v>
                </c:pt>
                <c:pt idx="47">
                  <c:v>53.648220000000016</c:v>
                </c:pt>
                <c:pt idx="48">
                  <c:v>54.136962000000018</c:v>
                </c:pt>
                <c:pt idx="49">
                  <c:v>55.490332000000016</c:v>
                </c:pt>
                <c:pt idx="50">
                  <c:v>57.792382000000018</c:v>
                </c:pt>
                <c:pt idx="51">
                  <c:v>59.683952000000019</c:v>
                </c:pt>
                <c:pt idx="52">
                  <c:v>61.956442000000017</c:v>
                </c:pt>
                <c:pt idx="53">
                  <c:v>64.219822000000022</c:v>
                </c:pt>
                <c:pt idx="54">
                  <c:v>64.813562000000019</c:v>
                </c:pt>
                <c:pt idx="55">
                  <c:v>65.415264000000022</c:v>
                </c:pt>
                <c:pt idx="56">
                  <c:v>66.024313000000021</c:v>
                </c:pt>
                <c:pt idx="57">
                  <c:v>66.66569800000002</c:v>
                </c:pt>
                <c:pt idx="58">
                  <c:v>67.416639000000018</c:v>
                </c:pt>
                <c:pt idx="59">
                  <c:v>68.162232000000017</c:v>
                </c:pt>
                <c:pt idx="60">
                  <c:v>68.557680000000019</c:v>
                </c:pt>
                <c:pt idx="61">
                  <c:v>69.224783000000016</c:v>
                </c:pt>
                <c:pt idx="62">
                  <c:v>69.878691000000018</c:v>
                </c:pt>
                <c:pt idx="63">
                  <c:v>70.541056000000012</c:v>
                </c:pt>
                <c:pt idx="64">
                  <c:v>71.859916000000013</c:v>
                </c:pt>
                <c:pt idx="65">
                  <c:v>73.87593600000001</c:v>
                </c:pt>
                <c:pt idx="66">
                  <c:v>74.41580900000001</c:v>
                </c:pt>
                <c:pt idx="67">
                  <c:v>76.557469000000012</c:v>
                </c:pt>
                <c:pt idx="68">
                  <c:v>77.402420000000006</c:v>
                </c:pt>
                <c:pt idx="69">
                  <c:v>78.258385000000004</c:v>
                </c:pt>
                <c:pt idx="70">
                  <c:v>79.314774999999997</c:v>
                </c:pt>
                <c:pt idx="71">
                  <c:v>80.371164999999991</c:v>
                </c:pt>
                <c:pt idx="72">
                  <c:v>81.621144999999984</c:v>
                </c:pt>
                <c:pt idx="73">
                  <c:v>82.900604999999985</c:v>
                </c:pt>
                <c:pt idx="74">
                  <c:v>83.44361099999999</c:v>
                </c:pt>
                <c:pt idx="75">
                  <c:v>83.984360999999993</c:v>
                </c:pt>
                <c:pt idx="76">
                  <c:v>84.695027999999994</c:v>
                </c:pt>
                <c:pt idx="77">
                  <c:v>85.405694999999994</c:v>
                </c:pt>
                <c:pt idx="78">
                  <c:v>85.949995999999999</c:v>
                </c:pt>
                <c:pt idx="79">
                  <c:v>86.494297000000003</c:v>
                </c:pt>
                <c:pt idx="80">
                  <c:v>86.890175999999997</c:v>
                </c:pt>
                <c:pt idx="81">
                  <c:v>87.28605499999999</c:v>
                </c:pt>
                <c:pt idx="82">
                  <c:v>87.681933999999984</c:v>
                </c:pt>
                <c:pt idx="83">
                  <c:v>88.077812999999978</c:v>
                </c:pt>
                <c:pt idx="84">
                  <c:v>88.473691999999971</c:v>
                </c:pt>
                <c:pt idx="85">
                  <c:v>88.869570999999965</c:v>
                </c:pt>
                <c:pt idx="86">
                  <c:v>89.265449999999959</c:v>
                </c:pt>
                <c:pt idx="87">
                  <c:v>89.661328999999952</c:v>
                </c:pt>
                <c:pt idx="88">
                  <c:v>90.057207999999946</c:v>
                </c:pt>
                <c:pt idx="89">
                  <c:v>90.45308699999994</c:v>
                </c:pt>
                <c:pt idx="90">
                  <c:v>90.848965999999933</c:v>
                </c:pt>
                <c:pt idx="91">
                  <c:v>91.244844999999927</c:v>
                </c:pt>
                <c:pt idx="92">
                  <c:v>92.55414499999992</c:v>
                </c:pt>
                <c:pt idx="93">
                  <c:v>93.530955999999918</c:v>
                </c:pt>
                <c:pt idx="94">
                  <c:v>94.267258999999925</c:v>
                </c:pt>
                <c:pt idx="95">
                  <c:v>95.003561999999931</c:v>
                </c:pt>
                <c:pt idx="96">
                  <c:v>96.287061999999935</c:v>
                </c:pt>
                <c:pt idx="97">
                  <c:v>98.460471999999939</c:v>
                </c:pt>
                <c:pt idx="98">
                  <c:v>99.659591999999932</c:v>
                </c:pt>
                <c:pt idx="99">
                  <c:v>100.86023199999994</c:v>
                </c:pt>
                <c:pt idx="100">
                  <c:v>103.19008199999993</c:v>
                </c:pt>
                <c:pt idx="101">
                  <c:v>105.15893199999994</c:v>
                </c:pt>
                <c:pt idx="102">
                  <c:v>106.78237199999994</c:v>
                </c:pt>
                <c:pt idx="103">
                  <c:v>108.38452199999993</c:v>
                </c:pt>
                <c:pt idx="104">
                  <c:v>108.87326399999993</c:v>
                </c:pt>
                <c:pt idx="105">
                  <c:v>110.22663399999993</c:v>
                </c:pt>
                <c:pt idx="106">
                  <c:v>112.52868399999993</c:v>
                </c:pt>
                <c:pt idx="107">
                  <c:v>114.80238399999993</c:v>
                </c:pt>
                <c:pt idx="108">
                  <c:v>117.06362399999993</c:v>
                </c:pt>
                <c:pt idx="109">
                  <c:v>119.31959399999994</c:v>
                </c:pt>
                <c:pt idx="110">
                  <c:v>119.91070399999994</c:v>
                </c:pt>
                <c:pt idx="111">
                  <c:v>122.16667399999994</c:v>
                </c:pt>
                <c:pt idx="112">
                  <c:v>122.75778399999994</c:v>
                </c:pt>
                <c:pt idx="113">
                  <c:v>125.01375399999995</c:v>
                </c:pt>
                <c:pt idx="114">
                  <c:v>125.60486399999995</c:v>
                </c:pt>
                <c:pt idx="115">
                  <c:v>127.86083399999995</c:v>
                </c:pt>
                <c:pt idx="116">
                  <c:v>128.45194399999994</c:v>
                </c:pt>
                <c:pt idx="117">
                  <c:v>130.70791399999993</c:v>
                </c:pt>
                <c:pt idx="118">
                  <c:v>131.29902399999992</c:v>
                </c:pt>
                <c:pt idx="119">
                  <c:v>131.89792899999992</c:v>
                </c:pt>
                <c:pt idx="120">
                  <c:v>132.42353099999991</c:v>
                </c:pt>
                <c:pt idx="121">
                  <c:v>133.00943599999991</c:v>
                </c:pt>
                <c:pt idx="122">
                  <c:v>133.5477799999999</c:v>
                </c:pt>
                <c:pt idx="123">
                  <c:v>134.0872359999999</c:v>
                </c:pt>
                <c:pt idx="124">
                  <c:v>134.5433459999999</c:v>
                </c:pt>
                <c:pt idx="125">
                  <c:v>135.0123419999999</c:v>
                </c:pt>
                <c:pt idx="126">
                  <c:v>135.0412040999999</c:v>
                </c:pt>
                <c:pt idx="127">
                  <c:v>135.07497789999991</c:v>
                </c:pt>
                <c:pt idx="128">
                  <c:v>136.03722689999992</c:v>
                </c:pt>
                <c:pt idx="129">
                  <c:v>136.99947589999994</c:v>
                </c:pt>
                <c:pt idx="130">
                  <c:v>138.34010589999994</c:v>
                </c:pt>
                <c:pt idx="131">
                  <c:v>138.85840689999995</c:v>
                </c:pt>
                <c:pt idx="132">
                  <c:v>139.58614089999995</c:v>
                </c:pt>
                <c:pt idx="133">
                  <c:v>140.31387489999995</c:v>
                </c:pt>
                <c:pt idx="134">
                  <c:v>140.78859089999995</c:v>
                </c:pt>
                <c:pt idx="135">
                  <c:v>141.26330689999995</c:v>
                </c:pt>
                <c:pt idx="136">
                  <c:v>141.55300089999994</c:v>
                </c:pt>
                <c:pt idx="137">
                  <c:v>141.84269489999994</c:v>
                </c:pt>
                <c:pt idx="138">
                  <c:v>142.13238889999994</c:v>
                </c:pt>
                <c:pt idx="139">
                  <c:v>142.42208289999994</c:v>
                </c:pt>
                <c:pt idx="140">
                  <c:v>142.71177689999993</c:v>
                </c:pt>
                <c:pt idx="141">
                  <c:v>143.00147089999993</c:v>
                </c:pt>
                <c:pt idx="142">
                  <c:v>143.29116489999993</c:v>
                </c:pt>
                <c:pt idx="143">
                  <c:v>143.58085889999992</c:v>
                </c:pt>
                <c:pt idx="144">
                  <c:v>143.58085889999992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4E-4FD8-8AC1-86238E81E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1330976"/>
        <c:axId val="1061329312"/>
      </c:lineChart>
      <c:catAx>
        <c:axId val="1061330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en-US" altLang="zh-CN" sz="1200"/>
                  <a:t>Distance (m)</a:t>
                </a:r>
                <a:endParaRPr lang="zh-CN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1061329312"/>
        <c:crossesAt val="0"/>
        <c:auto val="1"/>
        <c:lblAlgn val="ctr"/>
        <c:lblOffset val="100"/>
        <c:tickLblSkip val="16"/>
        <c:tickMarkSkip val="16"/>
        <c:noMultiLvlLbl val="0"/>
      </c:catAx>
      <c:valAx>
        <c:axId val="10613293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en-US" altLang="zh-CN" sz="1200"/>
                  <a:t>Total fuel consumption for trip (ml)</a:t>
                </a:r>
                <a:endParaRPr lang="zh-CN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106133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938034188034189E-2"/>
          <c:y val="6.6375796137521786E-2"/>
          <c:w val="0.21483262108262108"/>
          <c:h val="0.189438384472201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 baseline="0">
          <a:solidFill>
            <a:schemeClr val="tx1"/>
          </a:solidFill>
          <a:latin typeface="Times New Roman" panose="02020603050405020304" pitchFamily="18" charset="0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5900894765438882E-2"/>
          <c:y val="4.7019311502938706E-2"/>
          <c:w val="0.92427860076699286"/>
          <c:h val="0.9261125104953820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'回归-油耗差'!$H$3:$H$146</c:f>
              <c:numCache>
                <c:formatCode>General</c:formatCode>
                <c:ptCount val="144"/>
                <c:pt idx="0">
                  <c:v>0.78980273969272985</c:v>
                </c:pt>
                <c:pt idx="1">
                  <c:v>1.5796054793854597</c:v>
                </c:pt>
                <c:pt idx="2">
                  <c:v>2.3353179708857295</c:v>
                </c:pt>
                <c:pt idx="3">
                  <c:v>3.0910304623859997</c:v>
                </c:pt>
                <c:pt idx="4">
                  <c:v>3.7261894050507793</c:v>
                </c:pt>
                <c:pt idx="5">
                  <c:v>4.3613483477155581</c:v>
                </c:pt>
                <c:pt idx="6">
                  <c:v>4.8206168403199978</c:v>
                </c:pt>
                <c:pt idx="7">
                  <c:v>5.2798853329244366</c:v>
                </c:pt>
                <c:pt idx="8">
                  <c:v>5.7838319359301256</c:v>
                </c:pt>
                <c:pt idx="9">
                  <c:v>6.2877785389358145</c:v>
                </c:pt>
                <c:pt idx="10">
                  <c:v>6.5920612316488931</c:v>
                </c:pt>
                <c:pt idx="11">
                  <c:v>6.8963439243619717</c:v>
                </c:pt>
                <c:pt idx="12">
                  <c:v>7.0891388844609029</c:v>
                </c:pt>
                <c:pt idx="13">
                  <c:v>7.2819338445598341</c:v>
                </c:pt>
                <c:pt idx="14">
                  <c:v>7.3610728265969456</c:v>
                </c:pt>
                <c:pt idx="15">
                  <c:v>7.850914345342936</c:v>
                </c:pt>
                <c:pt idx="16">
                  <c:v>8.1489003360969576</c:v>
                </c:pt>
                <c:pt idx="17">
                  <c:v>8.4510905214362495</c:v>
                </c:pt>
                <c:pt idx="18">
                  <c:v>8.7323206088230414</c:v>
                </c:pt>
                <c:pt idx="19">
                  <c:v>9.0164803353418037</c:v>
                </c:pt>
                <c:pt idx="20">
                  <c:v>9.1470143631597303</c:v>
                </c:pt>
                <c:pt idx="21">
                  <c:v>9.2790689818010392</c:v>
                </c:pt>
                <c:pt idx="22">
                  <c:v>9.6857913924280687</c:v>
                </c:pt>
                <c:pt idx="23">
                  <c:v>10.099361056104399</c:v>
                </c:pt>
                <c:pt idx="24">
                  <c:v>10.421191424205112</c:v>
                </c:pt>
                <c:pt idx="25">
                  <c:v>10.746058310750271</c:v>
                </c:pt>
                <c:pt idx="26">
                  <c:v>10.910590292216241</c:v>
                </c:pt>
                <c:pt idx="27">
                  <c:v>11.074698259896316</c:v>
                </c:pt>
                <c:pt idx="28">
                  <c:v>11.270909156143489</c:v>
                </c:pt>
                <c:pt idx="29">
                  <c:v>11.022082720388426</c:v>
                </c:pt>
                <c:pt idx="30">
                  <c:v>10.60606778863189</c:v>
                </c:pt>
                <c:pt idx="31">
                  <c:v>10.185506655935086</c:v>
                </c:pt>
                <c:pt idx="32">
                  <c:v>9.8631996839994045</c:v>
                </c:pt>
                <c:pt idx="33">
                  <c:v>9.5360848102679157</c:v>
                </c:pt>
                <c:pt idx="34">
                  <c:v>9.1342741326376284</c:v>
                </c:pt>
                <c:pt idx="35">
                  <c:v>8.6409832480919349</c:v>
                </c:pt>
                <c:pt idx="36">
                  <c:v>7.9024917141768469</c:v>
                </c:pt>
                <c:pt idx="37">
                  <c:v>7.164000180261759</c:v>
                </c:pt>
                <c:pt idx="38">
                  <c:v>6.5034294436755999</c:v>
                </c:pt>
                <c:pt idx="39">
                  <c:v>5.8428587070894409</c:v>
                </c:pt>
                <c:pt idx="40">
                  <c:v>5.2961781870775937</c:v>
                </c:pt>
                <c:pt idx="41">
                  <c:v>4.7494976670657465</c:v>
                </c:pt>
                <c:pt idx="42">
                  <c:v>4.0703604544325032</c:v>
                </c:pt>
                <c:pt idx="43">
                  <c:v>3.3170851453952679</c:v>
                </c:pt>
                <c:pt idx="44">
                  <c:v>2.7312978875437679</c:v>
                </c:pt>
                <c:pt idx="45">
                  <c:v>2.1486327836875674</c:v>
                </c:pt>
                <c:pt idx="46">
                  <c:v>1.6362762541140796</c:v>
                </c:pt>
                <c:pt idx="47">
                  <c:v>1.1253038114554883</c:v>
                </c:pt>
                <c:pt idx="48">
                  <c:v>0.70229467155370173</c:v>
                </c:pt>
                <c:pt idx="49">
                  <c:v>0.27964953578853624</c:v>
                </c:pt>
                <c:pt idx="50">
                  <c:v>-0.35294785280174779</c:v>
                </c:pt>
                <c:pt idx="51">
                  <c:v>-0.98309446937952316</c:v>
                </c:pt>
                <c:pt idx="52">
                  <c:v>-1.9023861889580473</c:v>
                </c:pt>
                <c:pt idx="53">
                  <c:v>-2.8241825574576893</c:v>
                </c:pt>
                <c:pt idx="54">
                  <c:v>-3.2608952967619729</c:v>
                </c:pt>
                <c:pt idx="55">
                  <c:v>-3.7034267207548197</c:v>
                </c:pt>
                <c:pt idx="56">
                  <c:v>-4.0681648964096695</c:v>
                </c:pt>
                <c:pt idx="57">
                  <c:v>-4.4378097527970795</c:v>
                </c:pt>
                <c:pt idx="58">
                  <c:v>-4.6678895661025024</c:v>
                </c:pt>
                <c:pt idx="59">
                  <c:v>-4.9012127461674879</c:v>
                </c:pt>
                <c:pt idx="60">
                  <c:v>-5.4803581330220368</c:v>
                </c:pt>
                <c:pt idx="61">
                  <c:v>-5.627386989360204</c:v>
                </c:pt>
                <c:pt idx="62">
                  <c:v>-6.1184842182898649</c:v>
                </c:pt>
                <c:pt idx="63">
                  <c:v>-6.6171527206658851</c:v>
                </c:pt>
                <c:pt idx="64">
                  <c:v>-6.7124310607846382</c:v>
                </c:pt>
                <c:pt idx="65">
                  <c:v>-6.3602364331582208</c:v>
                </c:pt>
                <c:pt idx="66">
                  <c:v>-6.1458228757852709</c:v>
                </c:pt>
                <c:pt idx="67">
                  <c:v>-5.9302759555449995</c:v>
                </c:pt>
                <c:pt idx="68">
                  <c:v>-5.3959703634589289</c:v>
                </c:pt>
                <c:pt idx="69">
                  <c:v>-4.8550851230370142</c:v>
                </c:pt>
                <c:pt idx="70">
                  <c:v>-4.506827828220807</c:v>
                </c:pt>
                <c:pt idx="71">
                  <c:v>-4.1540017284106767</c:v>
                </c:pt>
                <c:pt idx="72">
                  <c:v>-3.9146575313942407</c:v>
                </c:pt>
                <c:pt idx="73">
                  <c:v>-3.6718215560226497</c:v>
                </c:pt>
                <c:pt idx="74">
                  <c:v>-3.5344651590963849</c:v>
                </c:pt>
                <c:pt idx="75">
                  <c:v>-3.3022800086167763</c:v>
                </c:pt>
                <c:pt idx="76">
                  <c:v>-2.4704123333459052</c:v>
                </c:pt>
                <c:pt idx="77">
                  <c:v>-1.6333433049848054</c:v>
                </c:pt>
                <c:pt idx="78">
                  <c:v>-1.0159154433261506</c:v>
                </c:pt>
                <c:pt idx="79">
                  <c:v>-0.39745057253213645</c:v>
                </c:pt>
                <c:pt idx="80">
                  <c:v>6.7577691324743228E-2</c:v>
                </c:pt>
                <c:pt idx="81">
                  <c:v>9.1373365950616403E-2</c:v>
                </c:pt>
                <c:pt idx="82">
                  <c:v>4.8019705192686502E-2</c:v>
                </c:pt>
                <c:pt idx="83">
                  <c:v>0.33493761055242999</c:v>
                </c:pt>
                <c:pt idx="84">
                  <c:v>0.59989108856318296</c:v>
                </c:pt>
                <c:pt idx="85">
                  <c:v>0.85603201927837347</c:v>
                </c:pt>
                <c:pt idx="86">
                  <c:v>1.126127475886662</c:v>
                </c:pt>
                <c:pt idx="87">
                  <c:v>1.3870120749621719</c:v>
                </c:pt>
                <c:pt idx="88">
                  <c:v>1.3961606600026357</c:v>
                </c:pt>
                <c:pt idx="89">
                  <c:v>1.074971268834247</c:v>
                </c:pt>
                <c:pt idx="90">
                  <c:v>0.69359087146926868</c:v>
                </c:pt>
                <c:pt idx="91">
                  <c:v>0.31079794058682353</c:v>
                </c:pt>
                <c:pt idx="92">
                  <c:v>-0.13504085472864347</c:v>
                </c:pt>
                <c:pt idx="93">
                  <c:v>-0.58088094809811253</c:v>
                </c:pt>
                <c:pt idx="94">
                  <c:v>-0.91049967044646962</c:v>
                </c:pt>
                <c:pt idx="95">
                  <c:v>-1.2397391837697995</c:v>
                </c:pt>
                <c:pt idx="96">
                  <c:v>-1.1581034991066161</c:v>
                </c:pt>
                <c:pt idx="97">
                  <c:v>-1.079154156668622</c:v>
                </c:pt>
                <c:pt idx="98">
                  <c:v>-1.4733914309704801</c:v>
                </c:pt>
                <c:pt idx="99">
                  <c:v>-1.941144691780238</c:v>
                </c:pt>
                <c:pt idx="100">
                  <c:v>-2.2565413785744681</c:v>
                </c:pt>
                <c:pt idx="101">
                  <c:v>-2.5684028573087403</c:v>
                </c:pt>
                <c:pt idx="102">
                  <c:v>-2.6661523990804028</c:v>
                </c:pt>
                <c:pt idx="103">
                  <c:v>-2.7629580437967149</c:v>
                </c:pt>
                <c:pt idx="104">
                  <c:v>-3.150551995920452</c:v>
                </c:pt>
                <c:pt idx="105">
                  <c:v>-3.1527941473888035</c:v>
                </c:pt>
                <c:pt idx="106">
                  <c:v>-3.4101732786430006</c:v>
                </c:pt>
                <c:pt idx="107">
                  <c:v>-3.6650766274824491</c:v>
                </c:pt>
                <c:pt idx="108">
                  <c:v>-3.9218658186206881</c:v>
                </c:pt>
                <c:pt idx="109">
                  <c:v>-4.5550375012343665</c:v>
                </c:pt>
                <c:pt idx="110">
                  <c:v>-5.0947563021190376</c:v>
                </c:pt>
                <c:pt idx="111">
                  <c:v>-5.2578055067064611</c:v>
                </c:pt>
                <c:pt idx="112">
                  <c:v>-5.3442409430706732</c:v>
                </c:pt>
                <c:pt idx="113">
                  <c:v>-5.4320909505718333</c:v>
                </c:pt>
                <c:pt idx="114">
                  <c:v>-5.4329216633797159</c:v>
                </c:pt>
                <c:pt idx="115">
                  <c:v>-5.4350410667142626</c:v>
                </c:pt>
                <c:pt idx="116">
                  <c:v>-5.2776824773452518</c:v>
                </c:pt>
                <c:pt idx="117">
                  <c:v>-5.1214865375645786</c:v>
                </c:pt>
                <c:pt idx="118">
                  <c:v>-4.9661500618588548</c:v>
                </c:pt>
                <c:pt idx="119">
                  <c:v>-4.8118518106084878</c:v>
                </c:pt>
                <c:pt idx="120">
                  <c:v>-4.3286353400775965</c:v>
                </c:pt>
                <c:pt idx="121">
                  <c:v>-3.8454188695467053</c:v>
                </c:pt>
                <c:pt idx="122">
                  <c:v>-3.7351536968633638</c:v>
                </c:pt>
                <c:pt idx="123">
                  <c:v>-3.2605197463093987</c:v>
                </c:pt>
                <c:pt idx="124">
                  <c:v>-3.1936777389450697</c:v>
                </c:pt>
                <c:pt idx="125">
                  <c:v>-3.1265481457408271</c:v>
                </c:pt>
                <c:pt idx="126">
                  <c:v>-2.8439091714967901</c:v>
                </c:pt>
                <c:pt idx="127">
                  <c:v>-2.5612701972527532</c:v>
                </c:pt>
                <c:pt idx="128">
                  <c:v>-2.3806444808437845</c:v>
                </c:pt>
                <c:pt idx="129">
                  <c:v>-2.2000187644348159</c:v>
                </c:pt>
                <c:pt idx="130">
                  <c:v>-2.0988790545537199</c:v>
                </c:pt>
                <c:pt idx="131">
                  <c:v>-1.9977393446726239</c:v>
                </c:pt>
                <c:pt idx="132">
                  <c:v>-2.0746982552572035</c:v>
                </c:pt>
                <c:pt idx="133">
                  <c:v>-2.1516571658417831</c:v>
                </c:pt>
                <c:pt idx="134">
                  <c:v>-2.3368407830184879</c:v>
                </c:pt>
                <c:pt idx="135">
                  <c:v>-2.5220244001951926</c:v>
                </c:pt>
                <c:pt idx="136">
                  <c:v>-2.6812585001029277</c:v>
                </c:pt>
                <c:pt idx="137">
                  <c:v>-2.8404926000106627</c:v>
                </c:pt>
                <c:pt idx="138">
                  <c:v>-2.9591459774501061</c:v>
                </c:pt>
                <c:pt idx="139">
                  <c:v>-3.0777993548895495</c:v>
                </c:pt>
                <c:pt idx="140">
                  <c:v>-3.2827575319280697</c:v>
                </c:pt>
                <c:pt idx="141">
                  <c:v>-3.16908642376535</c:v>
                </c:pt>
                <c:pt idx="142">
                  <c:v>-3.0266280561138785</c:v>
                </c:pt>
                <c:pt idx="143">
                  <c:v>-2.8892879951407622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53-40AF-9B17-703440BC1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1319744"/>
        <c:axId val="1061330560"/>
      </c:lineChart>
      <c:catAx>
        <c:axId val="106131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1330560"/>
        <c:crosses val="autoZero"/>
        <c:auto val="1"/>
        <c:lblAlgn val="ctr"/>
        <c:lblOffset val="100"/>
        <c:noMultiLvlLbl val="0"/>
      </c:catAx>
      <c:valAx>
        <c:axId val="106133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131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128587</xdr:colOff>
      <xdr:row>11</xdr:row>
      <xdr:rowOff>152400</xdr:rowOff>
    </xdr:from>
    <xdr:to>
      <xdr:col>14</xdr:col>
      <xdr:colOff>258187</xdr:colOff>
      <xdr:row>26</xdr:row>
      <xdr:rowOff>33337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47625</xdr:colOff>
      <xdr:row>27</xdr:row>
      <xdr:rowOff>38100</xdr:rowOff>
    </xdr:from>
    <xdr:to>
      <xdr:col>22</xdr:col>
      <xdr:colOff>177225</xdr:colOff>
      <xdr:row>41</xdr:row>
      <xdr:rowOff>100012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434067</xdr:colOff>
      <xdr:row>3</xdr:row>
      <xdr:rowOff>131989</xdr:rowOff>
    </xdr:from>
    <xdr:to>
      <xdr:col>20</xdr:col>
      <xdr:colOff>563668</xdr:colOff>
      <xdr:row>18</xdr:row>
      <xdr:rowOff>17009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600074</xdr:colOff>
      <xdr:row>2</xdr:row>
      <xdr:rowOff>123825</xdr:rowOff>
    </xdr:from>
    <xdr:to>
      <xdr:col>20</xdr:col>
      <xdr:colOff>43874</xdr:colOff>
      <xdr:row>17</xdr:row>
      <xdr:rowOff>166687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457201</xdr:colOff>
      <xdr:row>18</xdr:row>
      <xdr:rowOff>123825</xdr:rowOff>
    </xdr:from>
    <xdr:to>
      <xdr:col>16</xdr:col>
      <xdr:colOff>586801</xdr:colOff>
      <xdr:row>32</xdr:row>
      <xdr:rowOff>110175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342900</xdr:colOff>
      <xdr:row>24</xdr:row>
      <xdr:rowOff>158115</xdr:rowOff>
    </xdr:from>
    <xdr:to>
      <xdr:col>6</xdr:col>
      <xdr:colOff>600075</xdr:colOff>
      <xdr:row>35</xdr:row>
      <xdr:rowOff>148590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223837</xdr:colOff>
      <xdr:row>7</xdr:row>
      <xdr:rowOff>28575</xdr:rowOff>
    </xdr:from>
    <xdr:to>
      <xdr:col>16</xdr:col>
      <xdr:colOff>353437</xdr:colOff>
      <xdr:row>21</xdr:row>
      <xdr:rowOff>90487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180975</xdr:colOff>
      <xdr:row>23</xdr:row>
      <xdr:rowOff>57150</xdr:rowOff>
    </xdr:from>
    <xdr:to>
      <xdr:col>17</xdr:col>
      <xdr:colOff>310575</xdr:colOff>
      <xdr:row>37</xdr:row>
      <xdr:rowOff>119062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8</xdr:row>
      <xdr:rowOff>0</xdr:rowOff>
    </xdr:from>
    <xdr:to>
      <xdr:col>25</xdr:col>
      <xdr:colOff>129599</xdr:colOff>
      <xdr:row>22</xdr:row>
      <xdr:rowOff>61912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600074</xdr:colOff>
      <xdr:row>2</xdr:row>
      <xdr:rowOff>123825</xdr:rowOff>
    </xdr:from>
    <xdr:to>
      <xdr:col>20</xdr:col>
      <xdr:colOff>43874</xdr:colOff>
      <xdr:row>17</xdr:row>
      <xdr:rowOff>166687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76200</xdr:colOff>
      <xdr:row>0</xdr:row>
      <xdr:rowOff>137160</xdr:rowOff>
    </xdr:from>
    <xdr:to>
      <xdr:col>15</xdr:col>
      <xdr:colOff>266700</xdr:colOff>
      <xdr:row>24</xdr:row>
      <xdr:rowOff>129540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647700</xdr:colOff>
      <xdr:row>26</xdr:row>
      <xdr:rowOff>28575</xdr:rowOff>
    </xdr:from>
    <xdr:to>
      <xdr:col>12</xdr:col>
      <xdr:colOff>257175</xdr:colOff>
      <xdr:row>37</xdr:row>
      <xdr:rowOff>19050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47"/>
  <sheetViews>
    <sheetView topLeftCell="A58" zoomScale="115" zoomScaleNormal="115" workbookViewId="0">
      <selection activeCell="K2" sqref="K2"/>
    </sheetView>
  </sheetViews>
  <sheetFormatPr defaultRowHeight="14" x14ac:dyDescent="0.3"/>
  <sheetData>
    <row r="2" spans="1:14" x14ac:dyDescent="0.3">
      <c r="B2" t="s">
        <v>9</v>
      </c>
      <c r="C2" t="s">
        <v>0</v>
      </c>
      <c r="D2" s="1" t="s">
        <v>1</v>
      </c>
      <c r="E2" s="1" t="s">
        <v>2</v>
      </c>
      <c r="F2" s="1" t="s">
        <v>3</v>
      </c>
      <c r="G2" t="s">
        <v>0</v>
      </c>
      <c r="H2" s="1" t="s">
        <v>1</v>
      </c>
      <c r="I2" s="1" t="s">
        <v>2</v>
      </c>
      <c r="J2" t="s">
        <v>8</v>
      </c>
      <c r="K2" s="1" t="s">
        <v>4</v>
      </c>
      <c r="L2" s="1" t="s">
        <v>5</v>
      </c>
      <c r="M2" s="1" t="s">
        <v>6</v>
      </c>
      <c r="N2" t="s">
        <v>9</v>
      </c>
    </row>
    <row r="3" spans="1:14" x14ac:dyDescent="0.3">
      <c r="A3">
        <v>0</v>
      </c>
      <c r="B3">
        <v>25.995999999999999</v>
      </c>
      <c r="C3">
        <v>25</v>
      </c>
      <c r="D3">
        <v>25</v>
      </c>
      <c r="E3">
        <v>25</v>
      </c>
      <c r="F3">
        <v>25.995999999999999</v>
      </c>
      <c r="G3">
        <v>25</v>
      </c>
      <c r="H3">
        <v>25</v>
      </c>
      <c r="I3">
        <v>25</v>
      </c>
      <c r="J3">
        <f>C3*3.6</f>
        <v>90</v>
      </c>
      <c r="K3">
        <f t="shared" ref="K3:L3" si="0">D3*3.6</f>
        <v>90</v>
      </c>
      <c r="L3">
        <f t="shared" si="0"/>
        <v>90</v>
      </c>
      <c r="M3">
        <f>F3*3.6</f>
        <v>93.585599999999999</v>
      </c>
      <c r="N3">
        <f>B3*3.6</f>
        <v>93.585599999999999</v>
      </c>
    </row>
    <row r="4" spans="1:14" x14ac:dyDescent="0.3">
      <c r="A4">
        <v>25</v>
      </c>
      <c r="B4">
        <v>26.247900000000001</v>
      </c>
      <c r="C4">
        <v>25</v>
      </c>
      <c r="D4">
        <v>25</v>
      </c>
      <c r="E4">
        <v>25</v>
      </c>
      <c r="F4">
        <v>26.247900000000001</v>
      </c>
      <c r="G4">
        <v>25</v>
      </c>
      <c r="H4">
        <v>25</v>
      </c>
      <c r="I4">
        <v>25</v>
      </c>
      <c r="J4">
        <f t="shared" ref="J4:J67" si="1">C4*3.6</f>
        <v>90</v>
      </c>
      <c r="K4">
        <f t="shared" ref="K4:K67" si="2">D4*3.6</f>
        <v>90</v>
      </c>
      <c r="L4">
        <f t="shared" ref="L4:L67" si="3">E4*3.6</f>
        <v>90</v>
      </c>
      <c r="M4">
        <f t="shared" ref="M4:M67" si="4">F4*3.6</f>
        <v>94.492440000000002</v>
      </c>
      <c r="N4">
        <f t="shared" ref="N4:N67" si="5">B4*3.6</f>
        <v>94.492440000000002</v>
      </c>
    </row>
    <row r="5" spans="1:14" x14ac:dyDescent="0.3">
      <c r="A5">
        <v>50</v>
      </c>
      <c r="B5">
        <v>26.609100000000002</v>
      </c>
      <c r="C5">
        <v>25</v>
      </c>
      <c r="D5">
        <v>25</v>
      </c>
      <c r="E5">
        <v>25</v>
      </c>
      <c r="F5">
        <v>26.609100000000002</v>
      </c>
      <c r="G5">
        <v>25</v>
      </c>
      <c r="H5">
        <v>25</v>
      </c>
      <c r="I5">
        <v>25</v>
      </c>
      <c r="J5">
        <f t="shared" si="1"/>
        <v>90</v>
      </c>
      <c r="K5">
        <f t="shared" si="2"/>
        <v>90</v>
      </c>
      <c r="L5">
        <f t="shared" si="3"/>
        <v>90</v>
      </c>
      <c r="M5">
        <f t="shared" si="4"/>
        <v>95.792760000000001</v>
      </c>
      <c r="N5">
        <f t="shared" si="5"/>
        <v>95.792760000000001</v>
      </c>
    </row>
    <row r="6" spans="1:14" x14ac:dyDescent="0.3">
      <c r="A6">
        <v>75</v>
      </c>
      <c r="B6">
        <v>26.978899999999999</v>
      </c>
      <c r="C6">
        <v>25</v>
      </c>
      <c r="D6">
        <v>25</v>
      </c>
      <c r="E6">
        <v>25</v>
      </c>
      <c r="F6">
        <v>26.978899999999999</v>
      </c>
      <c r="G6">
        <v>25</v>
      </c>
      <c r="H6">
        <v>25</v>
      </c>
      <c r="I6">
        <v>25</v>
      </c>
      <c r="J6">
        <f t="shared" si="1"/>
        <v>90</v>
      </c>
      <c r="K6">
        <f t="shared" si="2"/>
        <v>90</v>
      </c>
      <c r="L6">
        <f t="shared" si="3"/>
        <v>90</v>
      </c>
      <c r="M6">
        <f t="shared" si="4"/>
        <v>97.124039999999994</v>
      </c>
      <c r="N6">
        <f t="shared" si="5"/>
        <v>97.124039999999994</v>
      </c>
    </row>
    <row r="7" spans="1:14" x14ac:dyDescent="0.3">
      <c r="A7">
        <v>100</v>
      </c>
      <c r="B7">
        <v>27.326899999999998</v>
      </c>
      <c r="C7">
        <v>25</v>
      </c>
      <c r="D7">
        <v>25</v>
      </c>
      <c r="E7">
        <v>25</v>
      </c>
      <c r="F7">
        <v>27.326899999999998</v>
      </c>
      <c r="G7">
        <v>25</v>
      </c>
      <c r="H7">
        <v>25</v>
      </c>
      <c r="I7">
        <v>25</v>
      </c>
      <c r="J7">
        <f t="shared" si="1"/>
        <v>90</v>
      </c>
      <c r="K7">
        <f t="shared" si="2"/>
        <v>90</v>
      </c>
      <c r="L7">
        <f t="shared" si="3"/>
        <v>90</v>
      </c>
      <c r="M7">
        <f t="shared" si="4"/>
        <v>98.376840000000001</v>
      </c>
      <c r="N7">
        <f t="shared" si="5"/>
        <v>98.376840000000001</v>
      </c>
    </row>
    <row r="8" spans="1:14" x14ac:dyDescent="0.3">
      <c r="A8">
        <v>125</v>
      </c>
      <c r="B8">
        <v>27.335699999999999</v>
      </c>
      <c r="C8">
        <v>25</v>
      </c>
      <c r="D8">
        <v>25</v>
      </c>
      <c r="E8">
        <v>25</v>
      </c>
      <c r="F8">
        <v>27.335699999999999</v>
      </c>
      <c r="G8">
        <v>25</v>
      </c>
      <c r="H8">
        <v>25</v>
      </c>
      <c r="I8">
        <v>25</v>
      </c>
      <c r="J8">
        <f t="shared" si="1"/>
        <v>90</v>
      </c>
      <c r="K8">
        <f t="shared" si="2"/>
        <v>90</v>
      </c>
      <c r="L8">
        <f t="shared" si="3"/>
        <v>90</v>
      </c>
      <c r="M8">
        <f t="shared" si="4"/>
        <v>98.408519999999996</v>
      </c>
      <c r="N8">
        <f t="shared" si="5"/>
        <v>98.408519999999996</v>
      </c>
    </row>
    <row r="9" spans="1:14" x14ac:dyDescent="0.3">
      <c r="A9">
        <v>150</v>
      </c>
      <c r="B9">
        <v>27.0625</v>
      </c>
      <c r="C9">
        <v>25</v>
      </c>
      <c r="D9">
        <v>25</v>
      </c>
      <c r="E9">
        <v>25</v>
      </c>
      <c r="F9">
        <v>27.0625</v>
      </c>
      <c r="G9">
        <v>25</v>
      </c>
      <c r="H9">
        <v>25</v>
      </c>
      <c r="I9">
        <v>25</v>
      </c>
      <c r="J9">
        <f t="shared" si="1"/>
        <v>90</v>
      </c>
      <c r="K9">
        <f t="shared" si="2"/>
        <v>90</v>
      </c>
      <c r="L9">
        <f t="shared" si="3"/>
        <v>90</v>
      </c>
      <c r="M9">
        <f t="shared" si="4"/>
        <v>97.424999999999997</v>
      </c>
      <c r="N9">
        <f t="shared" si="5"/>
        <v>97.424999999999997</v>
      </c>
    </row>
    <row r="10" spans="1:14" x14ac:dyDescent="0.3">
      <c r="A10">
        <v>175</v>
      </c>
      <c r="B10">
        <v>26.622</v>
      </c>
      <c r="C10">
        <v>25</v>
      </c>
      <c r="D10">
        <v>25</v>
      </c>
      <c r="E10">
        <v>25</v>
      </c>
      <c r="F10">
        <v>26.622</v>
      </c>
      <c r="G10">
        <v>25</v>
      </c>
      <c r="H10">
        <v>25</v>
      </c>
      <c r="I10">
        <v>25</v>
      </c>
      <c r="J10">
        <f t="shared" si="1"/>
        <v>90</v>
      </c>
      <c r="K10">
        <f t="shared" si="2"/>
        <v>90</v>
      </c>
      <c r="L10">
        <f t="shared" si="3"/>
        <v>90</v>
      </c>
      <c r="M10">
        <f t="shared" si="4"/>
        <v>95.839200000000005</v>
      </c>
      <c r="N10">
        <f t="shared" si="5"/>
        <v>95.839200000000005</v>
      </c>
    </row>
    <row r="11" spans="1:14" x14ac:dyDescent="0.3">
      <c r="A11">
        <v>200</v>
      </c>
      <c r="B11">
        <v>26.305</v>
      </c>
      <c r="C11">
        <v>25</v>
      </c>
      <c r="D11">
        <v>25</v>
      </c>
      <c r="E11">
        <v>25</v>
      </c>
      <c r="F11">
        <v>26.305</v>
      </c>
      <c r="G11">
        <v>25</v>
      </c>
      <c r="H11">
        <v>25</v>
      </c>
      <c r="I11">
        <v>25</v>
      </c>
      <c r="J11">
        <f t="shared" si="1"/>
        <v>90</v>
      </c>
      <c r="K11">
        <f t="shared" si="2"/>
        <v>90</v>
      </c>
      <c r="L11">
        <f t="shared" si="3"/>
        <v>90</v>
      </c>
      <c r="M11">
        <f t="shared" si="4"/>
        <v>94.698000000000008</v>
      </c>
      <c r="N11">
        <f t="shared" si="5"/>
        <v>94.698000000000008</v>
      </c>
    </row>
    <row r="12" spans="1:14" x14ac:dyDescent="0.3">
      <c r="A12">
        <v>225</v>
      </c>
      <c r="B12">
        <v>26.115400000000001</v>
      </c>
      <c r="C12">
        <v>25</v>
      </c>
      <c r="D12">
        <v>25</v>
      </c>
      <c r="E12">
        <v>25</v>
      </c>
      <c r="F12">
        <v>26.115400000000001</v>
      </c>
      <c r="G12">
        <v>25</v>
      </c>
      <c r="H12">
        <v>25</v>
      </c>
      <c r="I12">
        <v>25</v>
      </c>
      <c r="J12">
        <f t="shared" si="1"/>
        <v>90</v>
      </c>
      <c r="K12">
        <f t="shared" si="2"/>
        <v>90</v>
      </c>
      <c r="L12">
        <f t="shared" si="3"/>
        <v>90</v>
      </c>
      <c r="M12">
        <f t="shared" si="4"/>
        <v>94.015440000000012</v>
      </c>
      <c r="N12">
        <f t="shared" si="5"/>
        <v>94.015440000000012</v>
      </c>
    </row>
    <row r="13" spans="1:14" x14ac:dyDescent="0.3">
      <c r="A13">
        <v>250</v>
      </c>
      <c r="B13">
        <v>26.292400000000001</v>
      </c>
      <c r="C13">
        <v>25</v>
      </c>
      <c r="D13">
        <v>25</v>
      </c>
      <c r="E13">
        <v>25</v>
      </c>
      <c r="F13">
        <v>26.292400000000001</v>
      </c>
      <c r="G13">
        <v>25</v>
      </c>
      <c r="H13">
        <v>25</v>
      </c>
      <c r="I13">
        <v>25</v>
      </c>
      <c r="J13">
        <f t="shared" si="1"/>
        <v>90</v>
      </c>
      <c r="K13">
        <f t="shared" si="2"/>
        <v>90</v>
      </c>
      <c r="L13">
        <f t="shared" si="3"/>
        <v>90</v>
      </c>
      <c r="M13">
        <f t="shared" si="4"/>
        <v>94.652640000000005</v>
      </c>
      <c r="N13">
        <f t="shared" si="5"/>
        <v>94.652640000000005</v>
      </c>
    </row>
    <row r="14" spans="1:14" x14ac:dyDescent="0.3">
      <c r="A14">
        <v>275</v>
      </c>
      <c r="B14">
        <v>26.4345</v>
      </c>
      <c r="C14">
        <v>25</v>
      </c>
      <c r="D14">
        <v>25</v>
      </c>
      <c r="E14">
        <v>25</v>
      </c>
      <c r="F14">
        <v>26.4345</v>
      </c>
      <c r="G14">
        <v>25</v>
      </c>
      <c r="H14">
        <v>25</v>
      </c>
      <c r="I14">
        <v>25</v>
      </c>
      <c r="J14">
        <f t="shared" si="1"/>
        <v>90</v>
      </c>
      <c r="K14">
        <f t="shared" si="2"/>
        <v>90</v>
      </c>
      <c r="L14">
        <f t="shared" si="3"/>
        <v>90</v>
      </c>
      <c r="M14">
        <f t="shared" si="4"/>
        <v>95.164200000000008</v>
      </c>
      <c r="N14">
        <f t="shared" si="5"/>
        <v>95.164200000000008</v>
      </c>
    </row>
    <row r="15" spans="1:14" x14ac:dyDescent="0.3">
      <c r="A15">
        <v>300</v>
      </c>
      <c r="B15">
        <v>26.106200000000001</v>
      </c>
      <c r="C15">
        <v>25</v>
      </c>
      <c r="D15">
        <v>25</v>
      </c>
      <c r="E15">
        <v>25</v>
      </c>
      <c r="F15">
        <v>26.106200000000001</v>
      </c>
      <c r="G15">
        <v>25</v>
      </c>
      <c r="H15">
        <v>25</v>
      </c>
      <c r="I15">
        <v>25</v>
      </c>
      <c r="J15">
        <f t="shared" si="1"/>
        <v>90</v>
      </c>
      <c r="K15">
        <f t="shared" si="2"/>
        <v>90</v>
      </c>
      <c r="L15">
        <f t="shared" si="3"/>
        <v>90</v>
      </c>
      <c r="M15">
        <f t="shared" si="4"/>
        <v>93.982320000000001</v>
      </c>
      <c r="N15">
        <f t="shared" si="5"/>
        <v>93.982320000000001</v>
      </c>
    </row>
    <row r="16" spans="1:14" x14ac:dyDescent="0.3">
      <c r="A16">
        <v>325</v>
      </c>
      <c r="B16">
        <v>25.740100000000002</v>
      </c>
      <c r="C16">
        <v>25</v>
      </c>
      <c r="D16">
        <v>25</v>
      </c>
      <c r="E16">
        <v>25</v>
      </c>
      <c r="F16">
        <v>25.740100000000002</v>
      </c>
      <c r="G16">
        <v>25</v>
      </c>
      <c r="H16">
        <v>25</v>
      </c>
      <c r="I16">
        <v>25.1</v>
      </c>
      <c r="J16">
        <f t="shared" si="1"/>
        <v>90</v>
      </c>
      <c r="K16">
        <f t="shared" si="2"/>
        <v>90</v>
      </c>
      <c r="L16">
        <f t="shared" si="3"/>
        <v>90</v>
      </c>
      <c r="M16">
        <f t="shared" si="4"/>
        <v>92.664360000000002</v>
      </c>
      <c r="N16">
        <f t="shared" si="5"/>
        <v>92.664360000000002</v>
      </c>
    </row>
    <row r="17" spans="1:14" x14ac:dyDescent="0.3">
      <c r="A17">
        <v>350</v>
      </c>
      <c r="B17">
        <v>25.5748</v>
      </c>
      <c r="C17">
        <v>25</v>
      </c>
      <c r="D17">
        <v>25</v>
      </c>
      <c r="E17">
        <v>25</v>
      </c>
      <c r="F17">
        <v>25.5748</v>
      </c>
      <c r="G17">
        <v>25</v>
      </c>
      <c r="H17">
        <v>25</v>
      </c>
      <c r="I17">
        <v>25.2</v>
      </c>
      <c r="J17">
        <f t="shared" si="1"/>
        <v>90</v>
      </c>
      <c r="K17">
        <f t="shared" si="2"/>
        <v>90</v>
      </c>
      <c r="L17">
        <f t="shared" si="3"/>
        <v>90</v>
      </c>
      <c r="M17">
        <f t="shared" si="4"/>
        <v>92.069280000000006</v>
      </c>
      <c r="N17">
        <f t="shared" si="5"/>
        <v>92.069280000000006</v>
      </c>
    </row>
    <row r="18" spans="1:14" x14ac:dyDescent="0.3">
      <c r="A18">
        <v>375</v>
      </c>
      <c r="B18">
        <v>25.419499999999999</v>
      </c>
      <c r="C18">
        <v>25</v>
      </c>
      <c r="D18">
        <v>25</v>
      </c>
      <c r="E18">
        <v>25</v>
      </c>
      <c r="F18">
        <v>25.419499999999999</v>
      </c>
      <c r="G18">
        <v>25</v>
      </c>
      <c r="H18">
        <v>25</v>
      </c>
      <c r="I18">
        <v>25.3</v>
      </c>
      <c r="J18">
        <f t="shared" si="1"/>
        <v>90</v>
      </c>
      <c r="K18">
        <f t="shared" si="2"/>
        <v>90</v>
      </c>
      <c r="L18">
        <f t="shared" si="3"/>
        <v>90</v>
      </c>
      <c r="M18">
        <f t="shared" si="4"/>
        <v>91.510199999999998</v>
      </c>
      <c r="N18">
        <f t="shared" si="5"/>
        <v>91.510199999999998</v>
      </c>
    </row>
    <row r="19" spans="1:14" x14ac:dyDescent="0.3">
      <c r="A19">
        <v>400</v>
      </c>
      <c r="B19">
        <v>25.1449</v>
      </c>
      <c r="C19">
        <v>25</v>
      </c>
      <c r="D19">
        <v>25</v>
      </c>
      <c r="E19">
        <v>25.1</v>
      </c>
      <c r="F19">
        <v>25.1449</v>
      </c>
      <c r="G19">
        <v>25</v>
      </c>
      <c r="H19">
        <v>25</v>
      </c>
      <c r="I19">
        <v>25.4</v>
      </c>
      <c r="J19">
        <f t="shared" si="1"/>
        <v>90</v>
      </c>
      <c r="K19">
        <f t="shared" si="2"/>
        <v>90</v>
      </c>
      <c r="L19">
        <f t="shared" si="3"/>
        <v>90.360000000000014</v>
      </c>
      <c r="M19">
        <f t="shared" si="4"/>
        <v>90.521640000000005</v>
      </c>
      <c r="N19">
        <f t="shared" si="5"/>
        <v>90.521640000000005</v>
      </c>
    </row>
    <row r="20" spans="1:14" x14ac:dyDescent="0.3">
      <c r="A20">
        <v>425</v>
      </c>
      <c r="B20">
        <v>25.026900000000001</v>
      </c>
      <c r="C20">
        <v>25</v>
      </c>
      <c r="D20">
        <v>25</v>
      </c>
      <c r="E20">
        <v>25.2</v>
      </c>
      <c r="F20">
        <v>25.026900000000001</v>
      </c>
      <c r="G20">
        <v>25</v>
      </c>
      <c r="H20">
        <v>25</v>
      </c>
      <c r="I20">
        <v>25.5</v>
      </c>
      <c r="J20">
        <f t="shared" si="1"/>
        <v>90</v>
      </c>
      <c r="K20">
        <f t="shared" si="2"/>
        <v>90</v>
      </c>
      <c r="L20">
        <f t="shared" si="3"/>
        <v>90.72</v>
      </c>
      <c r="M20">
        <f t="shared" si="4"/>
        <v>90.09684</v>
      </c>
      <c r="N20">
        <f t="shared" si="5"/>
        <v>90.09684</v>
      </c>
    </row>
    <row r="21" spans="1:14" x14ac:dyDescent="0.3">
      <c r="A21">
        <v>450</v>
      </c>
      <c r="B21">
        <v>24.679600000000001</v>
      </c>
      <c r="C21">
        <v>25</v>
      </c>
      <c r="D21">
        <v>25</v>
      </c>
      <c r="E21">
        <v>25.3</v>
      </c>
      <c r="F21">
        <v>24.679600000000001</v>
      </c>
      <c r="G21">
        <v>25</v>
      </c>
      <c r="H21">
        <v>25</v>
      </c>
      <c r="I21">
        <v>25.6</v>
      </c>
      <c r="J21">
        <f t="shared" si="1"/>
        <v>90</v>
      </c>
      <c r="K21">
        <f t="shared" si="2"/>
        <v>90</v>
      </c>
      <c r="L21">
        <f t="shared" si="3"/>
        <v>91.08</v>
      </c>
      <c r="M21">
        <f t="shared" si="4"/>
        <v>88.846560000000011</v>
      </c>
      <c r="N21">
        <f t="shared" si="5"/>
        <v>88.846560000000011</v>
      </c>
    </row>
    <row r="22" spans="1:14" x14ac:dyDescent="0.3">
      <c r="A22">
        <v>475</v>
      </c>
      <c r="B22">
        <v>24.111699999999999</v>
      </c>
      <c r="C22">
        <v>25</v>
      </c>
      <c r="D22">
        <v>25</v>
      </c>
      <c r="E22">
        <v>25.4</v>
      </c>
      <c r="F22">
        <v>24.111699999999999</v>
      </c>
      <c r="G22">
        <v>25</v>
      </c>
      <c r="H22">
        <v>25</v>
      </c>
      <c r="I22">
        <v>25.8</v>
      </c>
      <c r="J22">
        <f t="shared" si="1"/>
        <v>90</v>
      </c>
      <c r="K22">
        <f t="shared" si="2"/>
        <v>90</v>
      </c>
      <c r="L22">
        <f t="shared" si="3"/>
        <v>91.44</v>
      </c>
      <c r="M22">
        <f t="shared" si="4"/>
        <v>86.802120000000002</v>
      </c>
      <c r="N22">
        <f t="shared" si="5"/>
        <v>86.802120000000002</v>
      </c>
    </row>
    <row r="23" spans="1:14" x14ac:dyDescent="0.3">
      <c r="A23">
        <v>500</v>
      </c>
      <c r="B23">
        <v>23.842400000000001</v>
      </c>
      <c r="C23">
        <v>25</v>
      </c>
      <c r="D23">
        <v>25</v>
      </c>
      <c r="E23">
        <v>25.5</v>
      </c>
      <c r="F23">
        <v>23.842400000000001</v>
      </c>
      <c r="G23">
        <v>25</v>
      </c>
      <c r="H23">
        <v>25</v>
      </c>
      <c r="I23">
        <v>25.9</v>
      </c>
      <c r="J23">
        <f t="shared" si="1"/>
        <v>90</v>
      </c>
      <c r="K23">
        <f t="shared" si="2"/>
        <v>90</v>
      </c>
      <c r="L23">
        <f t="shared" si="3"/>
        <v>91.8</v>
      </c>
      <c r="M23">
        <f t="shared" si="4"/>
        <v>85.832640000000012</v>
      </c>
      <c r="N23">
        <f t="shared" si="5"/>
        <v>85.832640000000012</v>
      </c>
    </row>
    <row r="24" spans="1:14" x14ac:dyDescent="0.3">
      <c r="A24">
        <v>525</v>
      </c>
      <c r="B24">
        <v>23.645800000000001</v>
      </c>
      <c r="C24">
        <v>25</v>
      </c>
      <c r="D24">
        <v>25</v>
      </c>
      <c r="E24">
        <v>25.6</v>
      </c>
      <c r="F24">
        <v>23.645800000000001</v>
      </c>
      <c r="G24">
        <v>25</v>
      </c>
      <c r="H24">
        <v>25</v>
      </c>
      <c r="I24">
        <v>26.1</v>
      </c>
      <c r="J24">
        <f t="shared" si="1"/>
        <v>90</v>
      </c>
      <c r="K24">
        <f t="shared" si="2"/>
        <v>90</v>
      </c>
      <c r="L24">
        <f t="shared" si="3"/>
        <v>92.160000000000011</v>
      </c>
      <c r="M24">
        <f t="shared" si="4"/>
        <v>85.124880000000005</v>
      </c>
      <c r="N24">
        <f t="shared" si="5"/>
        <v>85.124880000000005</v>
      </c>
    </row>
    <row r="25" spans="1:14" x14ac:dyDescent="0.3">
      <c r="A25">
        <v>550</v>
      </c>
      <c r="B25">
        <v>23.4087</v>
      </c>
      <c r="C25">
        <v>25</v>
      </c>
      <c r="D25">
        <v>25</v>
      </c>
      <c r="E25">
        <v>25.7</v>
      </c>
      <c r="F25">
        <v>23.4087</v>
      </c>
      <c r="G25">
        <v>25</v>
      </c>
      <c r="H25">
        <v>25</v>
      </c>
      <c r="I25">
        <v>26.3</v>
      </c>
      <c r="J25">
        <f t="shared" si="1"/>
        <v>90</v>
      </c>
      <c r="K25">
        <f t="shared" si="2"/>
        <v>90</v>
      </c>
      <c r="L25">
        <f t="shared" si="3"/>
        <v>92.52</v>
      </c>
      <c r="M25">
        <f t="shared" si="4"/>
        <v>84.271320000000003</v>
      </c>
      <c r="N25">
        <f t="shared" si="5"/>
        <v>84.271320000000003</v>
      </c>
    </row>
    <row r="26" spans="1:14" x14ac:dyDescent="0.3">
      <c r="A26">
        <v>575</v>
      </c>
      <c r="B26">
        <v>23.295000000000002</v>
      </c>
      <c r="C26">
        <v>25</v>
      </c>
      <c r="D26">
        <v>25</v>
      </c>
      <c r="E26">
        <v>25.9</v>
      </c>
      <c r="F26">
        <v>23.295000000000002</v>
      </c>
      <c r="G26">
        <v>25.1</v>
      </c>
      <c r="H26">
        <v>25</v>
      </c>
      <c r="I26">
        <v>26.5</v>
      </c>
      <c r="J26">
        <f t="shared" si="1"/>
        <v>90</v>
      </c>
      <c r="K26">
        <f t="shared" si="2"/>
        <v>90</v>
      </c>
      <c r="L26">
        <f t="shared" si="3"/>
        <v>93.24</v>
      </c>
      <c r="M26">
        <f t="shared" si="4"/>
        <v>83.862000000000009</v>
      </c>
      <c r="N26">
        <f t="shared" si="5"/>
        <v>83.862000000000009</v>
      </c>
    </row>
    <row r="27" spans="1:14" x14ac:dyDescent="0.3">
      <c r="A27">
        <v>600</v>
      </c>
      <c r="B27">
        <v>23.7074</v>
      </c>
      <c r="C27">
        <v>25</v>
      </c>
      <c r="D27">
        <v>25</v>
      </c>
      <c r="E27">
        <v>26.1</v>
      </c>
      <c r="F27">
        <v>23.7074</v>
      </c>
      <c r="G27">
        <v>25.2</v>
      </c>
      <c r="H27">
        <v>25</v>
      </c>
      <c r="I27">
        <v>26.7</v>
      </c>
      <c r="J27">
        <f t="shared" si="1"/>
        <v>90</v>
      </c>
      <c r="K27">
        <f t="shared" si="2"/>
        <v>90</v>
      </c>
      <c r="L27">
        <f t="shared" si="3"/>
        <v>93.960000000000008</v>
      </c>
      <c r="M27">
        <f t="shared" si="4"/>
        <v>85.346640000000008</v>
      </c>
      <c r="N27">
        <f t="shared" si="5"/>
        <v>85.346640000000008</v>
      </c>
    </row>
    <row r="28" spans="1:14" x14ac:dyDescent="0.3">
      <c r="A28">
        <v>625</v>
      </c>
      <c r="B28">
        <v>24.2225</v>
      </c>
      <c r="C28">
        <v>25</v>
      </c>
      <c r="D28">
        <v>25</v>
      </c>
      <c r="E28">
        <v>26.3</v>
      </c>
      <c r="F28">
        <v>24.2225</v>
      </c>
      <c r="G28">
        <v>25.3</v>
      </c>
      <c r="H28">
        <v>25</v>
      </c>
      <c r="I28">
        <v>26.9</v>
      </c>
      <c r="J28">
        <f t="shared" si="1"/>
        <v>90</v>
      </c>
      <c r="K28">
        <f t="shared" si="2"/>
        <v>90</v>
      </c>
      <c r="L28">
        <f t="shared" si="3"/>
        <v>94.68</v>
      </c>
      <c r="M28">
        <f t="shared" si="4"/>
        <v>87.201000000000008</v>
      </c>
      <c r="N28">
        <f t="shared" si="5"/>
        <v>87.201000000000008</v>
      </c>
    </row>
    <row r="29" spans="1:14" x14ac:dyDescent="0.3">
      <c r="A29">
        <v>650</v>
      </c>
      <c r="B29">
        <v>24.755700000000001</v>
      </c>
      <c r="C29">
        <v>25</v>
      </c>
      <c r="D29">
        <v>25</v>
      </c>
      <c r="E29">
        <v>26.5</v>
      </c>
      <c r="F29">
        <v>24.755700000000001</v>
      </c>
      <c r="G29">
        <v>25.4</v>
      </c>
      <c r="H29">
        <v>25</v>
      </c>
      <c r="I29">
        <v>27.1</v>
      </c>
      <c r="J29">
        <f t="shared" si="1"/>
        <v>90</v>
      </c>
      <c r="K29">
        <f t="shared" si="2"/>
        <v>90</v>
      </c>
      <c r="L29">
        <f t="shared" si="3"/>
        <v>95.4</v>
      </c>
      <c r="M29">
        <f t="shared" si="4"/>
        <v>89.120519999999999</v>
      </c>
      <c r="N29">
        <f t="shared" si="5"/>
        <v>89.120519999999999</v>
      </c>
    </row>
    <row r="30" spans="1:14" x14ac:dyDescent="0.3">
      <c r="A30">
        <v>675</v>
      </c>
      <c r="B30">
        <v>25.367699999999999</v>
      </c>
      <c r="C30">
        <v>25</v>
      </c>
      <c r="D30">
        <v>25</v>
      </c>
      <c r="E30">
        <v>26.7</v>
      </c>
      <c r="F30">
        <v>25.367699999999999</v>
      </c>
      <c r="G30">
        <v>25.5</v>
      </c>
      <c r="H30">
        <v>25</v>
      </c>
      <c r="I30">
        <v>27.2</v>
      </c>
      <c r="J30">
        <f t="shared" si="1"/>
        <v>90</v>
      </c>
      <c r="K30">
        <f t="shared" si="2"/>
        <v>90</v>
      </c>
      <c r="L30">
        <f t="shared" si="3"/>
        <v>96.12</v>
      </c>
      <c r="M30">
        <f t="shared" si="4"/>
        <v>91.323719999999994</v>
      </c>
      <c r="N30">
        <f t="shared" si="5"/>
        <v>91.323719999999994</v>
      </c>
    </row>
    <row r="31" spans="1:14" x14ac:dyDescent="0.3">
      <c r="A31">
        <v>700</v>
      </c>
      <c r="B31">
        <v>25.879000000000001</v>
      </c>
      <c r="C31">
        <v>25</v>
      </c>
      <c r="D31">
        <v>25</v>
      </c>
      <c r="E31">
        <v>26.9</v>
      </c>
      <c r="F31">
        <v>25.879000000000001</v>
      </c>
      <c r="G31">
        <v>25.6</v>
      </c>
      <c r="H31">
        <v>25</v>
      </c>
      <c r="I31">
        <v>27.3</v>
      </c>
      <c r="J31">
        <f t="shared" si="1"/>
        <v>90</v>
      </c>
      <c r="K31">
        <f t="shared" si="2"/>
        <v>90</v>
      </c>
      <c r="L31">
        <f t="shared" si="3"/>
        <v>96.84</v>
      </c>
      <c r="M31">
        <f t="shared" si="4"/>
        <v>93.164400000000001</v>
      </c>
      <c r="N31">
        <f t="shared" si="5"/>
        <v>93.164400000000001</v>
      </c>
    </row>
    <row r="32" spans="1:14" x14ac:dyDescent="0.3">
      <c r="A32">
        <v>725</v>
      </c>
      <c r="B32">
        <v>25.638300000000001</v>
      </c>
      <c r="C32">
        <v>25</v>
      </c>
      <c r="D32">
        <v>25</v>
      </c>
      <c r="E32">
        <v>27.1</v>
      </c>
      <c r="F32">
        <v>25.638300000000001</v>
      </c>
      <c r="G32">
        <v>25.7</v>
      </c>
      <c r="H32">
        <v>25</v>
      </c>
      <c r="I32">
        <v>27.4</v>
      </c>
      <c r="J32">
        <f t="shared" si="1"/>
        <v>90</v>
      </c>
      <c r="K32">
        <f t="shared" si="2"/>
        <v>90</v>
      </c>
      <c r="L32">
        <f t="shared" si="3"/>
        <v>97.56</v>
      </c>
      <c r="M32">
        <f t="shared" si="4"/>
        <v>92.297880000000006</v>
      </c>
      <c r="N32">
        <f t="shared" si="5"/>
        <v>92.297880000000006</v>
      </c>
    </row>
    <row r="33" spans="1:14" x14ac:dyDescent="0.3">
      <c r="A33">
        <v>750</v>
      </c>
      <c r="B33">
        <v>25.401399999999999</v>
      </c>
      <c r="C33">
        <v>25</v>
      </c>
      <c r="D33">
        <v>25</v>
      </c>
      <c r="E33">
        <v>27.2</v>
      </c>
      <c r="F33">
        <v>25.401399999999999</v>
      </c>
      <c r="G33">
        <v>25.8</v>
      </c>
      <c r="H33">
        <v>25</v>
      </c>
      <c r="I33">
        <v>27.5</v>
      </c>
      <c r="J33">
        <f t="shared" si="1"/>
        <v>90</v>
      </c>
      <c r="K33">
        <f t="shared" si="2"/>
        <v>90</v>
      </c>
      <c r="L33">
        <f t="shared" si="3"/>
        <v>97.92</v>
      </c>
      <c r="M33">
        <f t="shared" si="4"/>
        <v>91.445039999999992</v>
      </c>
      <c r="N33">
        <f t="shared" si="5"/>
        <v>91.445039999999992</v>
      </c>
    </row>
    <row r="34" spans="1:14" x14ac:dyDescent="0.3">
      <c r="A34">
        <v>775</v>
      </c>
      <c r="B34">
        <v>25.510999999999999</v>
      </c>
      <c r="C34">
        <v>25</v>
      </c>
      <c r="D34">
        <v>25</v>
      </c>
      <c r="E34">
        <v>27.3</v>
      </c>
      <c r="F34">
        <v>25.510999999999999</v>
      </c>
      <c r="G34">
        <v>25.9</v>
      </c>
      <c r="H34">
        <v>25</v>
      </c>
      <c r="I34">
        <v>27.6</v>
      </c>
      <c r="J34">
        <f t="shared" si="1"/>
        <v>90</v>
      </c>
      <c r="K34">
        <f t="shared" si="2"/>
        <v>90</v>
      </c>
      <c r="L34">
        <f t="shared" si="3"/>
        <v>98.28</v>
      </c>
      <c r="M34">
        <f t="shared" si="4"/>
        <v>91.839600000000004</v>
      </c>
      <c r="N34">
        <f t="shared" si="5"/>
        <v>91.839600000000004</v>
      </c>
    </row>
    <row r="35" spans="1:14" x14ac:dyDescent="0.3">
      <c r="A35">
        <v>800</v>
      </c>
      <c r="B35">
        <v>25.6007</v>
      </c>
      <c r="C35">
        <v>25</v>
      </c>
      <c r="D35">
        <v>25</v>
      </c>
      <c r="E35">
        <v>27.4</v>
      </c>
      <c r="F35">
        <v>25.6007</v>
      </c>
      <c r="G35">
        <v>26</v>
      </c>
      <c r="H35">
        <v>25</v>
      </c>
      <c r="I35">
        <v>27.7</v>
      </c>
      <c r="J35">
        <f t="shared" si="1"/>
        <v>90</v>
      </c>
      <c r="K35">
        <f t="shared" si="2"/>
        <v>90</v>
      </c>
      <c r="L35">
        <f t="shared" si="3"/>
        <v>98.64</v>
      </c>
      <c r="M35">
        <f t="shared" si="4"/>
        <v>92.162520000000001</v>
      </c>
      <c r="N35">
        <f t="shared" si="5"/>
        <v>92.162520000000001</v>
      </c>
    </row>
    <row r="36" spans="1:14" x14ac:dyDescent="0.3">
      <c r="A36">
        <v>825</v>
      </c>
      <c r="B36">
        <v>25.081600000000002</v>
      </c>
      <c r="C36">
        <v>25</v>
      </c>
      <c r="D36">
        <v>25</v>
      </c>
      <c r="E36">
        <v>27.5</v>
      </c>
      <c r="F36">
        <v>25.081600000000002</v>
      </c>
      <c r="G36">
        <v>26.2</v>
      </c>
      <c r="H36">
        <v>25</v>
      </c>
      <c r="I36">
        <v>27.78</v>
      </c>
      <c r="J36">
        <f t="shared" si="1"/>
        <v>90</v>
      </c>
      <c r="K36">
        <f t="shared" si="2"/>
        <v>90</v>
      </c>
      <c r="L36">
        <f t="shared" si="3"/>
        <v>99</v>
      </c>
      <c r="M36">
        <f t="shared" si="4"/>
        <v>90.293760000000006</v>
      </c>
      <c r="N36">
        <f t="shared" si="5"/>
        <v>90.293760000000006</v>
      </c>
    </row>
    <row r="37" spans="1:14" x14ac:dyDescent="0.3">
      <c r="A37">
        <v>850</v>
      </c>
      <c r="B37">
        <v>24.657</v>
      </c>
      <c r="C37">
        <v>25</v>
      </c>
      <c r="D37">
        <v>25</v>
      </c>
      <c r="E37">
        <v>27.6</v>
      </c>
      <c r="F37">
        <v>24.657</v>
      </c>
      <c r="G37">
        <v>26.3</v>
      </c>
      <c r="H37">
        <v>25</v>
      </c>
      <c r="I37">
        <v>27.78</v>
      </c>
      <c r="J37">
        <f t="shared" si="1"/>
        <v>90</v>
      </c>
      <c r="K37">
        <f t="shared" si="2"/>
        <v>90</v>
      </c>
      <c r="L37">
        <f t="shared" si="3"/>
        <v>99.360000000000014</v>
      </c>
      <c r="M37">
        <f t="shared" si="4"/>
        <v>88.765200000000007</v>
      </c>
      <c r="N37">
        <f t="shared" si="5"/>
        <v>88.765200000000007</v>
      </c>
    </row>
    <row r="38" spans="1:14" x14ac:dyDescent="0.3">
      <c r="A38">
        <v>875</v>
      </c>
      <c r="B38">
        <v>24.337700000000002</v>
      </c>
      <c r="C38">
        <v>25</v>
      </c>
      <c r="D38">
        <v>25</v>
      </c>
      <c r="E38">
        <v>27.7</v>
      </c>
      <c r="F38">
        <v>24.337700000000002</v>
      </c>
      <c r="G38">
        <v>26.5</v>
      </c>
      <c r="H38">
        <v>25</v>
      </c>
      <c r="I38">
        <v>27.78</v>
      </c>
      <c r="J38">
        <f t="shared" si="1"/>
        <v>90</v>
      </c>
      <c r="K38">
        <f t="shared" si="2"/>
        <v>90</v>
      </c>
      <c r="L38">
        <f t="shared" si="3"/>
        <v>99.72</v>
      </c>
      <c r="M38">
        <f t="shared" si="4"/>
        <v>87.61572000000001</v>
      </c>
      <c r="N38">
        <f t="shared" si="5"/>
        <v>87.61572000000001</v>
      </c>
    </row>
    <row r="39" spans="1:14" x14ac:dyDescent="0.3">
      <c r="A39">
        <v>900</v>
      </c>
      <c r="B39">
        <v>23.87</v>
      </c>
      <c r="C39">
        <v>25</v>
      </c>
      <c r="D39">
        <v>25</v>
      </c>
      <c r="E39">
        <v>27.78</v>
      </c>
      <c r="F39">
        <v>23.87</v>
      </c>
      <c r="G39">
        <v>26.6</v>
      </c>
      <c r="H39">
        <v>25</v>
      </c>
      <c r="I39">
        <v>27.78</v>
      </c>
      <c r="J39">
        <f t="shared" si="1"/>
        <v>90</v>
      </c>
      <c r="K39">
        <f t="shared" si="2"/>
        <v>90</v>
      </c>
      <c r="L39">
        <f t="shared" si="3"/>
        <v>100.00800000000001</v>
      </c>
      <c r="M39">
        <f t="shared" si="4"/>
        <v>85.932000000000002</v>
      </c>
      <c r="N39">
        <f t="shared" si="5"/>
        <v>85.932000000000002</v>
      </c>
    </row>
    <row r="40" spans="1:14" x14ac:dyDescent="0.3">
      <c r="A40">
        <v>925</v>
      </c>
      <c r="B40">
        <v>23.325199999999999</v>
      </c>
      <c r="C40">
        <v>25</v>
      </c>
      <c r="D40">
        <v>25</v>
      </c>
      <c r="E40">
        <v>27.78</v>
      </c>
      <c r="F40">
        <v>23.325199999999999</v>
      </c>
      <c r="G40">
        <v>26.7</v>
      </c>
      <c r="H40">
        <v>25</v>
      </c>
      <c r="I40">
        <v>27.78</v>
      </c>
      <c r="J40">
        <f t="shared" si="1"/>
        <v>90</v>
      </c>
      <c r="K40">
        <f t="shared" si="2"/>
        <v>90</v>
      </c>
      <c r="L40">
        <f t="shared" si="3"/>
        <v>100.00800000000001</v>
      </c>
      <c r="M40">
        <f t="shared" si="4"/>
        <v>83.97072</v>
      </c>
      <c r="N40">
        <f t="shared" si="5"/>
        <v>83.97072</v>
      </c>
    </row>
    <row r="41" spans="1:14" x14ac:dyDescent="0.3">
      <c r="A41">
        <v>950</v>
      </c>
      <c r="B41">
        <v>22.822700000000001</v>
      </c>
      <c r="C41">
        <v>25</v>
      </c>
      <c r="D41">
        <v>25</v>
      </c>
      <c r="E41">
        <v>27.78</v>
      </c>
      <c r="F41">
        <v>22.822700000000001</v>
      </c>
      <c r="G41">
        <v>26.8</v>
      </c>
      <c r="H41">
        <v>25</v>
      </c>
      <c r="I41">
        <v>27.78</v>
      </c>
      <c r="J41">
        <f t="shared" si="1"/>
        <v>90</v>
      </c>
      <c r="K41">
        <f t="shared" si="2"/>
        <v>90</v>
      </c>
      <c r="L41">
        <f t="shared" si="3"/>
        <v>100.00800000000001</v>
      </c>
      <c r="M41">
        <f t="shared" si="4"/>
        <v>82.161720000000003</v>
      </c>
      <c r="N41">
        <f t="shared" si="5"/>
        <v>82.161720000000003</v>
      </c>
    </row>
    <row r="42" spans="1:14" x14ac:dyDescent="0.3">
      <c r="A42">
        <v>975</v>
      </c>
      <c r="B42">
        <v>22.228200000000001</v>
      </c>
      <c r="C42">
        <v>25</v>
      </c>
      <c r="D42">
        <v>25</v>
      </c>
      <c r="E42">
        <v>27.78</v>
      </c>
      <c r="F42">
        <v>22.228200000000001</v>
      </c>
      <c r="G42">
        <v>26.9</v>
      </c>
      <c r="H42">
        <v>25</v>
      </c>
      <c r="I42">
        <v>27.78</v>
      </c>
      <c r="J42">
        <f t="shared" si="1"/>
        <v>90</v>
      </c>
      <c r="K42">
        <f t="shared" si="2"/>
        <v>90</v>
      </c>
      <c r="L42">
        <f t="shared" si="3"/>
        <v>100.00800000000001</v>
      </c>
      <c r="M42">
        <f t="shared" si="4"/>
        <v>80.02152000000001</v>
      </c>
      <c r="N42">
        <f t="shared" si="5"/>
        <v>80.02152000000001</v>
      </c>
    </row>
    <row r="43" spans="1:14" x14ac:dyDescent="0.3">
      <c r="A43">
        <v>1000</v>
      </c>
      <c r="B43">
        <v>21.794899999999998</v>
      </c>
      <c r="C43">
        <v>25</v>
      </c>
      <c r="D43">
        <v>25</v>
      </c>
      <c r="E43">
        <v>27.78</v>
      </c>
      <c r="F43">
        <v>21.794899999999998</v>
      </c>
      <c r="G43">
        <v>27</v>
      </c>
      <c r="H43">
        <v>25</v>
      </c>
      <c r="I43">
        <v>27.78</v>
      </c>
      <c r="J43">
        <f t="shared" si="1"/>
        <v>90</v>
      </c>
      <c r="K43">
        <f t="shared" si="2"/>
        <v>90</v>
      </c>
      <c r="L43">
        <f t="shared" si="3"/>
        <v>100.00800000000001</v>
      </c>
      <c r="M43">
        <f t="shared" si="4"/>
        <v>78.461640000000003</v>
      </c>
      <c r="N43">
        <f t="shared" si="5"/>
        <v>78.461640000000003</v>
      </c>
    </row>
    <row r="44" spans="1:14" x14ac:dyDescent="0.3">
      <c r="A44">
        <v>1025</v>
      </c>
      <c r="B44">
        <v>21.5349</v>
      </c>
      <c r="C44">
        <v>25</v>
      </c>
      <c r="D44">
        <v>25</v>
      </c>
      <c r="E44">
        <v>27.78</v>
      </c>
      <c r="F44">
        <v>21.5349</v>
      </c>
      <c r="G44">
        <v>27.1</v>
      </c>
      <c r="H44">
        <v>25</v>
      </c>
      <c r="I44">
        <v>27.78</v>
      </c>
      <c r="J44">
        <f t="shared" si="1"/>
        <v>90</v>
      </c>
      <c r="K44">
        <f t="shared" si="2"/>
        <v>90</v>
      </c>
      <c r="L44">
        <f t="shared" si="3"/>
        <v>100.00800000000001</v>
      </c>
      <c r="M44">
        <f t="shared" si="4"/>
        <v>77.52564000000001</v>
      </c>
      <c r="N44">
        <f t="shared" si="5"/>
        <v>77.52564000000001</v>
      </c>
    </row>
    <row r="45" spans="1:14" x14ac:dyDescent="0.3">
      <c r="A45">
        <v>1050</v>
      </c>
      <c r="B45">
        <v>21.363800000000001</v>
      </c>
      <c r="C45">
        <v>25</v>
      </c>
      <c r="D45">
        <v>25</v>
      </c>
      <c r="E45">
        <v>27.78</v>
      </c>
      <c r="F45">
        <v>21.363800000000001</v>
      </c>
      <c r="G45">
        <v>27.2</v>
      </c>
      <c r="H45">
        <v>25</v>
      </c>
      <c r="I45">
        <v>27.78</v>
      </c>
      <c r="J45">
        <f t="shared" si="1"/>
        <v>90</v>
      </c>
      <c r="K45">
        <f t="shared" si="2"/>
        <v>90</v>
      </c>
      <c r="L45">
        <f t="shared" si="3"/>
        <v>100.00800000000001</v>
      </c>
      <c r="M45">
        <f t="shared" si="4"/>
        <v>76.909680000000009</v>
      </c>
      <c r="N45">
        <f t="shared" si="5"/>
        <v>76.909680000000009</v>
      </c>
    </row>
    <row r="46" spans="1:14" x14ac:dyDescent="0.3">
      <c r="A46">
        <v>1075</v>
      </c>
      <c r="B46">
        <v>21.668099999999999</v>
      </c>
      <c r="C46">
        <v>25</v>
      </c>
      <c r="D46">
        <v>25</v>
      </c>
      <c r="E46">
        <v>27.7</v>
      </c>
      <c r="F46">
        <v>21.668099999999999</v>
      </c>
      <c r="G46">
        <v>27.3</v>
      </c>
      <c r="H46">
        <v>25</v>
      </c>
      <c r="I46">
        <v>27.7</v>
      </c>
      <c r="J46">
        <f t="shared" si="1"/>
        <v>90</v>
      </c>
      <c r="K46">
        <f t="shared" si="2"/>
        <v>90</v>
      </c>
      <c r="L46">
        <f t="shared" si="3"/>
        <v>99.72</v>
      </c>
      <c r="M46">
        <f t="shared" si="4"/>
        <v>78.005160000000004</v>
      </c>
      <c r="N46">
        <f t="shared" si="5"/>
        <v>78.005160000000004</v>
      </c>
    </row>
    <row r="47" spans="1:14" x14ac:dyDescent="0.3">
      <c r="A47">
        <v>1100</v>
      </c>
      <c r="B47">
        <v>21.930800000000001</v>
      </c>
      <c r="C47">
        <v>25</v>
      </c>
      <c r="D47">
        <v>25</v>
      </c>
      <c r="E47">
        <v>27.6</v>
      </c>
      <c r="F47">
        <v>21.930800000000001</v>
      </c>
      <c r="G47">
        <v>27.4</v>
      </c>
      <c r="H47">
        <v>25.1</v>
      </c>
      <c r="I47">
        <v>27.6</v>
      </c>
      <c r="J47">
        <f t="shared" si="1"/>
        <v>90</v>
      </c>
      <c r="K47">
        <f t="shared" si="2"/>
        <v>90</v>
      </c>
      <c r="L47">
        <f t="shared" si="3"/>
        <v>99.360000000000014</v>
      </c>
      <c r="M47">
        <f t="shared" si="4"/>
        <v>78.950880000000012</v>
      </c>
      <c r="N47">
        <f t="shared" si="5"/>
        <v>78.950880000000012</v>
      </c>
    </row>
    <row r="48" spans="1:14" x14ac:dyDescent="0.3">
      <c r="A48">
        <v>1125</v>
      </c>
      <c r="B48">
        <v>22.420200000000001</v>
      </c>
      <c r="C48">
        <v>25</v>
      </c>
      <c r="D48">
        <v>25</v>
      </c>
      <c r="E48">
        <v>27.5</v>
      </c>
      <c r="F48">
        <v>22.420200000000001</v>
      </c>
      <c r="G48">
        <v>27.5</v>
      </c>
      <c r="H48">
        <v>25.2</v>
      </c>
      <c r="I48">
        <v>27.5</v>
      </c>
      <c r="J48">
        <f t="shared" si="1"/>
        <v>90</v>
      </c>
      <c r="K48">
        <f t="shared" si="2"/>
        <v>90</v>
      </c>
      <c r="L48">
        <f t="shared" si="3"/>
        <v>99</v>
      </c>
      <c r="M48">
        <f t="shared" si="4"/>
        <v>80.712720000000004</v>
      </c>
      <c r="N48">
        <f t="shared" si="5"/>
        <v>80.712720000000004</v>
      </c>
    </row>
    <row r="49" spans="1:14" x14ac:dyDescent="0.3">
      <c r="A49">
        <v>1150</v>
      </c>
      <c r="B49">
        <v>23.0274</v>
      </c>
      <c r="C49">
        <v>25</v>
      </c>
      <c r="D49">
        <v>25</v>
      </c>
      <c r="E49">
        <v>27.4</v>
      </c>
      <c r="F49">
        <v>23.0274</v>
      </c>
      <c r="G49">
        <v>27.6</v>
      </c>
      <c r="H49">
        <v>25.3</v>
      </c>
      <c r="I49">
        <v>27.4</v>
      </c>
      <c r="J49">
        <f t="shared" si="1"/>
        <v>90</v>
      </c>
      <c r="K49">
        <f t="shared" si="2"/>
        <v>90</v>
      </c>
      <c r="L49">
        <f t="shared" si="3"/>
        <v>98.64</v>
      </c>
      <c r="M49">
        <f t="shared" si="4"/>
        <v>82.89864</v>
      </c>
      <c r="N49">
        <f t="shared" si="5"/>
        <v>82.89864</v>
      </c>
    </row>
    <row r="50" spans="1:14" x14ac:dyDescent="0.3">
      <c r="A50">
        <v>1175</v>
      </c>
      <c r="B50">
        <v>22.8812</v>
      </c>
      <c r="C50">
        <v>25</v>
      </c>
      <c r="D50">
        <v>25</v>
      </c>
      <c r="E50">
        <v>27.3</v>
      </c>
      <c r="F50">
        <v>22.8812</v>
      </c>
      <c r="G50">
        <v>27.7</v>
      </c>
      <c r="H50">
        <v>25.4</v>
      </c>
      <c r="I50">
        <v>27.3</v>
      </c>
      <c r="J50">
        <f t="shared" si="1"/>
        <v>90</v>
      </c>
      <c r="K50">
        <f t="shared" si="2"/>
        <v>90</v>
      </c>
      <c r="L50">
        <f t="shared" si="3"/>
        <v>98.28</v>
      </c>
      <c r="M50">
        <f t="shared" si="4"/>
        <v>82.372320000000002</v>
      </c>
      <c r="N50">
        <f t="shared" si="5"/>
        <v>82.372320000000002</v>
      </c>
    </row>
    <row r="51" spans="1:14" x14ac:dyDescent="0.3">
      <c r="A51">
        <v>1200</v>
      </c>
      <c r="B51">
        <v>22.619299999999999</v>
      </c>
      <c r="C51">
        <v>25</v>
      </c>
      <c r="D51">
        <v>25</v>
      </c>
      <c r="E51">
        <v>27.2</v>
      </c>
      <c r="F51">
        <v>22.619299999999999</v>
      </c>
      <c r="G51">
        <v>27.78</v>
      </c>
      <c r="H51">
        <v>25.5</v>
      </c>
      <c r="I51">
        <v>27.2</v>
      </c>
      <c r="J51">
        <f t="shared" si="1"/>
        <v>90</v>
      </c>
      <c r="K51">
        <f t="shared" si="2"/>
        <v>90</v>
      </c>
      <c r="L51">
        <f t="shared" si="3"/>
        <v>97.92</v>
      </c>
      <c r="M51">
        <f t="shared" si="4"/>
        <v>81.429479999999998</v>
      </c>
      <c r="N51">
        <f t="shared" si="5"/>
        <v>81.429479999999998</v>
      </c>
    </row>
    <row r="52" spans="1:14" x14ac:dyDescent="0.3">
      <c r="A52">
        <v>1225</v>
      </c>
      <c r="B52">
        <v>22.8628</v>
      </c>
      <c r="C52">
        <v>25</v>
      </c>
      <c r="D52">
        <v>25</v>
      </c>
      <c r="E52">
        <v>27.1</v>
      </c>
      <c r="F52">
        <v>22.8628</v>
      </c>
      <c r="G52">
        <v>27.78</v>
      </c>
      <c r="H52">
        <v>25.6</v>
      </c>
      <c r="I52">
        <v>27.1</v>
      </c>
      <c r="J52">
        <f t="shared" si="1"/>
        <v>90</v>
      </c>
      <c r="K52">
        <f t="shared" si="2"/>
        <v>90</v>
      </c>
      <c r="L52">
        <f t="shared" si="3"/>
        <v>97.56</v>
      </c>
      <c r="M52">
        <f t="shared" si="4"/>
        <v>82.306080000000009</v>
      </c>
      <c r="N52">
        <f t="shared" si="5"/>
        <v>82.306080000000009</v>
      </c>
    </row>
    <row r="53" spans="1:14" x14ac:dyDescent="0.3">
      <c r="A53">
        <v>1250</v>
      </c>
      <c r="B53">
        <v>22.694199999999999</v>
      </c>
      <c r="C53">
        <v>25</v>
      </c>
      <c r="D53">
        <v>25</v>
      </c>
      <c r="E53">
        <v>27</v>
      </c>
      <c r="F53">
        <v>22.694199999999999</v>
      </c>
      <c r="G53">
        <v>27.78</v>
      </c>
      <c r="H53">
        <v>25.7</v>
      </c>
      <c r="I53">
        <v>27</v>
      </c>
      <c r="J53">
        <f t="shared" si="1"/>
        <v>90</v>
      </c>
      <c r="K53">
        <f t="shared" si="2"/>
        <v>90</v>
      </c>
      <c r="L53">
        <f t="shared" si="3"/>
        <v>97.2</v>
      </c>
      <c r="M53">
        <f t="shared" si="4"/>
        <v>81.699119999999994</v>
      </c>
      <c r="N53">
        <f t="shared" si="5"/>
        <v>81.699119999999994</v>
      </c>
    </row>
    <row r="54" spans="1:14" x14ac:dyDescent="0.3">
      <c r="A54">
        <v>1275</v>
      </c>
      <c r="B54">
        <v>23.102799999999998</v>
      </c>
      <c r="C54">
        <v>25</v>
      </c>
      <c r="D54">
        <v>25</v>
      </c>
      <c r="E54">
        <v>26.8</v>
      </c>
      <c r="F54">
        <v>23.102799999999998</v>
      </c>
      <c r="G54">
        <v>27.78</v>
      </c>
      <c r="H54">
        <v>25.8</v>
      </c>
      <c r="I54">
        <v>26.8</v>
      </c>
      <c r="J54">
        <f t="shared" si="1"/>
        <v>90</v>
      </c>
      <c r="K54">
        <f t="shared" si="2"/>
        <v>90</v>
      </c>
      <c r="L54">
        <f t="shared" si="3"/>
        <v>96.48</v>
      </c>
      <c r="M54">
        <f t="shared" si="4"/>
        <v>83.170079999999999</v>
      </c>
      <c r="N54">
        <f t="shared" si="5"/>
        <v>83.170079999999999</v>
      </c>
    </row>
    <row r="55" spans="1:14" x14ac:dyDescent="0.3">
      <c r="A55">
        <v>1300</v>
      </c>
      <c r="B55">
        <v>23.748100000000001</v>
      </c>
      <c r="C55">
        <v>25</v>
      </c>
      <c r="D55">
        <v>25</v>
      </c>
      <c r="E55">
        <v>26.6</v>
      </c>
      <c r="F55">
        <v>23.748100000000001</v>
      </c>
      <c r="G55">
        <v>27.78</v>
      </c>
      <c r="H55">
        <v>25.9</v>
      </c>
      <c r="I55">
        <v>26.6</v>
      </c>
      <c r="J55">
        <f t="shared" si="1"/>
        <v>90</v>
      </c>
      <c r="K55">
        <f t="shared" si="2"/>
        <v>90</v>
      </c>
      <c r="L55">
        <f t="shared" si="3"/>
        <v>95.76</v>
      </c>
      <c r="M55">
        <f t="shared" si="4"/>
        <v>85.493160000000003</v>
      </c>
      <c r="N55">
        <f t="shared" si="5"/>
        <v>85.493160000000003</v>
      </c>
    </row>
    <row r="56" spans="1:14" x14ac:dyDescent="0.3">
      <c r="A56">
        <v>1325</v>
      </c>
      <c r="B56">
        <v>24.0242</v>
      </c>
      <c r="C56">
        <v>25.1</v>
      </c>
      <c r="D56">
        <v>25</v>
      </c>
      <c r="E56">
        <v>26.4</v>
      </c>
      <c r="F56">
        <v>24.0242</v>
      </c>
      <c r="G56">
        <v>27.78</v>
      </c>
      <c r="H56">
        <v>26</v>
      </c>
      <c r="I56">
        <v>26.4</v>
      </c>
      <c r="J56">
        <f t="shared" si="1"/>
        <v>90.360000000000014</v>
      </c>
      <c r="K56">
        <f t="shared" si="2"/>
        <v>90</v>
      </c>
      <c r="L56">
        <f t="shared" si="3"/>
        <v>95.039999999999992</v>
      </c>
      <c r="M56">
        <f t="shared" si="4"/>
        <v>86.487120000000004</v>
      </c>
      <c r="N56">
        <f t="shared" si="5"/>
        <v>86.487120000000004</v>
      </c>
    </row>
    <row r="57" spans="1:14" x14ac:dyDescent="0.3">
      <c r="A57">
        <v>1350</v>
      </c>
      <c r="B57">
        <v>23.962599999999998</v>
      </c>
      <c r="C57">
        <v>25.2</v>
      </c>
      <c r="D57">
        <v>25</v>
      </c>
      <c r="E57">
        <v>26.2</v>
      </c>
      <c r="F57">
        <v>23.962599999999998</v>
      </c>
      <c r="G57">
        <v>27.78</v>
      </c>
      <c r="H57">
        <v>26.1</v>
      </c>
      <c r="I57">
        <v>26.2</v>
      </c>
      <c r="J57">
        <f t="shared" si="1"/>
        <v>90.72</v>
      </c>
      <c r="K57">
        <f t="shared" si="2"/>
        <v>90</v>
      </c>
      <c r="L57">
        <f t="shared" si="3"/>
        <v>94.32</v>
      </c>
      <c r="M57">
        <f t="shared" si="4"/>
        <v>86.265360000000001</v>
      </c>
      <c r="N57">
        <f t="shared" si="5"/>
        <v>86.265360000000001</v>
      </c>
    </row>
    <row r="58" spans="1:14" x14ac:dyDescent="0.3">
      <c r="A58">
        <v>1375</v>
      </c>
      <c r="B58">
        <v>23.855499999999999</v>
      </c>
      <c r="C58">
        <v>25.3</v>
      </c>
      <c r="D58">
        <v>25</v>
      </c>
      <c r="E58">
        <v>26.1</v>
      </c>
      <c r="F58">
        <v>23.855499999999999</v>
      </c>
      <c r="G58">
        <v>27.78</v>
      </c>
      <c r="H58">
        <v>26.2</v>
      </c>
      <c r="I58">
        <v>26.1</v>
      </c>
      <c r="J58">
        <f t="shared" si="1"/>
        <v>91.08</v>
      </c>
      <c r="K58">
        <f t="shared" si="2"/>
        <v>90</v>
      </c>
      <c r="L58">
        <f t="shared" si="3"/>
        <v>93.960000000000008</v>
      </c>
      <c r="M58">
        <f t="shared" si="4"/>
        <v>85.879800000000003</v>
      </c>
      <c r="N58">
        <f t="shared" si="5"/>
        <v>85.879800000000003</v>
      </c>
    </row>
    <row r="59" spans="1:14" x14ac:dyDescent="0.3">
      <c r="A59">
        <v>1400</v>
      </c>
      <c r="B59">
        <v>24.129200000000001</v>
      </c>
      <c r="C59">
        <v>25.4</v>
      </c>
      <c r="D59">
        <v>25</v>
      </c>
      <c r="E59">
        <v>26</v>
      </c>
      <c r="F59">
        <v>24.129200000000001</v>
      </c>
      <c r="G59">
        <v>27.78</v>
      </c>
      <c r="H59">
        <v>26.3</v>
      </c>
      <c r="I59">
        <v>26</v>
      </c>
      <c r="J59">
        <f t="shared" si="1"/>
        <v>91.44</v>
      </c>
      <c r="K59">
        <f t="shared" si="2"/>
        <v>90</v>
      </c>
      <c r="L59">
        <f t="shared" si="3"/>
        <v>93.600000000000009</v>
      </c>
      <c r="M59">
        <f t="shared" si="4"/>
        <v>86.865120000000005</v>
      </c>
      <c r="N59">
        <f t="shared" si="5"/>
        <v>86.865120000000005</v>
      </c>
    </row>
    <row r="60" spans="1:14" x14ac:dyDescent="0.3">
      <c r="A60">
        <v>1425</v>
      </c>
      <c r="B60">
        <v>24.544599999999999</v>
      </c>
      <c r="C60">
        <v>25.5</v>
      </c>
      <c r="D60">
        <v>25</v>
      </c>
      <c r="E60">
        <v>25.9</v>
      </c>
      <c r="F60">
        <v>24.544599999999999</v>
      </c>
      <c r="G60">
        <v>27.78</v>
      </c>
      <c r="H60">
        <v>26.4</v>
      </c>
      <c r="I60">
        <v>25.9</v>
      </c>
      <c r="J60">
        <f t="shared" si="1"/>
        <v>91.8</v>
      </c>
      <c r="K60">
        <f t="shared" si="2"/>
        <v>90</v>
      </c>
      <c r="L60">
        <f t="shared" si="3"/>
        <v>93.24</v>
      </c>
      <c r="M60">
        <f t="shared" si="4"/>
        <v>88.360559999999992</v>
      </c>
      <c r="N60">
        <f t="shared" si="5"/>
        <v>88.360559999999992</v>
      </c>
    </row>
    <row r="61" spans="1:14" x14ac:dyDescent="0.3">
      <c r="A61">
        <v>1450</v>
      </c>
      <c r="B61">
        <v>25.037299999999998</v>
      </c>
      <c r="C61">
        <v>25.6</v>
      </c>
      <c r="D61">
        <v>25</v>
      </c>
      <c r="E61">
        <v>25.8</v>
      </c>
      <c r="F61">
        <v>25.037299999999998</v>
      </c>
      <c r="G61">
        <v>27.7</v>
      </c>
      <c r="H61">
        <v>26.5</v>
      </c>
      <c r="I61">
        <v>25.8</v>
      </c>
      <c r="J61">
        <f t="shared" si="1"/>
        <v>92.160000000000011</v>
      </c>
      <c r="K61">
        <f t="shared" si="2"/>
        <v>90</v>
      </c>
      <c r="L61">
        <f t="shared" si="3"/>
        <v>92.88000000000001</v>
      </c>
      <c r="M61">
        <f t="shared" si="4"/>
        <v>90.13427999999999</v>
      </c>
      <c r="N61">
        <f t="shared" si="5"/>
        <v>90.13427999999999</v>
      </c>
    </row>
    <row r="62" spans="1:14" x14ac:dyDescent="0.3">
      <c r="A62">
        <v>1475</v>
      </c>
      <c r="B62">
        <v>25.041699999999999</v>
      </c>
      <c r="C62">
        <v>25.7</v>
      </c>
      <c r="D62">
        <v>25</v>
      </c>
      <c r="E62">
        <v>25.7</v>
      </c>
      <c r="F62">
        <v>25.041699999999999</v>
      </c>
      <c r="G62">
        <v>27.7</v>
      </c>
      <c r="H62">
        <v>26.6</v>
      </c>
      <c r="I62">
        <v>25.7</v>
      </c>
      <c r="J62">
        <f t="shared" si="1"/>
        <v>92.52</v>
      </c>
      <c r="K62">
        <f t="shared" si="2"/>
        <v>90</v>
      </c>
      <c r="L62">
        <f t="shared" si="3"/>
        <v>92.52</v>
      </c>
      <c r="M62">
        <f t="shared" si="4"/>
        <v>90.150120000000001</v>
      </c>
      <c r="N62">
        <f t="shared" si="5"/>
        <v>90.150120000000001</v>
      </c>
    </row>
    <row r="63" spans="1:14" x14ac:dyDescent="0.3">
      <c r="A63">
        <v>1500</v>
      </c>
      <c r="B63">
        <v>24.810300000000002</v>
      </c>
      <c r="C63">
        <v>25.8</v>
      </c>
      <c r="D63">
        <v>25</v>
      </c>
      <c r="E63">
        <v>25.6</v>
      </c>
      <c r="F63">
        <v>24.810300000000002</v>
      </c>
      <c r="G63">
        <v>27.7</v>
      </c>
      <c r="H63">
        <v>26.7</v>
      </c>
      <c r="I63">
        <v>25.6</v>
      </c>
      <c r="J63">
        <f t="shared" si="1"/>
        <v>92.88000000000001</v>
      </c>
      <c r="K63">
        <f t="shared" si="2"/>
        <v>90</v>
      </c>
      <c r="L63">
        <f t="shared" si="3"/>
        <v>92.160000000000011</v>
      </c>
      <c r="M63">
        <f t="shared" si="4"/>
        <v>89.317080000000004</v>
      </c>
      <c r="N63">
        <f t="shared" si="5"/>
        <v>89.317080000000004</v>
      </c>
    </row>
    <row r="64" spans="1:14" x14ac:dyDescent="0.3">
      <c r="A64">
        <v>1525</v>
      </c>
      <c r="B64">
        <v>24.5215</v>
      </c>
      <c r="C64">
        <v>26</v>
      </c>
      <c r="D64">
        <v>25</v>
      </c>
      <c r="E64">
        <v>25.5</v>
      </c>
      <c r="F64">
        <v>24.5215</v>
      </c>
      <c r="G64">
        <v>27.6</v>
      </c>
      <c r="H64">
        <v>26.8</v>
      </c>
      <c r="I64">
        <v>25.5</v>
      </c>
      <c r="J64">
        <f t="shared" si="1"/>
        <v>93.600000000000009</v>
      </c>
      <c r="K64">
        <f t="shared" si="2"/>
        <v>90</v>
      </c>
      <c r="L64">
        <f t="shared" si="3"/>
        <v>91.8</v>
      </c>
      <c r="M64">
        <f t="shared" si="4"/>
        <v>88.2774</v>
      </c>
      <c r="N64">
        <f t="shared" si="5"/>
        <v>88.2774</v>
      </c>
    </row>
    <row r="65" spans="1:14" x14ac:dyDescent="0.3">
      <c r="A65">
        <v>1550</v>
      </c>
      <c r="B65">
        <v>24.2958</v>
      </c>
      <c r="C65">
        <v>26.1</v>
      </c>
      <c r="D65">
        <v>25</v>
      </c>
      <c r="E65">
        <v>25.4</v>
      </c>
      <c r="F65">
        <v>24.2958</v>
      </c>
      <c r="G65">
        <v>27.5</v>
      </c>
      <c r="H65">
        <v>26.9</v>
      </c>
      <c r="I65">
        <v>25.4</v>
      </c>
      <c r="J65">
        <f t="shared" si="1"/>
        <v>93.960000000000008</v>
      </c>
      <c r="K65">
        <f t="shared" si="2"/>
        <v>90</v>
      </c>
      <c r="L65">
        <f t="shared" si="3"/>
        <v>91.44</v>
      </c>
      <c r="M65">
        <f t="shared" si="4"/>
        <v>87.464880000000008</v>
      </c>
      <c r="N65">
        <f t="shared" si="5"/>
        <v>87.464880000000008</v>
      </c>
    </row>
    <row r="66" spans="1:14" x14ac:dyDescent="0.3">
      <c r="A66">
        <v>1575</v>
      </c>
      <c r="B66">
        <v>24.392099999999999</v>
      </c>
      <c r="C66">
        <v>26.3</v>
      </c>
      <c r="D66">
        <v>25</v>
      </c>
      <c r="E66">
        <v>25.3</v>
      </c>
      <c r="F66">
        <v>24.392099999999999</v>
      </c>
      <c r="G66">
        <v>27.4</v>
      </c>
      <c r="H66">
        <v>27</v>
      </c>
      <c r="I66">
        <v>25.3</v>
      </c>
      <c r="J66">
        <f t="shared" si="1"/>
        <v>94.68</v>
      </c>
      <c r="K66">
        <f t="shared" si="2"/>
        <v>90</v>
      </c>
      <c r="L66">
        <f t="shared" si="3"/>
        <v>91.08</v>
      </c>
      <c r="M66">
        <f t="shared" si="4"/>
        <v>87.81156</v>
      </c>
      <c r="N66">
        <f t="shared" si="5"/>
        <v>87.81156</v>
      </c>
    </row>
    <row r="67" spans="1:14" x14ac:dyDescent="0.3">
      <c r="A67">
        <v>1600</v>
      </c>
      <c r="B67">
        <v>24.715399999999999</v>
      </c>
      <c r="C67">
        <v>26.5</v>
      </c>
      <c r="D67">
        <v>25</v>
      </c>
      <c r="E67">
        <v>25.2</v>
      </c>
      <c r="F67">
        <v>24.715399999999999</v>
      </c>
      <c r="G67">
        <v>27.3</v>
      </c>
      <c r="H67">
        <v>27.1</v>
      </c>
      <c r="I67">
        <v>25.2</v>
      </c>
      <c r="J67">
        <f t="shared" si="1"/>
        <v>95.4</v>
      </c>
      <c r="K67">
        <f t="shared" si="2"/>
        <v>90</v>
      </c>
      <c r="L67">
        <f t="shared" si="3"/>
        <v>90.72</v>
      </c>
      <c r="M67">
        <f t="shared" si="4"/>
        <v>88.975439999999992</v>
      </c>
      <c r="N67">
        <f t="shared" si="5"/>
        <v>88.975439999999992</v>
      </c>
    </row>
    <row r="68" spans="1:14" x14ac:dyDescent="0.3">
      <c r="A68">
        <v>1625</v>
      </c>
      <c r="B68">
        <v>25.017700000000001</v>
      </c>
      <c r="C68">
        <v>26.7</v>
      </c>
      <c r="D68">
        <v>25</v>
      </c>
      <c r="E68">
        <v>25.2</v>
      </c>
      <c r="F68">
        <v>25.017700000000001</v>
      </c>
      <c r="G68">
        <v>27.2</v>
      </c>
      <c r="H68">
        <v>27.2</v>
      </c>
      <c r="I68">
        <v>25.2</v>
      </c>
      <c r="J68">
        <f t="shared" ref="J68:J131" si="6">C68*3.6</f>
        <v>96.12</v>
      </c>
      <c r="K68">
        <f t="shared" ref="K68:K131" si="7">D68*3.6</f>
        <v>90</v>
      </c>
      <c r="L68">
        <f t="shared" ref="L68:L131" si="8">E68*3.6</f>
        <v>90.72</v>
      </c>
      <c r="M68">
        <f t="shared" ref="M68:M131" si="9">F68*3.6</f>
        <v>90.063720000000004</v>
      </c>
      <c r="N68">
        <f t="shared" ref="N68:N131" si="10">B68*3.6</f>
        <v>90.063720000000004</v>
      </c>
    </row>
    <row r="69" spans="1:14" x14ac:dyDescent="0.3">
      <c r="A69">
        <v>1650</v>
      </c>
      <c r="B69">
        <v>25.214700000000001</v>
      </c>
      <c r="C69">
        <v>26.8</v>
      </c>
      <c r="D69">
        <v>25</v>
      </c>
      <c r="E69">
        <v>25.2</v>
      </c>
      <c r="F69">
        <v>25.214700000000001</v>
      </c>
      <c r="G69">
        <v>27.1</v>
      </c>
      <c r="H69">
        <v>27.3</v>
      </c>
      <c r="I69">
        <v>25.2</v>
      </c>
      <c r="J69">
        <f t="shared" si="6"/>
        <v>96.48</v>
      </c>
      <c r="K69">
        <f t="shared" si="7"/>
        <v>90</v>
      </c>
      <c r="L69">
        <f t="shared" si="8"/>
        <v>90.72</v>
      </c>
      <c r="M69">
        <f t="shared" si="9"/>
        <v>90.772919999999999</v>
      </c>
      <c r="N69">
        <f t="shared" si="10"/>
        <v>90.772919999999999</v>
      </c>
    </row>
    <row r="70" spans="1:14" x14ac:dyDescent="0.3">
      <c r="A70">
        <v>1675</v>
      </c>
      <c r="B70">
        <v>25.0519</v>
      </c>
      <c r="C70">
        <v>26.9</v>
      </c>
      <c r="D70">
        <v>25</v>
      </c>
      <c r="E70">
        <v>25.2</v>
      </c>
      <c r="F70">
        <v>25.0519</v>
      </c>
      <c r="G70">
        <v>27</v>
      </c>
      <c r="H70">
        <v>27.4</v>
      </c>
      <c r="I70">
        <v>25.2</v>
      </c>
      <c r="J70">
        <f t="shared" si="6"/>
        <v>96.84</v>
      </c>
      <c r="K70">
        <f t="shared" si="7"/>
        <v>90</v>
      </c>
      <c r="L70">
        <f t="shared" si="8"/>
        <v>90.72</v>
      </c>
      <c r="M70">
        <f t="shared" si="9"/>
        <v>90.186840000000004</v>
      </c>
      <c r="N70">
        <f t="shared" si="10"/>
        <v>90.186840000000004</v>
      </c>
    </row>
    <row r="71" spans="1:14" x14ac:dyDescent="0.3">
      <c r="A71">
        <v>1700</v>
      </c>
      <c r="B71">
        <v>25.0884</v>
      </c>
      <c r="C71">
        <v>27</v>
      </c>
      <c r="D71">
        <v>25</v>
      </c>
      <c r="E71">
        <v>25.2</v>
      </c>
      <c r="F71">
        <v>25.0884</v>
      </c>
      <c r="G71">
        <v>26.9</v>
      </c>
      <c r="H71">
        <v>27.5</v>
      </c>
      <c r="I71">
        <v>25.2</v>
      </c>
      <c r="J71">
        <f t="shared" si="6"/>
        <v>97.2</v>
      </c>
      <c r="K71">
        <f t="shared" si="7"/>
        <v>90</v>
      </c>
      <c r="L71">
        <f t="shared" si="8"/>
        <v>90.72</v>
      </c>
      <c r="M71">
        <f t="shared" si="9"/>
        <v>90.318240000000003</v>
      </c>
      <c r="N71">
        <f t="shared" si="10"/>
        <v>90.318240000000003</v>
      </c>
    </row>
    <row r="72" spans="1:14" x14ac:dyDescent="0.3">
      <c r="A72">
        <v>1725</v>
      </c>
      <c r="B72">
        <v>25.44</v>
      </c>
      <c r="C72">
        <v>27.1</v>
      </c>
      <c r="D72">
        <v>25</v>
      </c>
      <c r="E72">
        <v>25.3</v>
      </c>
      <c r="F72">
        <v>25.44</v>
      </c>
      <c r="G72">
        <v>26.8</v>
      </c>
      <c r="H72">
        <v>27.6</v>
      </c>
      <c r="I72">
        <v>25.3</v>
      </c>
      <c r="J72">
        <f t="shared" si="6"/>
        <v>97.56</v>
      </c>
      <c r="K72">
        <f t="shared" si="7"/>
        <v>90</v>
      </c>
      <c r="L72">
        <f t="shared" si="8"/>
        <v>91.08</v>
      </c>
      <c r="M72">
        <f t="shared" si="9"/>
        <v>91.584000000000003</v>
      </c>
      <c r="N72">
        <f t="shared" si="10"/>
        <v>91.584000000000003</v>
      </c>
    </row>
    <row r="73" spans="1:14" x14ac:dyDescent="0.3">
      <c r="A73">
        <v>1750</v>
      </c>
      <c r="B73">
        <v>25.513000000000002</v>
      </c>
      <c r="C73">
        <v>27.2</v>
      </c>
      <c r="D73">
        <v>25</v>
      </c>
      <c r="E73">
        <v>25.4</v>
      </c>
      <c r="F73">
        <v>25.513000000000002</v>
      </c>
      <c r="G73">
        <v>26.7</v>
      </c>
      <c r="H73">
        <v>27.7</v>
      </c>
      <c r="I73">
        <v>25.4</v>
      </c>
      <c r="J73">
        <f t="shared" si="6"/>
        <v>97.92</v>
      </c>
      <c r="K73">
        <f t="shared" si="7"/>
        <v>90</v>
      </c>
      <c r="L73">
        <f t="shared" si="8"/>
        <v>91.44</v>
      </c>
      <c r="M73">
        <f t="shared" si="9"/>
        <v>91.846800000000002</v>
      </c>
      <c r="N73">
        <f t="shared" si="10"/>
        <v>91.846800000000002</v>
      </c>
    </row>
    <row r="74" spans="1:14" x14ac:dyDescent="0.3">
      <c r="A74">
        <v>1775</v>
      </c>
      <c r="B74">
        <v>25.263500000000001</v>
      </c>
      <c r="C74">
        <v>27.3</v>
      </c>
      <c r="D74">
        <v>25</v>
      </c>
      <c r="E74">
        <v>25.5</v>
      </c>
      <c r="F74">
        <v>25.263500000000001</v>
      </c>
      <c r="G74">
        <v>26.6</v>
      </c>
      <c r="H74">
        <v>27.78</v>
      </c>
      <c r="I74">
        <v>25.5</v>
      </c>
      <c r="J74">
        <f t="shared" si="6"/>
        <v>98.28</v>
      </c>
      <c r="K74">
        <f t="shared" si="7"/>
        <v>90</v>
      </c>
      <c r="L74">
        <f t="shared" si="8"/>
        <v>91.8</v>
      </c>
      <c r="M74">
        <f t="shared" si="9"/>
        <v>90.948599999999999</v>
      </c>
      <c r="N74">
        <f t="shared" si="10"/>
        <v>90.948599999999999</v>
      </c>
    </row>
    <row r="75" spans="1:14" x14ac:dyDescent="0.3">
      <c r="A75">
        <v>1800</v>
      </c>
      <c r="B75">
        <v>25.047799999999999</v>
      </c>
      <c r="C75">
        <v>27.4</v>
      </c>
      <c r="D75">
        <v>25</v>
      </c>
      <c r="E75">
        <v>25.6</v>
      </c>
      <c r="F75">
        <v>25.047799999999999</v>
      </c>
      <c r="G75">
        <v>26.5</v>
      </c>
      <c r="H75">
        <v>27.78</v>
      </c>
      <c r="I75">
        <v>25.6</v>
      </c>
      <c r="J75">
        <f t="shared" si="6"/>
        <v>98.64</v>
      </c>
      <c r="K75">
        <f t="shared" si="7"/>
        <v>90</v>
      </c>
      <c r="L75">
        <f t="shared" si="8"/>
        <v>92.160000000000011</v>
      </c>
      <c r="M75">
        <f t="shared" si="9"/>
        <v>90.172079999999994</v>
      </c>
      <c r="N75">
        <f t="shared" si="10"/>
        <v>90.172079999999994</v>
      </c>
    </row>
    <row r="76" spans="1:14" x14ac:dyDescent="0.3">
      <c r="A76">
        <v>1825</v>
      </c>
      <c r="B76">
        <v>25.049800000000001</v>
      </c>
      <c r="C76">
        <v>27.5</v>
      </c>
      <c r="D76">
        <v>25</v>
      </c>
      <c r="E76">
        <v>25.7</v>
      </c>
      <c r="F76">
        <v>25.049800000000001</v>
      </c>
      <c r="G76">
        <v>26.4</v>
      </c>
      <c r="H76">
        <v>27.78</v>
      </c>
      <c r="I76">
        <v>25.7</v>
      </c>
      <c r="J76">
        <f t="shared" si="6"/>
        <v>99</v>
      </c>
      <c r="K76">
        <f t="shared" si="7"/>
        <v>90</v>
      </c>
      <c r="L76">
        <f t="shared" si="8"/>
        <v>92.52</v>
      </c>
      <c r="M76">
        <f t="shared" si="9"/>
        <v>90.179280000000006</v>
      </c>
      <c r="N76">
        <f t="shared" si="10"/>
        <v>90.179280000000006</v>
      </c>
    </row>
    <row r="77" spans="1:14" x14ac:dyDescent="0.3">
      <c r="A77">
        <v>1850</v>
      </c>
      <c r="B77">
        <v>24.902699999999999</v>
      </c>
      <c r="C77">
        <v>27.6</v>
      </c>
      <c r="D77">
        <v>25</v>
      </c>
      <c r="E77">
        <v>25.8</v>
      </c>
      <c r="F77">
        <v>24.902699999999999</v>
      </c>
      <c r="G77">
        <v>26.3</v>
      </c>
      <c r="H77">
        <v>27.78</v>
      </c>
      <c r="I77">
        <v>25.8</v>
      </c>
      <c r="J77">
        <f t="shared" si="6"/>
        <v>99.360000000000014</v>
      </c>
      <c r="K77">
        <f t="shared" si="7"/>
        <v>90</v>
      </c>
      <c r="L77">
        <f t="shared" si="8"/>
        <v>92.88000000000001</v>
      </c>
      <c r="M77">
        <f t="shared" si="9"/>
        <v>89.649720000000002</v>
      </c>
      <c r="N77">
        <f t="shared" si="10"/>
        <v>89.649720000000002</v>
      </c>
    </row>
    <row r="78" spans="1:14" x14ac:dyDescent="0.3">
      <c r="A78">
        <v>1875</v>
      </c>
      <c r="B78">
        <v>24.6661</v>
      </c>
      <c r="C78">
        <v>27.7</v>
      </c>
      <c r="D78">
        <v>25</v>
      </c>
      <c r="E78">
        <v>25.9</v>
      </c>
      <c r="F78">
        <v>24.6661</v>
      </c>
      <c r="G78">
        <v>26.2</v>
      </c>
      <c r="H78">
        <v>27.78</v>
      </c>
      <c r="I78">
        <v>25.9</v>
      </c>
      <c r="J78">
        <f t="shared" si="6"/>
        <v>99.72</v>
      </c>
      <c r="K78">
        <f t="shared" si="7"/>
        <v>90</v>
      </c>
      <c r="L78">
        <f t="shared" si="8"/>
        <v>93.24</v>
      </c>
      <c r="M78">
        <f t="shared" si="9"/>
        <v>88.797960000000003</v>
      </c>
      <c r="N78">
        <f t="shared" si="10"/>
        <v>88.797960000000003</v>
      </c>
    </row>
    <row r="79" spans="1:14" x14ac:dyDescent="0.3">
      <c r="A79">
        <v>1900</v>
      </c>
      <c r="B79">
        <v>24.439599999999999</v>
      </c>
      <c r="C79">
        <v>27.78</v>
      </c>
      <c r="D79">
        <v>25</v>
      </c>
      <c r="E79">
        <v>26</v>
      </c>
      <c r="F79">
        <v>24.439599999999999</v>
      </c>
      <c r="G79">
        <v>26.1</v>
      </c>
      <c r="H79">
        <v>27.78</v>
      </c>
      <c r="I79">
        <v>26</v>
      </c>
      <c r="J79">
        <f t="shared" si="6"/>
        <v>100.00800000000001</v>
      </c>
      <c r="K79">
        <f t="shared" si="7"/>
        <v>90</v>
      </c>
      <c r="L79">
        <f t="shared" si="8"/>
        <v>93.600000000000009</v>
      </c>
      <c r="M79">
        <f t="shared" si="9"/>
        <v>87.982559999999992</v>
      </c>
      <c r="N79">
        <f t="shared" si="10"/>
        <v>87.982559999999992</v>
      </c>
    </row>
    <row r="80" spans="1:14" x14ac:dyDescent="0.3">
      <c r="A80">
        <v>1925</v>
      </c>
      <c r="B80">
        <v>24.415900000000001</v>
      </c>
      <c r="C80">
        <v>27.78</v>
      </c>
      <c r="D80">
        <v>25</v>
      </c>
      <c r="E80">
        <v>26.2</v>
      </c>
      <c r="F80">
        <v>24.415900000000001</v>
      </c>
      <c r="G80">
        <v>26.1</v>
      </c>
      <c r="H80">
        <v>27.78</v>
      </c>
      <c r="I80">
        <v>26.2</v>
      </c>
      <c r="J80">
        <f t="shared" si="6"/>
        <v>100.00800000000001</v>
      </c>
      <c r="K80">
        <f t="shared" si="7"/>
        <v>90</v>
      </c>
      <c r="L80">
        <f t="shared" si="8"/>
        <v>94.32</v>
      </c>
      <c r="M80">
        <f t="shared" si="9"/>
        <v>87.897240000000011</v>
      </c>
      <c r="N80">
        <f t="shared" si="10"/>
        <v>87.897240000000011</v>
      </c>
    </row>
    <row r="81" spans="1:14" x14ac:dyDescent="0.3">
      <c r="A81">
        <v>1950</v>
      </c>
      <c r="B81">
        <v>24.253699999999998</v>
      </c>
      <c r="C81">
        <v>27.78</v>
      </c>
      <c r="D81">
        <v>25</v>
      </c>
      <c r="E81">
        <v>26.4</v>
      </c>
      <c r="F81">
        <v>24.253699999999998</v>
      </c>
      <c r="G81">
        <v>26.1</v>
      </c>
      <c r="H81">
        <v>27.78</v>
      </c>
      <c r="I81">
        <v>26.4</v>
      </c>
      <c r="J81">
        <f t="shared" si="6"/>
        <v>100.00800000000001</v>
      </c>
      <c r="K81">
        <f t="shared" si="7"/>
        <v>90</v>
      </c>
      <c r="L81">
        <f t="shared" si="8"/>
        <v>95.039999999999992</v>
      </c>
      <c r="M81">
        <f t="shared" si="9"/>
        <v>87.31331999999999</v>
      </c>
      <c r="N81">
        <f t="shared" si="10"/>
        <v>87.31331999999999</v>
      </c>
    </row>
    <row r="82" spans="1:14" x14ac:dyDescent="0.3">
      <c r="A82">
        <v>1975</v>
      </c>
      <c r="B82">
        <v>24.069400000000002</v>
      </c>
      <c r="C82">
        <v>27.78</v>
      </c>
      <c r="D82">
        <v>25</v>
      </c>
      <c r="E82">
        <v>26.6</v>
      </c>
      <c r="F82">
        <v>24.069400000000002</v>
      </c>
      <c r="G82">
        <v>26.1</v>
      </c>
      <c r="H82">
        <v>27.78</v>
      </c>
      <c r="I82">
        <v>26.6</v>
      </c>
      <c r="J82">
        <f t="shared" si="6"/>
        <v>100.00800000000001</v>
      </c>
      <c r="K82">
        <f t="shared" si="7"/>
        <v>90</v>
      </c>
      <c r="L82">
        <f t="shared" si="8"/>
        <v>95.76</v>
      </c>
      <c r="M82">
        <f t="shared" si="9"/>
        <v>86.649840000000012</v>
      </c>
      <c r="N82">
        <f t="shared" si="10"/>
        <v>86.649840000000012</v>
      </c>
    </row>
    <row r="83" spans="1:14" x14ac:dyDescent="0.3">
      <c r="A83">
        <v>2000</v>
      </c>
      <c r="B83">
        <v>24.350999999999999</v>
      </c>
      <c r="C83">
        <v>27.78</v>
      </c>
      <c r="D83">
        <v>25</v>
      </c>
      <c r="E83">
        <v>26.8</v>
      </c>
      <c r="F83">
        <v>24.350999999999999</v>
      </c>
      <c r="G83">
        <v>26.1</v>
      </c>
      <c r="H83">
        <v>27.78</v>
      </c>
      <c r="I83">
        <v>26.8</v>
      </c>
      <c r="J83">
        <f t="shared" si="6"/>
        <v>100.00800000000001</v>
      </c>
      <c r="K83">
        <f t="shared" si="7"/>
        <v>90</v>
      </c>
      <c r="L83">
        <f t="shared" si="8"/>
        <v>96.48</v>
      </c>
      <c r="M83">
        <f t="shared" si="9"/>
        <v>87.663600000000002</v>
      </c>
      <c r="N83">
        <f t="shared" si="10"/>
        <v>87.663600000000002</v>
      </c>
    </row>
    <row r="84" spans="1:14" x14ac:dyDescent="0.3">
      <c r="A84">
        <v>2025</v>
      </c>
      <c r="B84">
        <v>24.574200000000001</v>
      </c>
      <c r="C84">
        <v>27.78</v>
      </c>
      <c r="D84">
        <v>25</v>
      </c>
      <c r="E84">
        <v>27</v>
      </c>
      <c r="F84">
        <v>24.574200000000001</v>
      </c>
      <c r="G84">
        <v>26.1</v>
      </c>
      <c r="H84">
        <v>27.78</v>
      </c>
      <c r="I84">
        <v>27</v>
      </c>
      <c r="J84">
        <f t="shared" si="6"/>
        <v>100.00800000000001</v>
      </c>
      <c r="K84">
        <f t="shared" si="7"/>
        <v>90</v>
      </c>
      <c r="L84">
        <f t="shared" si="8"/>
        <v>97.2</v>
      </c>
      <c r="M84">
        <f t="shared" si="9"/>
        <v>88.467120000000008</v>
      </c>
      <c r="N84">
        <f t="shared" si="10"/>
        <v>88.467120000000008</v>
      </c>
    </row>
    <row r="85" spans="1:14" x14ac:dyDescent="0.3">
      <c r="A85">
        <v>2050</v>
      </c>
      <c r="B85">
        <v>24.843299999999999</v>
      </c>
      <c r="C85">
        <v>27.78</v>
      </c>
      <c r="D85">
        <v>25</v>
      </c>
      <c r="E85">
        <v>27.1</v>
      </c>
      <c r="F85">
        <v>24.843299999999999</v>
      </c>
      <c r="G85">
        <v>26.1</v>
      </c>
      <c r="H85">
        <v>27.78</v>
      </c>
      <c r="I85">
        <v>27.1</v>
      </c>
      <c r="J85">
        <f t="shared" si="6"/>
        <v>100.00800000000001</v>
      </c>
      <c r="K85">
        <f t="shared" si="7"/>
        <v>90</v>
      </c>
      <c r="L85">
        <f t="shared" si="8"/>
        <v>97.56</v>
      </c>
      <c r="M85">
        <f t="shared" si="9"/>
        <v>89.435879999999997</v>
      </c>
      <c r="N85">
        <f t="shared" si="10"/>
        <v>89.435879999999997</v>
      </c>
    </row>
    <row r="86" spans="1:14" x14ac:dyDescent="0.3">
      <c r="A86">
        <v>2075</v>
      </c>
      <c r="B86">
        <v>24.874400000000001</v>
      </c>
      <c r="C86">
        <v>27.78</v>
      </c>
      <c r="D86">
        <v>25</v>
      </c>
      <c r="E86">
        <v>27.2</v>
      </c>
      <c r="F86">
        <v>24.874400000000001</v>
      </c>
      <c r="G86">
        <v>26.1</v>
      </c>
      <c r="H86">
        <v>27.78</v>
      </c>
      <c r="I86">
        <v>27.2</v>
      </c>
      <c r="J86">
        <f t="shared" si="6"/>
        <v>100.00800000000001</v>
      </c>
      <c r="K86">
        <f t="shared" si="7"/>
        <v>90</v>
      </c>
      <c r="L86">
        <f t="shared" si="8"/>
        <v>97.92</v>
      </c>
      <c r="M86">
        <f t="shared" si="9"/>
        <v>89.547840000000008</v>
      </c>
      <c r="N86">
        <f t="shared" si="10"/>
        <v>89.547840000000008</v>
      </c>
    </row>
    <row r="87" spans="1:14" x14ac:dyDescent="0.3">
      <c r="A87">
        <v>2100</v>
      </c>
      <c r="B87">
        <v>24.962</v>
      </c>
      <c r="C87">
        <v>27.7</v>
      </c>
      <c r="D87">
        <v>25</v>
      </c>
      <c r="E87">
        <v>27.3</v>
      </c>
      <c r="F87">
        <v>24.962</v>
      </c>
      <c r="G87">
        <v>26.1</v>
      </c>
      <c r="H87">
        <v>27.78</v>
      </c>
      <c r="I87">
        <v>27.3</v>
      </c>
      <c r="J87">
        <f t="shared" si="6"/>
        <v>99.72</v>
      </c>
      <c r="K87">
        <f t="shared" si="7"/>
        <v>90</v>
      </c>
      <c r="L87">
        <f t="shared" si="8"/>
        <v>98.28</v>
      </c>
      <c r="M87">
        <f t="shared" si="9"/>
        <v>89.863200000000006</v>
      </c>
      <c r="N87">
        <f t="shared" si="10"/>
        <v>89.863200000000006</v>
      </c>
    </row>
    <row r="88" spans="1:14" x14ac:dyDescent="0.3">
      <c r="A88">
        <v>2125</v>
      </c>
      <c r="B88">
        <v>25.016500000000001</v>
      </c>
      <c r="C88">
        <v>27.6</v>
      </c>
      <c r="D88">
        <v>25</v>
      </c>
      <c r="E88">
        <v>27.4</v>
      </c>
      <c r="F88">
        <v>25.016500000000001</v>
      </c>
      <c r="G88">
        <v>26.2</v>
      </c>
      <c r="H88">
        <v>27.78</v>
      </c>
      <c r="I88">
        <v>27.4</v>
      </c>
      <c r="J88">
        <f t="shared" si="6"/>
        <v>99.360000000000014</v>
      </c>
      <c r="K88">
        <f t="shared" si="7"/>
        <v>90</v>
      </c>
      <c r="L88">
        <f t="shared" si="8"/>
        <v>98.64</v>
      </c>
      <c r="M88">
        <f t="shared" si="9"/>
        <v>90.059400000000011</v>
      </c>
      <c r="N88">
        <f t="shared" si="10"/>
        <v>90.059400000000011</v>
      </c>
    </row>
    <row r="89" spans="1:14" x14ac:dyDescent="0.3">
      <c r="A89">
        <v>2150</v>
      </c>
      <c r="B89">
        <v>24.992000000000001</v>
      </c>
      <c r="C89">
        <v>27.5</v>
      </c>
      <c r="D89">
        <v>25</v>
      </c>
      <c r="E89">
        <v>27.5</v>
      </c>
      <c r="F89">
        <v>24.992000000000001</v>
      </c>
      <c r="G89">
        <v>26.3</v>
      </c>
      <c r="H89">
        <v>27.78</v>
      </c>
      <c r="I89">
        <v>27.5</v>
      </c>
      <c r="J89">
        <f t="shared" si="6"/>
        <v>99</v>
      </c>
      <c r="K89">
        <f t="shared" si="7"/>
        <v>90</v>
      </c>
      <c r="L89">
        <f t="shared" si="8"/>
        <v>99</v>
      </c>
      <c r="M89">
        <f t="shared" si="9"/>
        <v>89.97120000000001</v>
      </c>
      <c r="N89">
        <f t="shared" si="10"/>
        <v>89.97120000000001</v>
      </c>
    </row>
    <row r="90" spans="1:14" x14ac:dyDescent="0.3">
      <c r="A90">
        <v>2175</v>
      </c>
      <c r="B90">
        <v>25.046399999999998</v>
      </c>
      <c r="C90">
        <v>27.4</v>
      </c>
      <c r="D90">
        <v>25</v>
      </c>
      <c r="E90">
        <v>27.6</v>
      </c>
      <c r="F90">
        <v>25.046399999999998</v>
      </c>
      <c r="G90">
        <v>26.4</v>
      </c>
      <c r="H90">
        <v>27.78</v>
      </c>
      <c r="I90">
        <v>27.6</v>
      </c>
      <c r="J90">
        <f t="shared" si="6"/>
        <v>98.64</v>
      </c>
      <c r="K90">
        <f t="shared" si="7"/>
        <v>90</v>
      </c>
      <c r="L90">
        <f t="shared" si="8"/>
        <v>99.360000000000014</v>
      </c>
      <c r="M90">
        <f t="shared" si="9"/>
        <v>90.16704</v>
      </c>
      <c r="N90">
        <f t="shared" si="10"/>
        <v>90.16704</v>
      </c>
    </row>
    <row r="91" spans="1:14" x14ac:dyDescent="0.3">
      <c r="A91">
        <v>2200</v>
      </c>
      <c r="B91">
        <v>25.418500000000002</v>
      </c>
      <c r="C91">
        <v>27.3</v>
      </c>
      <c r="D91">
        <v>25</v>
      </c>
      <c r="E91">
        <v>27.7</v>
      </c>
      <c r="F91">
        <v>25.418500000000002</v>
      </c>
      <c r="G91">
        <v>26.5</v>
      </c>
      <c r="H91">
        <v>27.78</v>
      </c>
      <c r="I91">
        <v>27.7</v>
      </c>
      <c r="J91">
        <f t="shared" si="6"/>
        <v>98.28</v>
      </c>
      <c r="K91">
        <f t="shared" si="7"/>
        <v>90</v>
      </c>
      <c r="L91">
        <f t="shared" si="8"/>
        <v>99.72</v>
      </c>
      <c r="M91">
        <f t="shared" si="9"/>
        <v>91.506600000000006</v>
      </c>
      <c r="N91">
        <f t="shared" si="10"/>
        <v>91.506600000000006</v>
      </c>
    </row>
    <row r="92" spans="1:14" x14ac:dyDescent="0.3">
      <c r="A92">
        <v>2225</v>
      </c>
      <c r="B92">
        <v>25.5915</v>
      </c>
      <c r="C92">
        <v>27.2</v>
      </c>
      <c r="D92">
        <v>25</v>
      </c>
      <c r="E92">
        <v>27.78</v>
      </c>
      <c r="F92">
        <v>25.5915</v>
      </c>
      <c r="G92">
        <v>26.6</v>
      </c>
      <c r="H92">
        <v>27.78</v>
      </c>
      <c r="I92">
        <v>27.78</v>
      </c>
      <c r="J92">
        <f t="shared" si="6"/>
        <v>97.92</v>
      </c>
      <c r="K92">
        <f t="shared" si="7"/>
        <v>90</v>
      </c>
      <c r="L92">
        <f t="shared" si="8"/>
        <v>100.00800000000001</v>
      </c>
      <c r="M92">
        <f t="shared" si="9"/>
        <v>92.129400000000004</v>
      </c>
      <c r="N92">
        <f t="shared" si="10"/>
        <v>92.129400000000004</v>
      </c>
    </row>
    <row r="93" spans="1:14" x14ac:dyDescent="0.3">
      <c r="A93">
        <v>2250</v>
      </c>
      <c r="B93">
        <v>25.3093</v>
      </c>
      <c r="C93">
        <v>27.1</v>
      </c>
      <c r="D93">
        <v>25</v>
      </c>
      <c r="E93">
        <v>27.78</v>
      </c>
      <c r="F93">
        <v>25.3093</v>
      </c>
      <c r="G93">
        <v>26.7</v>
      </c>
      <c r="H93">
        <v>27.78</v>
      </c>
      <c r="I93">
        <v>27.78</v>
      </c>
      <c r="J93">
        <f t="shared" si="6"/>
        <v>97.56</v>
      </c>
      <c r="K93">
        <f t="shared" si="7"/>
        <v>90</v>
      </c>
      <c r="L93">
        <f t="shared" si="8"/>
        <v>100.00800000000001</v>
      </c>
      <c r="M93">
        <f t="shared" si="9"/>
        <v>91.11348000000001</v>
      </c>
      <c r="N93">
        <f t="shared" si="10"/>
        <v>91.11348000000001</v>
      </c>
    </row>
    <row r="94" spans="1:14" x14ac:dyDescent="0.3">
      <c r="A94">
        <v>2275</v>
      </c>
      <c r="B94">
        <v>24.9146</v>
      </c>
      <c r="C94">
        <v>27</v>
      </c>
      <c r="D94">
        <v>25</v>
      </c>
      <c r="E94">
        <v>27.78</v>
      </c>
      <c r="F94">
        <v>24.9146</v>
      </c>
      <c r="G94">
        <v>26.8</v>
      </c>
      <c r="H94">
        <v>27.78</v>
      </c>
      <c r="I94">
        <v>27.78</v>
      </c>
      <c r="J94">
        <f t="shared" si="6"/>
        <v>97.2</v>
      </c>
      <c r="K94">
        <f t="shared" si="7"/>
        <v>90</v>
      </c>
      <c r="L94">
        <f t="shared" si="8"/>
        <v>100.00800000000001</v>
      </c>
      <c r="M94">
        <f t="shared" si="9"/>
        <v>89.69256</v>
      </c>
      <c r="N94">
        <f t="shared" si="10"/>
        <v>89.69256</v>
      </c>
    </row>
    <row r="95" spans="1:14" x14ac:dyDescent="0.3">
      <c r="A95">
        <v>2300</v>
      </c>
      <c r="B95">
        <v>24.522400000000001</v>
      </c>
      <c r="C95">
        <v>26.9</v>
      </c>
      <c r="D95">
        <v>25</v>
      </c>
      <c r="E95">
        <v>27.78</v>
      </c>
      <c r="F95">
        <v>24.522400000000001</v>
      </c>
      <c r="G95">
        <v>26.9</v>
      </c>
      <c r="H95">
        <v>27.78</v>
      </c>
      <c r="I95">
        <v>27.78</v>
      </c>
      <c r="J95">
        <f t="shared" si="6"/>
        <v>96.84</v>
      </c>
      <c r="K95">
        <f t="shared" si="7"/>
        <v>90</v>
      </c>
      <c r="L95">
        <f t="shared" si="8"/>
        <v>100.00800000000001</v>
      </c>
      <c r="M95">
        <f t="shared" si="9"/>
        <v>88.280640000000005</v>
      </c>
      <c r="N95">
        <f t="shared" si="10"/>
        <v>88.280640000000005</v>
      </c>
    </row>
    <row r="96" spans="1:14" x14ac:dyDescent="0.3">
      <c r="A96">
        <v>2325</v>
      </c>
      <c r="B96">
        <v>24.328499999999998</v>
      </c>
      <c r="C96">
        <v>26.8</v>
      </c>
      <c r="D96">
        <v>25</v>
      </c>
      <c r="E96">
        <v>27.78</v>
      </c>
      <c r="F96">
        <v>24.328499999999998</v>
      </c>
      <c r="G96">
        <v>27</v>
      </c>
      <c r="H96">
        <v>27.78</v>
      </c>
      <c r="I96">
        <v>27.78</v>
      </c>
      <c r="J96">
        <f t="shared" si="6"/>
        <v>96.48</v>
      </c>
      <c r="K96">
        <f t="shared" si="7"/>
        <v>90</v>
      </c>
      <c r="L96">
        <f t="shared" si="8"/>
        <v>100.00800000000001</v>
      </c>
      <c r="M96">
        <f t="shared" si="9"/>
        <v>87.582599999999999</v>
      </c>
      <c r="N96">
        <f t="shared" si="10"/>
        <v>87.582599999999999</v>
      </c>
    </row>
    <row r="97" spans="1:14" x14ac:dyDescent="0.3">
      <c r="A97">
        <v>2350</v>
      </c>
      <c r="B97">
        <v>24.680399999999999</v>
      </c>
      <c r="C97">
        <v>26.7</v>
      </c>
      <c r="D97">
        <v>25</v>
      </c>
      <c r="E97">
        <v>27.78</v>
      </c>
      <c r="F97">
        <v>24.680399999999999</v>
      </c>
      <c r="G97">
        <v>27.1</v>
      </c>
      <c r="H97">
        <v>27.78</v>
      </c>
      <c r="I97">
        <v>27.78</v>
      </c>
      <c r="J97">
        <f t="shared" si="6"/>
        <v>96.12</v>
      </c>
      <c r="K97">
        <f t="shared" si="7"/>
        <v>90</v>
      </c>
      <c r="L97">
        <f t="shared" si="8"/>
        <v>100.00800000000001</v>
      </c>
      <c r="M97">
        <f t="shared" si="9"/>
        <v>88.849440000000001</v>
      </c>
      <c r="N97">
        <f t="shared" si="10"/>
        <v>88.849440000000001</v>
      </c>
    </row>
    <row r="98" spans="1:14" x14ac:dyDescent="0.3">
      <c r="A98">
        <v>2375</v>
      </c>
      <c r="B98">
        <v>25.232800000000001</v>
      </c>
      <c r="C98">
        <v>26.6</v>
      </c>
      <c r="D98">
        <v>25</v>
      </c>
      <c r="E98">
        <v>27.78</v>
      </c>
      <c r="F98">
        <v>25.232800000000001</v>
      </c>
      <c r="G98">
        <v>27.2</v>
      </c>
      <c r="H98">
        <v>27.78</v>
      </c>
      <c r="I98">
        <v>27.78</v>
      </c>
      <c r="J98">
        <f t="shared" si="6"/>
        <v>95.76</v>
      </c>
      <c r="K98">
        <f t="shared" si="7"/>
        <v>90</v>
      </c>
      <c r="L98">
        <f t="shared" si="8"/>
        <v>100.00800000000001</v>
      </c>
      <c r="M98">
        <f t="shared" si="9"/>
        <v>90.838080000000005</v>
      </c>
      <c r="N98">
        <f t="shared" si="10"/>
        <v>90.838080000000005</v>
      </c>
    </row>
    <row r="99" spans="1:14" x14ac:dyDescent="0.3">
      <c r="A99">
        <v>2400</v>
      </c>
      <c r="B99">
        <v>25.676500000000001</v>
      </c>
      <c r="C99">
        <v>26.5</v>
      </c>
      <c r="D99">
        <v>25</v>
      </c>
      <c r="E99">
        <v>27.78</v>
      </c>
      <c r="F99">
        <v>25.676500000000001</v>
      </c>
      <c r="G99">
        <v>27.3</v>
      </c>
      <c r="H99">
        <v>27.78</v>
      </c>
      <c r="I99">
        <v>27.78</v>
      </c>
      <c r="J99">
        <f t="shared" si="6"/>
        <v>95.4</v>
      </c>
      <c r="K99">
        <f t="shared" si="7"/>
        <v>90</v>
      </c>
      <c r="L99">
        <f t="shared" si="8"/>
        <v>100.00800000000001</v>
      </c>
      <c r="M99">
        <f t="shared" si="9"/>
        <v>92.435400000000001</v>
      </c>
      <c r="N99">
        <f t="shared" si="10"/>
        <v>92.435400000000001</v>
      </c>
    </row>
    <row r="100" spans="1:14" x14ac:dyDescent="0.3">
      <c r="A100">
        <v>2425</v>
      </c>
      <c r="B100">
        <v>26.153400000000001</v>
      </c>
      <c r="C100">
        <v>26.3</v>
      </c>
      <c r="D100">
        <v>25</v>
      </c>
      <c r="E100">
        <v>27.78</v>
      </c>
      <c r="F100">
        <v>26.153400000000001</v>
      </c>
      <c r="G100">
        <v>27.4</v>
      </c>
      <c r="H100">
        <v>27.78</v>
      </c>
      <c r="I100">
        <v>27.78</v>
      </c>
      <c r="J100">
        <f t="shared" si="6"/>
        <v>94.68</v>
      </c>
      <c r="K100">
        <f t="shared" si="7"/>
        <v>90</v>
      </c>
      <c r="L100">
        <f t="shared" si="8"/>
        <v>100.00800000000001</v>
      </c>
      <c r="M100">
        <f t="shared" si="9"/>
        <v>94.152240000000006</v>
      </c>
      <c r="N100">
        <f t="shared" si="10"/>
        <v>94.152240000000006</v>
      </c>
    </row>
    <row r="101" spans="1:14" x14ac:dyDescent="0.3">
      <c r="A101">
        <v>2450</v>
      </c>
      <c r="B101">
        <v>26.112500000000001</v>
      </c>
      <c r="C101">
        <v>26.1</v>
      </c>
      <c r="D101">
        <v>25</v>
      </c>
      <c r="E101">
        <v>27.78</v>
      </c>
      <c r="F101">
        <v>26.112500000000001</v>
      </c>
      <c r="G101">
        <v>27.5</v>
      </c>
      <c r="H101">
        <v>27.78</v>
      </c>
      <c r="I101">
        <v>27.78</v>
      </c>
      <c r="J101">
        <f t="shared" si="6"/>
        <v>93.960000000000008</v>
      </c>
      <c r="K101">
        <f t="shared" si="7"/>
        <v>90</v>
      </c>
      <c r="L101">
        <f t="shared" si="8"/>
        <v>100.00800000000001</v>
      </c>
      <c r="M101">
        <f t="shared" si="9"/>
        <v>94.00500000000001</v>
      </c>
      <c r="N101">
        <f t="shared" si="10"/>
        <v>94.00500000000001</v>
      </c>
    </row>
    <row r="102" spans="1:14" x14ac:dyDescent="0.3">
      <c r="A102">
        <v>2475</v>
      </c>
      <c r="B102">
        <v>26.3003</v>
      </c>
      <c r="C102">
        <v>26</v>
      </c>
      <c r="D102">
        <v>25</v>
      </c>
      <c r="E102">
        <v>27.7</v>
      </c>
      <c r="F102">
        <v>26.3003</v>
      </c>
      <c r="G102">
        <v>27.6</v>
      </c>
      <c r="H102">
        <v>27.78</v>
      </c>
      <c r="I102">
        <v>27.7</v>
      </c>
      <c r="J102">
        <f t="shared" si="6"/>
        <v>93.600000000000009</v>
      </c>
      <c r="K102">
        <f t="shared" si="7"/>
        <v>90</v>
      </c>
      <c r="L102">
        <f t="shared" si="8"/>
        <v>99.72</v>
      </c>
      <c r="M102">
        <f t="shared" si="9"/>
        <v>94.681080000000009</v>
      </c>
      <c r="N102">
        <f t="shared" si="10"/>
        <v>94.681080000000009</v>
      </c>
    </row>
    <row r="103" spans="1:14" x14ac:dyDescent="0.3">
      <c r="A103">
        <v>2500</v>
      </c>
      <c r="B103">
        <v>26.550899999999999</v>
      </c>
      <c r="C103">
        <v>25.9</v>
      </c>
      <c r="D103">
        <v>25</v>
      </c>
      <c r="E103">
        <v>27.6</v>
      </c>
      <c r="F103">
        <v>26.550899999999999</v>
      </c>
      <c r="G103">
        <v>27.7</v>
      </c>
      <c r="H103">
        <v>27.78</v>
      </c>
      <c r="I103">
        <v>27.6</v>
      </c>
      <c r="J103">
        <f t="shared" si="6"/>
        <v>93.24</v>
      </c>
      <c r="K103">
        <f t="shared" si="7"/>
        <v>90</v>
      </c>
      <c r="L103">
        <f t="shared" si="8"/>
        <v>99.360000000000014</v>
      </c>
      <c r="M103">
        <f t="shared" si="9"/>
        <v>95.583240000000004</v>
      </c>
      <c r="N103">
        <f t="shared" si="10"/>
        <v>95.583240000000004</v>
      </c>
    </row>
    <row r="104" spans="1:14" x14ac:dyDescent="0.3">
      <c r="A104">
        <v>2525</v>
      </c>
      <c r="B104">
        <v>26.611499999999999</v>
      </c>
      <c r="C104">
        <v>25.8</v>
      </c>
      <c r="D104">
        <v>25</v>
      </c>
      <c r="E104">
        <v>27.5</v>
      </c>
      <c r="F104">
        <v>26.611499999999999</v>
      </c>
      <c r="G104">
        <v>27.78</v>
      </c>
      <c r="H104">
        <v>27.78</v>
      </c>
      <c r="I104">
        <v>27.5</v>
      </c>
      <c r="J104">
        <f t="shared" si="6"/>
        <v>92.88000000000001</v>
      </c>
      <c r="K104">
        <f t="shared" si="7"/>
        <v>90</v>
      </c>
      <c r="L104">
        <f t="shared" si="8"/>
        <v>99</v>
      </c>
      <c r="M104">
        <f t="shared" si="9"/>
        <v>95.801400000000001</v>
      </c>
      <c r="N104">
        <f t="shared" si="10"/>
        <v>95.801400000000001</v>
      </c>
    </row>
    <row r="105" spans="1:14" x14ac:dyDescent="0.3">
      <c r="A105">
        <v>2550</v>
      </c>
      <c r="B105">
        <v>26.506900000000002</v>
      </c>
      <c r="C105">
        <v>25.7</v>
      </c>
      <c r="D105">
        <v>25</v>
      </c>
      <c r="E105">
        <v>27.4</v>
      </c>
      <c r="F105">
        <v>26.506900000000002</v>
      </c>
      <c r="G105">
        <v>27.78</v>
      </c>
      <c r="H105">
        <v>27.78</v>
      </c>
      <c r="I105">
        <v>27.4</v>
      </c>
      <c r="J105">
        <f t="shared" si="6"/>
        <v>92.52</v>
      </c>
      <c r="K105">
        <f t="shared" si="7"/>
        <v>90</v>
      </c>
      <c r="L105">
        <f t="shared" si="8"/>
        <v>98.64</v>
      </c>
      <c r="M105">
        <f t="shared" si="9"/>
        <v>95.424840000000003</v>
      </c>
      <c r="N105">
        <f t="shared" si="10"/>
        <v>95.424840000000003</v>
      </c>
    </row>
    <row r="106" spans="1:14" x14ac:dyDescent="0.3">
      <c r="A106">
        <v>2575</v>
      </c>
      <c r="B106">
        <v>26.545999999999999</v>
      </c>
      <c r="C106">
        <v>25.6</v>
      </c>
      <c r="D106">
        <v>25</v>
      </c>
      <c r="E106">
        <v>27.3</v>
      </c>
      <c r="F106">
        <v>26.545999999999999</v>
      </c>
      <c r="G106">
        <v>27.78</v>
      </c>
      <c r="H106">
        <v>27.78</v>
      </c>
      <c r="I106">
        <v>27.3</v>
      </c>
      <c r="J106">
        <f t="shared" si="6"/>
        <v>92.160000000000011</v>
      </c>
      <c r="K106">
        <f t="shared" si="7"/>
        <v>90</v>
      </c>
      <c r="L106">
        <f t="shared" si="8"/>
        <v>98.28</v>
      </c>
      <c r="M106">
        <f t="shared" si="9"/>
        <v>95.565600000000003</v>
      </c>
      <c r="N106">
        <f t="shared" si="10"/>
        <v>95.565600000000003</v>
      </c>
    </row>
    <row r="107" spans="1:14" x14ac:dyDescent="0.3">
      <c r="A107">
        <v>2600</v>
      </c>
      <c r="B107">
        <v>26.638000000000002</v>
      </c>
      <c r="C107">
        <v>25.5</v>
      </c>
      <c r="D107">
        <v>25</v>
      </c>
      <c r="E107">
        <v>27.2</v>
      </c>
      <c r="F107">
        <v>26.638000000000002</v>
      </c>
      <c r="G107">
        <v>27.78</v>
      </c>
      <c r="H107">
        <v>27.78</v>
      </c>
      <c r="I107">
        <v>27.2</v>
      </c>
      <c r="J107">
        <f t="shared" si="6"/>
        <v>91.8</v>
      </c>
      <c r="K107">
        <f t="shared" si="7"/>
        <v>90</v>
      </c>
      <c r="L107">
        <f t="shared" si="8"/>
        <v>97.92</v>
      </c>
      <c r="M107">
        <f t="shared" si="9"/>
        <v>95.896800000000013</v>
      </c>
      <c r="N107">
        <f t="shared" si="10"/>
        <v>95.896800000000013</v>
      </c>
    </row>
    <row r="108" spans="1:14" x14ac:dyDescent="0.3">
      <c r="A108">
        <v>2625</v>
      </c>
      <c r="B108">
        <v>26.421700000000001</v>
      </c>
      <c r="C108">
        <v>25.4</v>
      </c>
      <c r="D108">
        <v>25</v>
      </c>
      <c r="E108">
        <v>27</v>
      </c>
      <c r="F108">
        <v>26.421700000000001</v>
      </c>
      <c r="G108">
        <v>27.78</v>
      </c>
      <c r="H108">
        <v>27.78</v>
      </c>
      <c r="I108">
        <v>27</v>
      </c>
      <c r="J108">
        <f t="shared" si="6"/>
        <v>91.44</v>
      </c>
      <c r="K108">
        <f t="shared" si="7"/>
        <v>90</v>
      </c>
      <c r="L108">
        <f t="shared" si="8"/>
        <v>97.2</v>
      </c>
      <c r="M108">
        <f t="shared" si="9"/>
        <v>95.118120000000005</v>
      </c>
      <c r="N108">
        <f t="shared" si="10"/>
        <v>95.118120000000005</v>
      </c>
    </row>
    <row r="109" spans="1:14" x14ac:dyDescent="0.3">
      <c r="A109">
        <v>2650</v>
      </c>
      <c r="B109">
        <v>26.679300000000001</v>
      </c>
      <c r="C109">
        <v>25.3</v>
      </c>
      <c r="D109">
        <v>25</v>
      </c>
      <c r="E109">
        <v>26.9</v>
      </c>
      <c r="F109">
        <v>26.679300000000001</v>
      </c>
      <c r="G109">
        <v>27.78</v>
      </c>
      <c r="H109">
        <v>27.78</v>
      </c>
      <c r="I109">
        <v>26.8</v>
      </c>
      <c r="J109">
        <f t="shared" si="6"/>
        <v>91.08</v>
      </c>
      <c r="K109">
        <f t="shared" si="7"/>
        <v>90</v>
      </c>
      <c r="L109">
        <f t="shared" si="8"/>
        <v>96.84</v>
      </c>
      <c r="M109">
        <f t="shared" si="9"/>
        <v>96.045480000000012</v>
      </c>
      <c r="N109">
        <f t="shared" si="10"/>
        <v>96.045480000000012</v>
      </c>
    </row>
    <row r="110" spans="1:14" x14ac:dyDescent="0.3">
      <c r="A110">
        <v>2675</v>
      </c>
      <c r="B110">
        <v>26.9207</v>
      </c>
      <c r="C110">
        <v>25.2</v>
      </c>
      <c r="D110">
        <v>25</v>
      </c>
      <c r="E110">
        <v>26.7</v>
      </c>
      <c r="F110">
        <v>26.9207</v>
      </c>
      <c r="G110">
        <v>27.78</v>
      </c>
      <c r="H110">
        <v>27.78</v>
      </c>
      <c r="I110">
        <v>26.6</v>
      </c>
      <c r="J110">
        <f t="shared" si="6"/>
        <v>90.72</v>
      </c>
      <c r="K110">
        <f t="shared" si="7"/>
        <v>90</v>
      </c>
      <c r="L110">
        <f t="shared" si="8"/>
        <v>96.12</v>
      </c>
      <c r="M110">
        <f t="shared" si="9"/>
        <v>96.914519999999996</v>
      </c>
      <c r="N110">
        <f t="shared" si="10"/>
        <v>96.914519999999996</v>
      </c>
    </row>
    <row r="111" spans="1:14" x14ac:dyDescent="0.3">
      <c r="A111">
        <v>2700</v>
      </c>
      <c r="B111">
        <v>26.627800000000001</v>
      </c>
      <c r="C111">
        <v>25.1</v>
      </c>
      <c r="D111">
        <v>25</v>
      </c>
      <c r="E111">
        <v>26.5</v>
      </c>
      <c r="F111">
        <v>26.627800000000001</v>
      </c>
      <c r="G111">
        <v>27.78</v>
      </c>
      <c r="H111">
        <v>27.78</v>
      </c>
      <c r="I111">
        <v>26.4</v>
      </c>
      <c r="J111">
        <f t="shared" si="6"/>
        <v>90.360000000000014</v>
      </c>
      <c r="K111">
        <f t="shared" si="7"/>
        <v>90</v>
      </c>
      <c r="L111">
        <f t="shared" si="8"/>
        <v>95.4</v>
      </c>
      <c r="M111">
        <f t="shared" si="9"/>
        <v>95.860080000000011</v>
      </c>
      <c r="N111">
        <f t="shared" si="10"/>
        <v>95.860080000000011</v>
      </c>
    </row>
    <row r="112" spans="1:14" x14ac:dyDescent="0.3">
      <c r="A112">
        <v>2725</v>
      </c>
      <c r="B112">
        <v>26.196400000000001</v>
      </c>
      <c r="C112">
        <v>25</v>
      </c>
      <c r="D112">
        <v>25</v>
      </c>
      <c r="E112">
        <v>26.3</v>
      </c>
      <c r="F112">
        <v>26.196400000000001</v>
      </c>
      <c r="G112">
        <v>27.78</v>
      </c>
      <c r="H112">
        <v>27.78</v>
      </c>
      <c r="I112">
        <v>26.2</v>
      </c>
      <c r="J112">
        <f t="shared" si="6"/>
        <v>90</v>
      </c>
      <c r="K112">
        <f t="shared" si="7"/>
        <v>90</v>
      </c>
      <c r="L112">
        <f t="shared" si="8"/>
        <v>94.68</v>
      </c>
      <c r="M112">
        <f t="shared" si="9"/>
        <v>94.307040000000001</v>
      </c>
      <c r="N112">
        <f t="shared" si="10"/>
        <v>94.307040000000001</v>
      </c>
    </row>
    <row r="113" spans="1:14" x14ac:dyDescent="0.3">
      <c r="A113">
        <v>2750</v>
      </c>
      <c r="B113">
        <v>25.747299999999999</v>
      </c>
      <c r="C113">
        <v>25</v>
      </c>
      <c r="D113">
        <v>25</v>
      </c>
      <c r="E113">
        <v>26.1</v>
      </c>
      <c r="F113">
        <v>25.747299999999999</v>
      </c>
      <c r="G113">
        <v>27.78</v>
      </c>
      <c r="H113">
        <v>27.78</v>
      </c>
      <c r="I113">
        <v>26</v>
      </c>
      <c r="J113">
        <f t="shared" si="6"/>
        <v>90</v>
      </c>
      <c r="K113">
        <f t="shared" si="7"/>
        <v>90</v>
      </c>
      <c r="L113">
        <f t="shared" si="8"/>
        <v>93.960000000000008</v>
      </c>
      <c r="M113">
        <f t="shared" si="9"/>
        <v>92.690280000000001</v>
      </c>
      <c r="N113">
        <f t="shared" si="10"/>
        <v>92.690280000000001</v>
      </c>
    </row>
    <row r="114" spans="1:14" x14ac:dyDescent="0.3">
      <c r="A114">
        <v>2775</v>
      </c>
      <c r="B114">
        <v>25.1723</v>
      </c>
      <c r="C114">
        <v>25</v>
      </c>
      <c r="D114">
        <v>25</v>
      </c>
      <c r="E114">
        <v>25.9</v>
      </c>
      <c r="F114">
        <v>25.1723</v>
      </c>
      <c r="G114">
        <v>27.78</v>
      </c>
      <c r="H114">
        <v>27.78</v>
      </c>
      <c r="I114">
        <v>25.8</v>
      </c>
      <c r="J114">
        <f t="shared" si="6"/>
        <v>90</v>
      </c>
      <c r="K114">
        <f t="shared" si="7"/>
        <v>90</v>
      </c>
      <c r="L114">
        <f t="shared" si="8"/>
        <v>93.24</v>
      </c>
      <c r="M114">
        <f t="shared" si="9"/>
        <v>90.620280000000008</v>
      </c>
      <c r="N114">
        <f t="shared" si="10"/>
        <v>90.620280000000008</v>
      </c>
    </row>
    <row r="115" spans="1:14" x14ac:dyDescent="0.3">
      <c r="A115">
        <v>2800</v>
      </c>
      <c r="B115">
        <v>24.857900000000001</v>
      </c>
      <c r="C115">
        <v>25</v>
      </c>
      <c r="D115">
        <v>25</v>
      </c>
      <c r="E115">
        <v>25.8</v>
      </c>
      <c r="F115">
        <v>24.857900000000001</v>
      </c>
      <c r="G115">
        <v>27.78</v>
      </c>
      <c r="H115">
        <v>27.78</v>
      </c>
      <c r="I115">
        <v>25.7</v>
      </c>
      <c r="J115">
        <f t="shared" si="6"/>
        <v>90</v>
      </c>
      <c r="K115">
        <f t="shared" si="7"/>
        <v>90</v>
      </c>
      <c r="L115">
        <f t="shared" si="8"/>
        <v>92.88000000000001</v>
      </c>
      <c r="M115">
        <f t="shared" si="9"/>
        <v>89.488440000000011</v>
      </c>
      <c r="N115">
        <f t="shared" si="10"/>
        <v>89.488440000000011</v>
      </c>
    </row>
    <row r="116" spans="1:14" x14ac:dyDescent="0.3">
      <c r="A116">
        <v>2825</v>
      </c>
      <c r="B116">
        <v>24.95</v>
      </c>
      <c r="C116">
        <v>25</v>
      </c>
      <c r="D116">
        <v>25</v>
      </c>
      <c r="E116">
        <v>25.7</v>
      </c>
      <c r="F116">
        <v>24.95</v>
      </c>
      <c r="G116">
        <v>27.78</v>
      </c>
      <c r="H116">
        <v>27.78</v>
      </c>
      <c r="I116">
        <v>25.6</v>
      </c>
      <c r="J116">
        <f t="shared" si="6"/>
        <v>90</v>
      </c>
      <c r="K116">
        <f t="shared" si="7"/>
        <v>90</v>
      </c>
      <c r="L116">
        <f t="shared" si="8"/>
        <v>92.52</v>
      </c>
      <c r="M116">
        <f t="shared" si="9"/>
        <v>89.82</v>
      </c>
      <c r="N116">
        <f t="shared" si="10"/>
        <v>89.82</v>
      </c>
    </row>
    <row r="117" spans="1:14" x14ac:dyDescent="0.3">
      <c r="A117">
        <v>2850</v>
      </c>
      <c r="B117">
        <v>24.980699999999999</v>
      </c>
      <c r="C117">
        <v>25</v>
      </c>
      <c r="D117">
        <v>25</v>
      </c>
      <c r="E117">
        <v>25.6</v>
      </c>
      <c r="F117">
        <v>24.980699999999999</v>
      </c>
      <c r="G117">
        <v>27.78</v>
      </c>
      <c r="H117">
        <v>27.78</v>
      </c>
      <c r="I117">
        <v>25.5</v>
      </c>
      <c r="J117">
        <f t="shared" si="6"/>
        <v>90</v>
      </c>
      <c r="K117">
        <f t="shared" si="7"/>
        <v>90</v>
      </c>
      <c r="L117">
        <f t="shared" si="8"/>
        <v>92.160000000000011</v>
      </c>
      <c r="M117">
        <f t="shared" si="9"/>
        <v>89.930520000000001</v>
      </c>
      <c r="N117">
        <f t="shared" si="10"/>
        <v>89.930520000000001</v>
      </c>
    </row>
    <row r="118" spans="1:14" x14ac:dyDescent="0.3">
      <c r="A118">
        <v>2875</v>
      </c>
      <c r="B118">
        <v>24.8855</v>
      </c>
      <c r="C118">
        <v>25</v>
      </c>
      <c r="D118">
        <v>25</v>
      </c>
      <c r="E118">
        <v>25.5</v>
      </c>
      <c r="F118">
        <v>24.8855</v>
      </c>
      <c r="G118">
        <v>27.78</v>
      </c>
      <c r="H118">
        <v>27.78</v>
      </c>
      <c r="I118">
        <v>25.4</v>
      </c>
      <c r="J118">
        <f t="shared" si="6"/>
        <v>90</v>
      </c>
      <c r="K118">
        <f t="shared" si="7"/>
        <v>90</v>
      </c>
      <c r="L118">
        <f t="shared" si="8"/>
        <v>91.8</v>
      </c>
      <c r="M118">
        <f t="shared" si="9"/>
        <v>89.587800000000001</v>
      </c>
      <c r="N118">
        <f t="shared" si="10"/>
        <v>89.587800000000001</v>
      </c>
    </row>
    <row r="119" spans="1:14" x14ac:dyDescent="0.3">
      <c r="A119">
        <v>2900</v>
      </c>
      <c r="B119">
        <v>24.749500000000001</v>
      </c>
      <c r="C119">
        <v>25</v>
      </c>
      <c r="D119">
        <v>25</v>
      </c>
      <c r="E119">
        <v>25.4</v>
      </c>
      <c r="F119">
        <v>24.749500000000001</v>
      </c>
      <c r="G119">
        <v>27.78</v>
      </c>
      <c r="H119">
        <v>27.78</v>
      </c>
      <c r="I119">
        <v>25.3</v>
      </c>
      <c r="J119">
        <f t="shared" si="6"/>
        <v>90</v>
      </c>
      <c r="K119">
        <f t="shared" si="7"/>
        <v>90</v>
      </c>
      <c r="L119">
        <f t="shared" si="8"/>
        <v>91.44</v>
      </c>
      <c r="M119">
        <f t="shared" si="9"/>
        <v>89.098200000000006</v>
      </c>
      <c r="N119">
        <f t="shared" si="10"/>
        <v>89.098200000000006</v>
      </c>
    </row>
    <row r="120" spans="1:14" x14ac:dyDescent="0.3">
      <c r="A120">
        <v>2925</v>
      </c>
      <c r="B120">
        <v>24.946999999999999</v>
      </c>
      <c r="C120">
        <v>25</v>
      </c>
      <c r="D120">
        <v>25</v>
      </c>
      <c r="E120">
        <v>25.3</v>
      </c>
      <c r="F120">
        <v>24.946999999999999</v>
      </c>
      <c r="G120">
        <v>27.78</v>
      </c>
      <c r="H120">
        <v>27.78</v>
      </c>
      <c r="I120">
        <v>25.2</v>
      </c>
      <c r="J120">
        <f t="shared" si="6"/>
        <v>90</v>
      </c>
      <c r="K120">
        <f t="shared" si="7"/>
        <v>90</v>
      </c>
      <c r="L120">
        <f t="shared" si="8"/>
        <v>91.08</v>
      </c>
      <c r="M120">
        <f t="shared" si="9"/>
        <v>89.809200000000004</v>
      </c>
      <c r="N120">
        <f t="shared" si="10"/>
        <v>89.809200000000004</v>
      </c>
    </row>
    <row r="121" spans="1:14" x14ac:dyDescent="0.3">
      <c r="A121">
        <v>2950</v>
      </c>
      <c r="B121">
        <v>24.838000000000001</v>
      </c>
      <c r="C121">
        <v>25</v>
      </c>
      <c r="D121">
        <v>25</v>
      </c>
      <c r="E121">
        <v>25.2</v>
      </c>
      <c r="F121">
        <v>24.838000000000001</v>
      </c>
      <c r="G121">
        <v>27.78</v>
      </c>
      <c r="H121">
        <v>27.78</v>
      </c>
      <c r="I121">
        <v>25.1</v>
      </c>
      <c r="J121">
        <f t="shared" si="6"/>
        <v>90</v>
      </c>
      <c r="K121">
        <f t="shared" si="7"/>
        <v>90</v>
      </c>
      <c r="L121">
        <f t="shared" si="8"/>
        <v>90.72</v>
      </c>
      <c r="M121">
        <f t="shared" si="9"/>
        <v>89.416800000000009</v>
      </c>
      <c r="N121">
        <f t="shared" si="10"/>
        <v>89.416800000000009</v>
      </c>
    </row>
    <row r="122" spans="1:14" x14ac:dyDescent="0.3">
      <c r="A122">
        <v>2975</v>
      </c>
      <c r="B122">
        <v>24.628900000000002</v>
      </c>
      <c r="C122">
        <v>25</v>
      </c>
      <c r="D122">
        <v>25</v>
      </c>
      <c r="E122">
        <v>25.1</v>
      </c>
      <c r="F122">
        <v>24.628900000000002</v>
      </c>
      <c r="G122">
        <v>27.7</v>
      </c>
      <c r="H122">
        <v>27.78</v>
      </c>
      <c r="I122">
        <v>25</v>
      </c>
      <c r="J122">
        <f t="shared" si="6"/>
        <v>90</v>
      </c>
      <c r="K122">
        <f t="shared" si="7"/>
        <v>90</v>
      </c>
      <c r="L122">
        <f t="shared" si="8"/>
        <v>90.360000000000014</v>
      </c>
      <c r="M122">
        <f t="shared" si="9"/>
        <v>88.664040000000014</v>
      </c>
      <c r="N122">
        <f t="shared" si="10"/>
        <v>88.664040000000014</v>
      </c>
    </row>
    <row r="123" spans="1:14" x14ac:dyDescent="0.3">
      <c r="A123">
        <v>3000</v>
      </c>
      <c r="B123">
        <v>24.3813</v>
      </c>
      <c r="C123">
        <v>25</v>
      </c>
      <c r="D123">
        <v>25</v>
      </c>
      <c r="E123">
        <v>25</v>
      </c>
      <c r="F123">
        <v>24.3813</v>
      </c>
      <c r="G123">
        <v>27.6</v>
      </c>
      <c r="H123">
        <v>27.7</v>
      </c>
      <c r="I123">
        <v>25</v>
      </c>
      <c r="J123">
        <f t="shared" si="6"/>
        <v>90</v>
      </c>
      <c r="K123">
        <f t="shared" si="7"/>
        <v>90</v>
      </c>
      <c r="L123">
        <f t="shared" si="8"/>
        <v>90</v>
      </c>
      <c r="M123">
        <f t="shared" si="9"/>
        <v>87.772679999999994</v>
      </c>
      <c r="N123">
        <f t="shared" si="10"/>
        <v>87.772679999999994</v>
      </c>
    </row>
    <row r="124" spans="1:14" x14ac:dyDescent="0.3">
      <c r="A124">
        <v>3025</v>
      </c>
      <c r="B124">
        <v>23.816700000000001</v>
      </c>
      <c r="C124">
        <v>25</v>
      </c>
      <c r="D124">
        <v>25</v>
      </c>
      <c r="E124">
        <v>25</v>
      </c>
      <c r="F124">
        <v>23.816700000000001</v>
      </c>
      <c r="G124">
        <v>27.6</v>
      </c>
      <c r="H124">
        <v>27.6</v>
      </c>
      <c r="I124">
        <v>25</v>
      </c>
      <c r="J124">
        <f t="shared" si="6"/>
        <v>90</v>
      </c>
      <c r="K124">
        <f t="shared" si="7"/>
        <v>90</v>
      </c>
      <c r="L124">
        <f t="shared" si="8"/>
        <v>90</v>
      </c>
      <c r="M124">
        <f t="shared" si="9"/>
        <v>85.740120000000005</v>
      </c>
      <c r="N124">
        <f t="shared" si="10"/>
        <v>85.740120000000005</v>
      </c>
    </row>
    <row r="125" spans="1:14" x14ac:dyDescent="0.3">
      <c r="A125">
        <v>3050</v>
      </c>
      <c r="B125">
        <v>23.330500000000001</v>
      </c>
      <c r="C125">
        <v>25</v>
      </c>
      <c r="D125">
        <v>25</v>
      </c>
      <c r="E125">
        <v>25</v>
      </c>
      <c r="F125">
        <v>23.330500000000001</v>
      </c>
      <c r="G125">
        <v>27.6</v>
      </c>
      <c r="H125">
        <v>27.5</v>
      </c>
      <c r="I125">
        <v>25</v>
      </c>
      <c r="J125">
        <f t="shared" si="6"/>
        <v>90</v>
      </c>
      <c r="K125">
        <f t="shared" si="7"/>
        <v>90</v>
      </c>
      <c r="L125">
        <f t="shared" si="8"/>
        <v>90</v>
      </c>
      <c r="M125">
        <f t="shared" si="9"/>
        <v>83.989800000000002</v>
      </c>
      <c r="N125">
        <f t="shared" si="10"/>
        <v>83.989800000000002</v>
      </c>
    </row>
    <row r="126" spans="1:14" x14ac:dyDescent="0.3">
      <c r="A126">
        <v>3075</v>
      </c>
      <c r="B126">
        <v>23.223400000000002</v>
      </c>
      <c r="C126">
        <v>25.1</v>
      </c>
      <c r="D126">
        <v>25</v>
      </c>
      <c r="E126">
        <v>25</v>
      </c>
      <c r="F126">
        <v>23.223400000000002</v>
      </c>
      <c r="G126">
        <v>27.5</v>
      </c>
      <c r="H126">
        <v>27.4</v>
      </c>
      <c r="I126">
        <v>25</v>
      </c>
      <c r="J126">
        <f t="shared" si="6"/>
        <v>90.360000000000014</v>
      </c>
      <c r="K126">
        <f t="shared" si="7"/>
        <v>90</v>
      </c>
      <c r="L126">
        <f t="shared" si="8"/>
        <v>90</v>
      </c>
      <c r="M126">
        <f t="shared" si="9"/>
        <v>83.604240000000004</v>
      </c>
      <c r="N126">
        <f t="shared" si="10"/>
        <v>83.604240000000004</v>
      </c>
    </row>
    <row r="127" spans="1:14" x14ac:dyDescent="0.3">
      <c r="A127">
        <v>3100</v>
      </c>
      <c r="B127">
        <v>23.625599999999999</v>
      </c>
      <c r="C127">
        <v>25.1</v>
      </c>
      <c r="D127">
        <v>25</v>
      </c>
      <c r="E127">
        <v>25</v>
      </c>
      <c r="F127">
        <v>23.625599999999999</v>
      </c>
      <c r="G127">
        <v>27.4</v>
      </c>
      <c r="H127">
        <v>27.3</v>
      </c>
      <c r="I127">
        <v>25</v>
      </c>
      <c r="J127">
        <f t="shared" si="6"/>
        <v>90.360000000000014</v>
      </c>
      <c r="K127">
        <f t="shared" si="7"/>
        <v>90</v>
      </c>
      <c r="L127">
        <f t="shared" si="8"/>
        <v>90</v>
      </c>
      <c r="M127">
        <f t="shared" si="9"/>
        <v>85.052160000000001</v>
      </c>
      <c r="N127">
        <f t="shared" si="10"/>
        <v>85.052160000000001</v>
      </c>
    </row>
    <row r="128" spans="1:14" x14ac:dyDescent="0.3">
      <c r="A128">
        <v>3125</v>
      </c>
      <c r="B128">
        <v>24.179600000000001</v>
      </c>
      <c r="C128">
        <v>25.2</v>
      </c>
      <c r="D128">
        <v>25</v>
      </c>
      <c r="E128">
        <v>25</v>
      </c>
      <c r="F128">
        <v>24.179600000000001</v>
      </c>
      <c r="G128">
        <v>27.3</v>
      </c>
      <c r="H128">
        <v>27.2</v>
      </c>
      <c r="I128">
        <v>25</v>
      </c>
      <c r="J128">
        <f t="shared" si="6"/>
        <v>90.72</v>
      </c>
      <c r="K128">
        <f t="shared" si="7"/>
        <v>90</v>
      </c>
      <c r="L128">
        <f t="shared" si="8"/>
        <v>90</v>
      </c>
      <c r="M128">
        <f t="shared" si="9"/>
        <v>87.046559999999999</v>
      </c>
      <c r="N128">
        <f t="shared" si="10"/>
        <v>87.046559999999999</v>
      </c>
    </row>
    <row r="129" spans="1:14" x14ac:dyDescent="0.3">
      <c r="A129">
        <v>3150</v>
      </c>
      <c r="B129">
        <v>24.323599999999999</v>
      </c>
      <c r="C129">
        <v>25.3</v>
      </c>
      <c r="D129">
        <v>25</v>
      </c>
      <c r="E129">
        <v>25</v>
      </c>
      <c r="F129">
        <v>24.323599999999999</v>
      </c>
      <c r="G129">
        <v>27.2</v>
      </c>
      <c r="H129">
        <v>27.1</v>
      </c>
      <c r="I129">
        <v>25</v>
      </c>
      <c r="J129">
        <f t="shared" si="6"/>
        <v>91.08</v>
      </c>
      <c r="K129">
        <f t="shared" si="7"/>
        <v>90</v>
      </c>
      <c r="L129">
        <f t="shared" si="8"/>
        <v>90</v>
      </c>
      <c r="M129">
        <f t="shared" si="9"/>
        <v>87.564959999999999</v>
      </c>
      <c r="N129">
        <f t="shared" si="10"/>
        <v>87.564959999999999</v>
      </c>
    </row>
    <row r="130" spans="1:14" x14ac:dyDescent="0.3">
      <c r="A130">
        <v>3175</v>
      </c>
      <c r="B130">
        <v>24.380199999999999</v>
      </c>
      <c r="C130">
        <v>25.3</v>
      </c>
      <c r="D130">
        <v>25</v>
      </c>
      <c r="E130">
        <v>25</v>
      </c>
      <c r="F130">
        <v>24.380199999999999</v>
      </c>
      <c r="G130">
        <v>27.1</v>
      </c>
      <c r="H130">
        <v>27</v>
      </c>
      <c r="I130">
        <v>25</v>
      </c>
      <c r="J130">
        <f t="shared" si="6"/>
        <v>91.08</v>
      </c>
      <c r="K130">
        <f t="shared" si="7"/>
        <v>90</v>
      </c>
      <c r="L130">
        <f t="shared" si="8"/>
        <v>90</v>
      </c>
      <c r="M130">
        <f t="shared" si="9"/>
        <v>87.768720000000002</v>
      </c>
      <c r="N130">
        <f t="shared" si="10"/>
        <v>87.768720000000002</v>
      </c>
    </row>
    <row r="131" spans="1:14" x14ac:dyDescent="0.3">
      <c r="A131">
        <v>3200</v>
      </c>
      <c r="B131">
        <v>24.394600000000001</v>
      </c>
      <c r="C131">
        <v>25.3</v>
      </c>
      <c r="D131">
        <v>25</v>
      </c>
      <c r="E131">
        <v>25</v>
      </c>
      <c r="F131">
        <v>24.394600000000001</v>
      </c>
      <c r="G131">
        <v>27</v>
      </c>
      <c r="H131">
        <v>26.9</v>
      </c>
      <c r="I131">
        <v>25</v>
      </c>
      <c r="J131">
        <f t="shared" si="6"/>
        <v>91.08</v>
      </c>
      <c r="K131">
        <f t="shared" si="7"/>
        <v>90</v>
      </c>
      <c r="L131">
        <f t="shared" si="8"/>
        <v>90</v>
      </c>
      <c r="M131">
        <f t="shared" si="9"/>
        <v>87.82056</v>
      </c>
      <c r="N131">
        <f t="shared" si="10"/>
        <v>87.82056</v>
      </c>
    </row>
    <row r="132" spans="1:14" x14ac:dyDescent="0.3">
      <c r="A132">
        <v>3225</v>
      </c>
      <c r="B132">
        <v>23.6965</v>
      </c>
      <c r="C132">
        <v>25.3</v>
      </c>
      <c r="D132">
        <v>25</v>
      </c>
      <c r="E132">
        <v>25</v>
      </c>
      <c r="F132">
        <v>23.6965</v>
      </c>
      <c r="G132">
        <v>26.9</v>
      </c>
      <c r="H132">
        <v>26.8</v>
      </c>
      <c r="I132">
        <v>25</v>
      </c>
      <c r="J132">
        <f t="shared" ref="J132:J147" si="11">C132*3.6</f>
        <v>91.08</v>
      </c>
      <c r="K132">
        <f t="shared" ref="K132:K147" si="12">D132*3.6</f>
        <v>90</v>
      </c>
      <c r="L132">
        <f t="shared" ref="L132:L147" si="13">E132*3.6</f>
        <v>90</v>
      </c>
      <c r="M132">
        <f t="shared" ref="M132:M147" si="14">F132*3.6</f>
        <v>85.307400000000001</v>
      </c>
      <c r="N132">
        <f t="shared" ref="N132:N147" si="15">B132*3.6</f>
        <v>85.307400000000001</v>
      </c>
    </row>
    <row r="133" spans="1:14" x14ac:dyDescent="0.3">
      <c r="A133">
        <v>3250</v>
      </c>
      <c r="B133">
        <v>23.307400000000001</v>
      </c>
      <c r="C133">
        <v>25.3</v>
      </c>
      <c r="D133">
        <v>25</v>
      </c>
      <c r="E133">
        <v>25</v>
      </c>
      <c r="F133">
        <v>23.307400000000001</v>
      </c>
      <c r="G133">
        <v>26.8</v>
      </c>
      <c r="H133">
        <v>26.7</v>
      </c>
      <c r="I133">
        <v>25</v>
      </c>
      <c r="J133">
        <f t="shared" si="11"/>
        <v>91.08</v>
      </c>
      <c r="K133">
        <f t="shared" si="12"/>
        <v>90</v>
      </c>
      <c r="L133">
        <f t="shared" si="13"/>
        <v>90</v>
      </c>
      <c r="M133">
        <f t="shared" si="14"/>
        <v>83.90664000000001</v>
      </c>
      <c r="N133">
        <f t="shared" si="15"/>
        <v>83.90664000000001</v>
      </c>
    </row>
    <row r="134" spans="1:14" x14ac:dyDescent="0.3">
      <c r="A134">
        <v>3275</v>
      </c>
      <c r="B134">
        <v>23.182300000000001</v>
      </c>
      <c r="C134">
        <v>25.3</v>
      </c>
      <c r="D134">
        <v>25</v>
      </c>
      <c r="E134">
        <v>25</v>
      </c>
      <c r="F134">
        <v>23.182300000000001</v>
      </c>
      <c r="G134">
        <v>26.7</v>
      </c>
      <c r="H134">
        <v>26.6</v>
      </c>
      <c r="I134">
        <v>25</v>
      </c>
      <c r="J134">
        <f t="shared" si="11"/>
        <v>91.08</v>
      </c>
      <c r="K134">
        <f t="shared" si="12"/>
        <v>90</v>
      </c>
      <c r="L134">
        <f t="shared" si="13"/>
        <v>90</v>
      </c>
      <c r="M134">
        <f t="shared" si="14"/>
        <v>83.456280000000007</v>
      </c>
      <c r="N134">
        <f t="shared" si="15"/>
        <v>83.456280000000007</v>
      </c>
    </row>
    <row r="135" spans="1:14" x14ac:dyDescent="0.3">
      <c r="A135">
        <v>3300</v>
      </c>
      <c r="B135">
        <v>23.500299999999999</v>
      </c>
      <c r="C135">
        <v>25.3</v>
      </c>
      <c r="D135">
        <v>25</v>
      </c>
      <c r="E135">
        <v>25</v>
      </c>
      <c r="F135">
        <v>23.500299999999999</v>
      </c>
      <c r="G135">
        <v>26.6</v>
      </c>
      <c r="H135">
        <v>26.5</v>
      </c>
      <c r="I135">
        <v>25</v>
      </c>
      <c r="J135">
        <f t="shared" si="11"/>
        <v>91.08</v>
      </c>
      <c r="K135">
        <f t="shared" si="12"/>
        <v>90</v>
      </c>
      <c r="L135">
        <f t="shared" si="13"/>
        <v>90</v>
      </c>
      <c r="M135">
        <f t="shared" si="14"/>
        <v>84.601079999999996</v>
      </c>
      <c r="N135">
        <f t="shared" si="15"/>
        <v>84.601079999999996</v>
      </c>
    </row>
    <row r="136" spans="1:14" x14ac:dyDescent="0.3">
      <c r="A136">
        <v>3325</v>
      </c>
      <c r="B136">
        <v>23.3857</v>
      </c>
      <c r="C136">
        <v>25.3</v>
      </c>
      <c r="D136">
        <v>25</v>
      </c>
      <c r="E136">
        <v>25</v>
      </c>
      <c r="F136">
        <v>23.3857</v>
      </c>
      <c r="G136">
        <v>26.5</v>
      </c>
      <c r="H136">
        <v>26.4</v>
      </c>
      <c r="I136">
        <v>25</v>
      </c>
      <c r="J136">
        <f t="shared" si="11"/>
        <v>91.08</v>
      </c>
      <c r="K136">
        <f t="shared" si="12"/>
        <v>90</v>
      </c>
      <c r="L136">
        <f t="shared" si="13"/>
        <v>90</v>
      </c>
      <c r="M136">
        <f t="shared" si="14"/>
        <v>84.188519999999997</v>
      </c>
      <c r="N136">
        <f t="shared" si="15"/>
        <v>84.188519999999997</v>
      </c>
    </row>
    <row r="137" spans="1:14" x14ac:dyDescent="0.3">
      <c r="A137">
        <v>3350</v>
      </c>
      <c r="B137">
        <v>23.492899999999999</v>
      </c>
      <c r="C137">
        <v>25.3</v>
      </c>
      <c r="D137">
        <v>25</v>
      </c>
      <c r="E137">
        <v>25</v>
      </c>
      <c r="F137">
        <v>23.492899999999999</v>
      </c>
      <c r="G137">
        <v>26.4</v>
      </c>
      <c r="H137">
        <v>26.3</v>
      </c>
      <c r="I137">
        <v>25</v>
      </c>
      <c r="J137">
        <f t="shared" si="11"/>
        <v>91.08</v>
      </c>
      <c r="K137">
        <f t="shared" si="12"/>
        <v>90</v>
      </c>
      <c r="L137">
        <f t="shared" si="13"/>
        <v>90</v>
      </c>
      <c r="M137">
        <f t="shared" si="14"/>
        <v>84.574439999999996</v>
      </c>
      <c r="N137">
        <f t="shared" si="15"/>
        <v>84.574439999999996</v>
      </c>
    </row>
    <row r="138" spans="1:14" x14ac:dyDescent="0.3">
      <c r="A138">
        <v>3375</v>
      </c>
      <c r="B138">
        <v>23.674900000000001</v>
      </c>
      <c r="C138">
        <v>25.3</v>
      </c>
      <c r="D138">
        <v>25</v>
      </c>
      <c r="E138">
        <v>25</v>
      </c>
      <c r="F138">
        <v>23.674900000000001</v>
      </c>
      <c r="G138">
        <v>26.3</v>
      </c>
      <c r="H138">
        <v>26.2</v>
      </c>
      <c r="I138">
        <v>25</v>
      </c>
      <c r="J138">
        <f t="shared" si="11"/>
        <v>91.08</v>
      </c>
      <c r="K138">
        <f t="shared" si="12"/>
        <v>90</v>
      </c>
      <c r="L138">
        <f t="shared" si="13"/>
        <v>90</v>
      </c>
      <c r="M138">
        <f t="shared" si="14"/>
        <v>85.229640000000003</v>
      </c>
      <c r="N138">
        <f t="shared" si="15"/>
        <v>85.229640000000003</v>
      </c>
    </row>
    <row r="139" spans="1:14" x14ac:dyDescent="0.3">
      <c r="A139">
        <v>3400</v>
      </c>
      <c r="B139">
        <v>23.5139</v>
      </c>
      <c r="C139">
        <v>25.3</v>
      </c>
      <c r="D139">
        <v>25</v>
      </c>
      <c r="E139">
        <v>25</v>
      </c>
      <c r="F139">
        <v>23.5139</v>
      </c>
      <c r="G139">
        <v>26.2</v>
      </c>
      <c r="H139">
        <v>26.1</v>
      </c>
      <c r="I139">
        <v>25</v>
      </c>
      <c r="J139">
        <f t="shared" si="11"/>
        <v>91.08</v>
      </c>
      <c r="K139">
        <f t="shared" si="12"/>
        <v>90</v>
      </c>
      <c r="L139">
        <f t="shared" si="13"/>
        <v>90</v>
      </c>
      <c r="M139">
        <f t="shared" si="14"/>
        <v>84.650040000000004</v>
      </c>
      <c r="N139">
        <f t="shared" si="15"/>
        <v>84.650040000000004</v>
      </c>
    </row>
    <row r="140" spans="1:14" x14ac:dyDescent="0.3">
      <c r="A140">
        <v>3425</v>
      </c>
      <c r="B140">
        <v>23.4055</v>
      </c>
      <c r="C140">
        <v>25.3</v>
      </c>
      <c r="D140">
        <v>25</v>
      </c>
      <c r="E140">
        <v>25</v>
      </c>
      <c r="F140">
        <v>23.4055</v>
      </c>
      <c r="G140">
        <v>26.1</v>
      </c>
      <c r="H140">
        <v>26</v>
      </c>
      <c r="I140">
        <v>25</v>
      </c>
      <c r="J140">
        <f t="shared" si="11"/>
        <v>91.08</v>
      </c>
      <c r="K140">
        <f t="shared" si="12"/>
        <v>90</v>
      </c>
      <c r="L140">
        <f t="shared" si="13"/>
        <v>90</v>
      </c>
      <c r="M140">
        <f t="shared" si="14"/>
        <v>84.259799999999998</v>
      </c>
      <c r="N140">
        <f t="shared" si="15"/>
        <v>84.259799999999998</v>
      </c>
    </row>
    <row r="141" spans="1:14" x14ac:dyDescent="0.3">
      <c r="A141">
        <v>3450</v>
      </c>
      <c r="B141">
        <v>23.827000000000002</v>
      </c>
      <c r="C141">
        <v>25.3</v>
      </c>
      <c r="D141">
        <v>25</v>
      </c>
      <c r="E141">
        <v>25</v>
      </c>
      <c r="F141">
        <v>23.827000000000002</v>
      </c>
      <c r="G141">
        <v>26</v>
      </c>
      <c r="H141">
        <v>25.9</v>
      </c>
      <c r="I141">
        <v>25</v>
      </c>
      <c r="J141">
        <f t="shared" si="11"/>
        <v>91.08</v>
      </c>
      <c r="K141">
        <f t="shared" si="12"/>
        <v>90</v>
      </c>
      <c r="L141">
        <f t="shared" si="13"/>
        <v>90</v>
      </c>
      <c r="M141">
        <f t="shared" si="14"/>
        <v>85.777200000000008</v>
      </c>
      <c r="N141">
        <f t="shared" si="15"/>
        <v>85.777200000000008</v>
      </c>
    </row>
    <row r="142" spans="1:14" x14ac:dyDescent="0.3">
      <c r="A142">
        <v>3475</v>
      </c>
      <c r="B142">
        <v>24.383700000000001</v>
      </c>
      <c r="C142">
        <v>25.3</v>
      </c>
      <c r="D142">
        <v>25</v>
      </c>
      <c r="E142">
        <v>25</v>
      </c>
      <c r="F142">
        <v>24.383700000000001</v>
      </c>
      <c r="G142">
        <v>25.9</v>
      </c>
      <c r="H142">
        <v>25.8</v>
      </c>
      <c r="I142">
        <v>25</v>
      </c>
      <c r="J142">
        <f t="shared" si="11"/>
        <v>91.08</v>
      </c>
      <c r="K142">
        <f t="shared" si="12"/>
        <v>90</v>
      </c>
      <c r="L142">
        <f t="shared" si="13"/>
        <v>90</v>
      </c>
      <c r="M142">
        <f t="shared" si="14"/>
        <v>87.781320000000008</v>
      </c>
      <c r="N142">
        <f t="shared" si="15"/>
        <v>87.781320000000008</v>
      </c>
    </row>
    <row r="143" spans="1:14" x14ac:dyDescent="0.3">
      <c r="A143">
        <v>3500</v>
      </c>
      <c r="B143">
        <v>24.996300000000002</v>
      </c>
      <c r="C143">
        <v>25.3</v>
      </c>
      <c r="D143">
        <v>25</v>
      </c>
      <c r="E143">
        <v>25</v>
      </c>
      <c r="F143">
        <v>24.996300000000002</v>
      </c>
      <c r="G143">
        <v>25.8</v>
      </c>
      <c r="H143">
        <v>25.7</v>
      </c>
      <c r="I143">
        <v>25</v>
      </c>
      <c r="J143">
        <f t="shared" si="11"/>
        <v>91.08</v>
      </c>
      <c r="K143">
        <f t="shared" si="12"/>
        <v>90</v>
      </c>
      <c r="L143">
        <f t="shared" si="13"/>
        <v>90</v>
      </c>
      <c r="M143">
        <f t="shared" si="14"/>
        <v>89.986680000000007</v>
      </c>
      <c r="N143">
        <f t="shared" si="15"/>
        <v>89.986680000000007</v>
      </c>
    </row>
    <row r="144" spans="1:14" x14ac:dyDescent="0.3">
      <c r="A144">
        <v>3525</v>
      </c>
      <c r="B144">
        <v>25.571400000000001</v>
      </c>
      <c r="C144">
        <v>25.3</v>
      </c>
      <c r="D144">
        <v>25</v>
      </c>
      <c r="E144">
        <v>25</v>
      </c>
      <c r="F144">
        <v>25.571400000000001</v>
      </c>
      <c r="G144">
        <v>25.6</v>
      </c>
      <c r="H144">
        <v>25.6</v>
      </c>
      <c r="I144">
        <v>25</v>
      </c>
      <c r="J144">
        <f t="shared" si="11"/>
        <v>91.08</v>
      </c>
      <c r="K144">
        <f t="shared" si="12"/>
        <v>90</v>
      </c>
      <c r="L144">
        <f t="shared" si="13"/>
        <v>90</v>
      </c>
      <c r="M144">
        <f t="shared" si="14"/>
        <v>92.057040000000001</v>
      </c>
      <c r="N144">
        <f t="shared" si="15"/>
        <v>92.057040000000001</v>
      </c>
    </row>
    <row r="145" spans="1:14" x14ac:dyDescent="0.3">
      <c r="A145">
        <v>3550</v>
      </c>
      <c r="B145">
        <v>26.1053</v>
      </c>
      <c r="C145">
        <v>25.2</v>
      </c>
      <c r="D145">
        <v>25</v>
      </c>
      <c r="E145">
        <v>25</v>
      </c>
      <c r="F145">
        <v>26.1053</v>
      </c>
      <c r="G145">
        <v>25.4</v>
      </c>
      <c r="H145">
        <v>25.4</v>
      </c>
      <c r="I145">
        <v>25</v>
      </c>
      <c r="J145">
        <f t="shared" si="11"/>
        <v>90.72</v>
      </c>
      <c r="K145">
        <f t="shared" si="12"/>
        <v>90</v>
      </c>
      <c r="L145">
        <f t="shared" si="13"/>
        <v>90</v>
      </c>
      <c r="M145">
        <f t="shared" si="14"/>
        <v>93.979079999999996</v>
      </c>
      <c r="N145">
        <f t="shared" si="15"/>
        <v>93.979079999999996</v>
      </c>
    </row>
    <row r="146" spans="1:14" x14ac:dyDescent="0.3">
      <c r="A146">
        <v>3575</v>
      </c>
      <c r="B146">
        <v>26.2529</v>
      </c>
      <c r="C146">
        <v>25.1</v>
      </c>
      <c r="D146">
        <v>25</v>
      </c>
      <c r="E146">
        <v>25</v>
      </c>
      <c r="F146">
        <v>26.2529</v>
      </c>
      <c r="G146">
        <v>25.2</v>
      </c>
      <c r="H146">
        <v>25.2</v>
      </c>
      <c r="I146">
        <v>25</v>
      </c>
      <c r="J146">
        <f t="shared" si="11"/>
        <v>90.360000000000014</v>
      </c>
      <c r="K146">
        <f t="shared" si="12"/>
        <v>90</v>
      </c>
      <c r="L146">
        <f t="shared" si="13"/>
        <v>90</v>
      </c>
      <c r="M146">
        <f t="shared" si="14"/>
        <v>94.510440000000003</v>
      </c>
      <c r="N146">
        <f t="shared" si="15"/>
        <v>94.510440000000003</v>
      </c>
    </row>
    <row r="147" spans="1:14" x14ac:dyDescent="0.3">
      <c r="A147">
        <v>3600</v>
      </c>
      <c r="B147">
        <v>26.347000000000001</v>
      </c>
      <c r="C147">
        <v>25</v>
      </c>
      <c r="D147">
        <v>25</v>
      </c>
      <c r="E147">
        <v>25</v>
      </c>
      <c r="F147">
        <v>26.347000000000001</v>
      </c>
      <c r="G147">
        <v>25</v>
      </c>
      <c r="H147">
        <v>25</v>
      </c>
      <c r="I147">
        <v>25</v>
      </c>
      <c r="J147">
        <f t="shared" si="11"/>
        <v>90</v>
      </c>
      <c r="K147">
        <f t="shared" si="12"/>
        <v>90</v>
      </c>
      <c r="L147">
        <f t="shared" si="13"/>
        <v>90</v>
      </c>
      <c r="M147">
        <f t="shared" si="14"/>
        <v>94.84920000000001</v>
      </c>
      <c r="N147">
        <f t="shared" si="15"/>
        <v>94.84920000000001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147"/>
  <sheetViews>
    <sheetView topLeftCell="A13" workbookViewId="0">
      <selection activeCell="L35" sqref="L35"/>
    </sheetView>
  </sheetViews>
  <sheetFormatPr defaultRowHeight="14" x14ac:dyDescent="0.3"/>
  <sheetData>
    <row r="2" spans="1:8" x14ac:dyDescent="0.3">
      <c r="B2" t="s">
        <v>0</v>
      </c>
      <c r="C2" s="1" t="s">
        <v>1</v>
      </c>
      <c r="D2" s="1" t="s">
        <v>2</v>
      </c>
      <c r="E2" t="s">
        <v>7</v>
      </c>
      <c r="F2" t="s">
        <v>0</v>
      </c>
      <c r="G2" s="1" t="s">
        <v>2</v>
      </c>
    </row>
    <row r="3" spans="1:8" x14ac:dyDescent="0.3">
      <c r="A3">
        <v>0</v>
      </c>
      <c r="B3">
        <v>1.06913036956837</v>
      </c>
      <c r="C3">
        <v>1.2659066758964901</v>
      </c>
      <c r="D3">
        <v>1.8589331092610999</v>
      </c>
      <c r="E3">
        <f>D3-B3</f>
        <v>0.78980273969272985</v>
      </c>
      <c r="F3">
        <f>B3</f>
        <v>1.06913036956837</v>
      </c>
      <c r="G3">
        <f>D3</f>
        <v>1.8589331092610999</v>
      </c>
      <c r="H3">
        <f>G3-F3</f>
        <v>0.78980273969272985</v>
      </c>
    </row>
    <row r="4" spans="1:8" x14ac:dyDescent="0.3">
      <c r="A4">
        <v>25</v>
      </c>
      <c r="B4">
        <v>1.06913036956837</v>
      </c>
      <c r="C4">
        <v>1.2659066758964901</v>
      </c>
      <c r="D4">
        <v>1.8589331092610999</v>
      </c>
      <c r="E4">
        <f t="shared" ref="E4:E67" si="0">D4-B4</f>
        <v>0.78980273969272985</v>
      </c>
      <c r="F4">
        <f>F3+B4</f>
        <v>2.1382607391367401</v>
      </c>
      <c r="G4">
        <f>G3+D4</f>
        <v>3.7178662185221998</v>
      </c>
      <c r="H4">
        <f t="shared" ref="H4:H67" si="1">G4-F4</f>
        <v>1.5796054793854597</v>
      </c>
    </row>
    <row r="5" spans="1:8" x14ac:dyDescent="0.3">
      <c r="A5">
        <v>50</v>
      </c>
      <c r="B5">
        <v>1.1032206177608299</v>
      </c>
      <c r="C5">
        <v>1.26144029603248</v>
      </c>
      <c r="D5">
        <v>1.8589331092610999</v>
      </c>
      <c r="E5">
        <f t="shared" si="0"/>
        <v>0.75571249150026998</v>
      </c>
      <c r="F5">
        <f t="shared" ref="F5:F68" si="2">F4+B5</f>
        <v>3.24148135689757</v>
      </c>
      <c r="G5">
        <f t="shared" ref="G5:G68" si="3">G4+D5</f>
        <v>5.5767993277832995</v>
      </c>
      <c r="H5">
        <f t="shared" si="1"/>
        <v>2.3353179708857295</v>
      </c>
    </row>
    <row r="6" spans="1:8" x14ac:dyDescent="0.3">
      <c r="A6">
        <v>75</v>
      </c>
      <c r="B6">
        <v>1.1032206177608299</v>
      </c>
      <c r="C6">
        <v>1.26144029603248</v>
      </c>
      <c r="D6">
        <v>1.8589331092610999</v>
      </c>
      <c r="E6">
        <f t="shared" si="0"/>
        <v>0.75571249150026998</v>
      </c>
      <c r="F6">
        <f t="shared" si="2"/>
        <v>4.3447019746583999</v>
      </c>
      <c r="G6">
        <f t="shared" si="3"/>
        <v>7.4357324370443996</v>
      </c>
      <c r="H6">
        <f t="shared" si="1"/>
        <v>3.0910304623859997</v>
      </c>
    </row>
    <row r="7" spans="1:8" x14ac:dyDescent="0.3">
      <c r="A7">
        <v>100</v>
      </c>
      <c r="B7">
        <v>1.21836562645419</v>
      </c>
      <c r="C7">
        <v>1.25697514101626</v>
      </c>
      <c r="D7">
        <v>1.8535245691189699</v>
      </c>
      <c r="E7">
        <f t="shared" si="0"/>
        <v>0.6351589426647799</v>
      </c>
      <c r="F7">
        <f t="shared" si="2"/>
        <v>5.5630676011125901</v>
      </c>
      <c r="G7">
        <f t="shared" si="3"/>
        <v>9.2892570061633695</v>
      </c>
      <c r="H7">
        <f t="shared" si="1"/>
        <v>3.7261894050507793</v>
      </c>
    </row>
    <row r="8" spans="1:8" x14ac:dyDescent="0.3">
      <c r="A8">
        <v>125</v>
      </c>
      <c r="B8">
        <v>1.21836562645419</v>
      </c>
      <c r="C8">
        <v>1.25697514101626</v>
      </c>
      <c r="D8">
        <v>1.8535245691189699</v>
      </c>
      <c r="E8">
        <f t="shared" si="0"/>
        <v>0.6351589426647799</v>
      </c>
      <c r="F8">
        <f t="shared" si="2"/>
        <v>6.7814332275667804</v>
      </c>
      <c r="G8">
        <f t="shared" si="3"/>
        <v>11.142781575282338</v>
      </c>
      <c r="H8">
        <f t="shared" si="1"/>
        <v>4.3613483477155581</v>
      </c>
    </row>
    <row r="9" spans="1:8" x14ac:dyDescent="0.3">
      <c r="A9">
        <v>150</v>
      </c>
      <c r="B9">
        <v>1.30474901323126</v>
      </c>
      <c r="C9">
        <v>1.2525112111049901</v>
      </c>
      <c r="D9">
        <v>1.7640175058356999</v>
      </c>
      <c r="E9">
        <f t="shared" si="0"/>
        <v>0.45926849260443992</v>
      </c>
      <c r="F9">
        <f t="shared" si="2"/>
        <v>8.0861822407980402</v>
      </c>
      <c r="G9">
        <f t="shared" si="3"/>
        <v>12.906799081118038</v>
      </c>
      <c r="H9">
        <f t="shared" si="1"/>
        <v>4.8206168403199978</v>
      </c>
    </row>
    <row r="10" spans="1:8" x14ac:dyDescent="0.3">
      <c r="A10">
        <v>175</v>
      </c>
      <c r="B10">
        <v>1.30474901323126</v>
      </c>
      <c r="C10">
        <v>1.2525112111049901</v>
      </c>
      <c r="D10">
        <v>1.7640175058356999</v>
      </c>
      <c r="E10">
        <f t="shared" si="0"/>
        <v>0.45926849260443992</v>
      </c>
      <c r="F10">
        <f t="shared" si="2"/>
        <v>9.3909312540293008</v>
      </c>
      <c r="G10">
        <f t="shared" si="3"/>
        <v>14.670816586953737</v>
      </c>
      <c r="H10">
        <f t="shared" si="1"/>
        <v>5.2798853329244366</v>
      </c>
    </row>
    <row r="11" spans="1:8" x14ac:dyDescent="0.3">
      <c r="A11">
        <v>200</v>
      </c>
      <c r="B11">
        <v>1.14228060567901</v>
      </c>
      <c r="C11">
        <v>1.2480485064356901</v>
      </c>
      <c r="D11">
        <v>1.6462272086847001</v>
      </c>
      <c r="E11">
        <f t="shared" si="0"/>
        <v>0.50394660300569005</v>
      </c>
      <c r="F11">
        <f t="shared" si="2"/>
        <v>10.533211859708311</v>
      </c>
      <c r="G11">
        <f t="shared" si="3"/>
        <v>16.317043795638437</v>
      </c>
      <c r="H11">
        <f t="shared" si="1"/>
        <v>5.7838319359301256</v>
      </c>
    </row>
    <row r="12" spans="1:8" x14ac:dyDescent="0.3">
      <c r="A12">
        <v>225</v>
      </c>
      <c r="B12">
        <v>1.14228060567901</v>
      </c>
      <c r="C12">
        <v>1.2480485064356901</v>
      </c>
      <c r="D12">
        <v>1.6462272086847001</v>
      </c>
      <c r="E12">
        <f t="shared" si="0"/>
        <v>0.50394660300569005</v>
      </c>
      <c r="F12">
        <f t="shared" si="2"/>
        <v>11.675492465387322</v>
      </c>
      <c r="G12">
        <f t="shared" si="3"/>
        <v>17.963271004323136</v>
      </c>
      <c r="H12">
        <f t="shared" si="1"/>
        <v>6.2877785389358145</v>
      </c>
    </row>
    <row r="13" spans="1:8" x14ac:dyDescent="0.3">
      <c r="A13">
        <v>250</v>
      </c>
      <c r="B13">
        <v>1.2250723109600601</v>
      </c>
      <c r="C13">
        <v>1.24358702726538</v>
      </c>
      <c r="D13">
        <v>1.52935500367314</v>
      </c>
      <c r="E13">
        <f t="shared" si="0"/>
        <v>0.30428269271307995</v>
      </c>
      <c r="F13">
        <f t="shared" si="2"/>
        <v>12.900564776347382</v>
      </c>
      <c r="G13">
        <f t="shared" si="3"/>
        <v>19.492626007996275</v>
      </c>
      <c r="H13">
        <f t="shared" si="1"/>
        <v>6.5920612316488931</v>
      </c>
    </row>
    <row r="14" spans="1:8" x14ac:dyDescent="0.3">
      <c r="A14">
        <v>275</v>
      </c>
      <c r="B14">
        <v>1.2250723109600601</v>
      </c>
      <c r="C14">
        <v>1.24358702726538</v>
      </c>
      <c r="D14">
        <v>1.52935500367314</v>
      </c>
      <c r="E14">
        <f t="shared" si="0"/>
        <v>0.30428269271307995</v>
      </c>
      <c r="F14">
        <f t="shared" si="2"/>
        <v>14.125637087307442</v>
      </c>
      <c r="G14">
        <f t="shared" si="3"/>
        <v>21.021981011669414</v>
      </c>
      <c r="H14">
        <f t="shared" si="1"/>
        <v>6.8963439243619717</v>
      </c>
    </row>
    <row r="15" spans="1:8" x14ac:dyDescent="0.3">
      <c r="A15">
        <v>300</v>
      </c>
      <c r="B15">
        <v>1.2205412530489199</v>
      </c>
      <c r="C15">
        <v>1.2391267737310101</v>
      </c>
      <c r="D15">
        <v>1.41333621314785</v>
      </c>
      <c r="E15">
        <f t="shared" si="0"/>
        <v>0.19279496009893005</v>
      </c>
      <c r="F15">
        <f t="shared" si="2"/>
        <v>15.346178340356362</v>
      </c>
      <c r="G15">
        <f t="shared" si="3"/>
        <v>22.435317224817265</v>
      </c>
      <c r="H15">
        <f t="shared" si="1"/>
        <v>7.0891388844609029</v>
      </c>
    </row>
    <row r="16" spans="1:8" x14ac:dyDescent="0.3">
      <c r="A16">
        <v>325</v>
      </c>
      <c r="B16">
        <v>1.2205412530489199</v>
      </c>
      <c r="C16">
        <v>1.2391267737310101</v>
      </c>
      <c r="D16">
        <v>1.41333621314785</v>
      </c>
      <c r="E16">
        <f t="shared" si="0"/>
        <v>0.19279496009893005</v>
      </c>
      <c r="F16">
        <f t="shared" si="2"/>
        <v>16.566719593405281</v>
      </c>
      <c r="G16">
        <f t="shared" si="3"/>
        <v>23.848653437965115</v>
      </c>
      <c r="H16">
        <f t="shared" si="1"/>
        <v>7.2819338445598341</v>
      </c>
    </row>
    <row r="17" spans="1:8" x14ac:dyDescent="0.3">
      <c r="A17">
        <v>350</v>
      </c>
      <c r="B17">
        <v>1.2188999863974499</v>
      </c>
      <c r="C17">
        <v>1.2346677459695801</v>
      </c>
      <c r="D17">
        <v>1.2980389684345599</v>
      </c>
      <c r="E17">
        <f t="shared" si="0"/>
        <v>7.9138982037110006E-2</v>
      </c>
      <c r="F17">
        <f t="shared" si="2"/>
        <v>17.785619579802731</v>
      </c>
      <c r="G17">
        <f t="shared" si="3"/>
        <v>25.146692406399676</v>
      </c>
      <c r="H17">
        <f t="shared" si="1"/>
        <v>7.3610728265969456</v>
      </c>
    </row>
    <row r="18" spans="1:8" x14ac:dyDescent="0.3">
      <c r="A18">
        <v>375</v>
      </c>
      <c r="B18">
        <v>1.2188999863974499</v>
      </c>
      <c r="C18">
        <v>1.2346677459695801</v>
      </c>
      <c r="D18">
        <v>1.70874150514344</v>
      </c>
      <c r="E18">
        <f t="shared" si="0"/>
        <v>0.48984151874599013</v>
      </c>
      <c r="F18">
        <f t="shared" si="2"/>
        <v>19.00451956620018</v>
      </c>
      <c r="G18">
        <f t="shared" si="3"/>
        <v>26.855433911543116</v>
      </c>
      <c r="H18">
        <f t="shared" si="1"/>
        <v>7.850914345342936</v>
      </c>
    </row>
    <row r="19" spans="1:8" x14ac:dyDescent="0.3">
      <c r="A19">
        <v>400</v>
      </c>
      <c r="B19">
        <v>1.28807655671319</v>
      </c>
      <c r="C19">
        <v>1.23020994431784</v>
      </c>
      <c r="D19">
        <v>1.5860625474672101</v>
      </c>
      <c r="E19">
        <f t="shared" si="0"/>
        <v>0.2979859907540201</v>
      </c>
      <c r="F19">
        <f t="shared" si="2"/>
        <v>20.29259612291337</v>
      </c>
      <c r="G19">
        <f t="shared" si="3"/>
        <v>28.441496459010327</v>
      </c>
      <c r="H19">
        <f t="shared" si="1"/>
        <v>8.1489003360969576</v>
      </c>
    </row>
    <row r="20" spans="1:8" x14ac:dyDescent="0.3">
      <c r="A20">
        <v>425</v>
      </c>
      <c r="B20">
        <v>1.28807655671319</v>
      </c>
      <c r="C20">
        <v>1.23020994431784</v>
      </c>
      <c r="D20">
        <v>1.5902667420524801</v>
      </c>
      <c r="E20">
        <f t="shared" si="0"/>
        <v>0.3021901853392901</v>
      </c>
      <c r="F20">
        <f t="shared" si="2"/>
        <v>21.580672679626559</v>
      </c>
      <c r="G20">
        <f t="shared" si="3"/>
        <v>30.031763201062809</v>
      </c>
      <c r="H20">
        <f t="shared" si="1"/>
        <v>8.4510905214362495</v>
      </c>
    </row>
    <row r="21" spans="1:8" x14ac:dyDescent="0.3">
      <c r="A21">
        <v>450</v>
      </c>
      <c r="B21">
        <v>1.1829075112523399</v>
      </c>
      <c r="C21">
        <v>1.22575336883276</v>
      </c>
      <c r="D21">
        <v>1.4641375986391301</v>
      </c>
      <c r="E21">
        <f t="shared" si="0"/>
        <v>0.28123008738679012</v>
      </c>
      <c r="F21">
        <f t="shared" si="2"/>
        <v>22.763580190878898</v>
      </c>
      <c r="G21">
        <f t="shared" si="3"/>
        <v>31.495900799701939</v>
      </c>
      <c r="H21">
        <f t="shared" si="1"/>
        <v>8.7323206088230414</v>
      </c>
    </row>
    <row r="22" spans="1:8" x14ac:dyDescent="0.3">
      <c r="A22">
        <v>475</v>
      </c>
      <c r="B22">
        <v>1.1829075112523399</v>
      </c>
      <c r="C22">
        <v>1.22575336883276</v>
      </c>
      <c r="D22">
        <v>1.4670672377711</v>
      </c>
      <c r="E22">
        <f t="shared" si="0"/>
        <v>0.28415972651876009</v>
      </c>
      <c r="F22">
        <f t="shared" si="2"/>
        <v>23.946487702131236</v>
      </c>
      <c r="G22">
        <f t="shared" si="3"/>
        <v>32.96296803747304</v>
      </c>
      <c r="H22">
        <f t="shared" si="1"/>
        <v>9.0164803353418037</v>
      </c>
    </row>
    <row r="23" spans="1:8" x14ac:dyDescent="0.3">
      <c r="A23">
        <v>500</v>
      </c>
      <c r="B23">
        <v>1.2067645144361401</v>
      </c>
      <c r="C23">
        <v>1.2212980197311101</v>
      </c>
      <c r="D23">
        <v>1.33729854225407</v>
      </c>
      <c r="E23">
        <f t="shared" si="0"/>
        <v>0.13053402781792989</v>
      </c>
      <c r="F23">
        <f t="shared" si="2"/>
        <v>25.153252216567378</v>
      </c>
      <c r="G23">
        <f t="shared" si="3"/>
        <v>34.300266579727108</v>
      </c>
      <c r="H23">
        <f t="shared" si="1"/>
        <v>9.1470143631597303</v>
      </c>
    </row>
    <row r="24" spans="1:8" x14ac:dyDescent="0.3">
      <c r="A24">
        <v>525</v>
      </c>
      <c r="B24">
        <v>1.2067645144361401</v>
      </c>
      <c r="C24">
        <v>1.2212980197311101</v>
      </c>
      <c r="D24">
        <v>1.3388191330774499</v>
      </c>
      <c r="E24">
        <f t="shared" si="0"/>
        <v>0.13205461864130985</v>
      </c>
      <c r="F24">
        <f t="shared" si="2"/>
        <v>26.360016731003519</v>
      </c>
      <c r="G24">
        <f t="shared" si="3"/>
        <v>35.639085712804558</v>
      </c>
      <c r="H24">
        <f t="shared" si="1"/>
        <v>9.2790689818010392</v>
      </c>
    </row>
    <row r="25" spans="1:8" x14ac:dyDescent="0.3">
      <c r="A25">
        <v>550</v>
      </c>
      <c r="B25">
        <v>1.2219442331710699</v>
      </c>
      <c r="C25">
        <v>1.2168438972695499</v>
      </c>
      <c r="D25">
        <v>1.6286666437981001</v>
      </c>
      <c r="E25">
        <f t="shared" si="0"/>
        <v>0.40672241062703018</v>
      </c>
      <c r="F25">
        <f t="shared" si="2"/>
        <v>27.581960964174588</v>
      </c>
      <c r="G25">
        <f t="shared" si="3"/>
        <v>37.267752356602657</v>
      </c>
      <c r="H25">
        <f t="shared" si="1"/>
        <v>9.6857913924280687</v>
      </c>
    </row>
    <row r="26" spans="1:8" x14ac:dyDescent="0.3">
      <c r="A26">
        <v>575</v>
      </c>
      <c r="B26">
        <v>1.2219442331710699</v>
      </c>
      <c r="C26">
        <v>1.2168438972695499</v>
      </c>
      <c r="D26">
        <v>1.6355138968473999</v>
      </c>
      <c r="E26">
        <f t="shared" si="0"/>
        <v>0.41356966367632997</v>
      </c>
      <c r="F26">
        <f t="shared" si="2"/>
        <v>28.803905197345657</v>
      </c>
      <c r="G26">
        <f t="shared" si="3"/>
        <v>38.903266253450056</v>
      </c>
      <c r="H26">
        <f t="shared" si="1"/>
        <v>10.099361056104399</v>
      </c>
    </row>
    <row r="27" spans="1:8" x14ac:dyDescent="0.3">
      <c r="A27">
        <v>600</v>
      </c>
      <c r="B27">
        <v>1.16365426839576</v>
      </c>
      <c r="C27">
        <v>1.2123910016247701</v>
      </c>
      <c r="D27">
        <v>1.48548463649647</v>
      </c>
      <c r="E27">
        <f t="shared" si="0"/>
        <v>0.32183036810070997</v>
      </c>
      <c r="F27">
        <f t="shared" si="2"/>
        <v>29.967559465741417</v>
      </c>
      <c r="G27">
        <f t="shared" si="3"/>
        <v>40.388750889946529</v>
      </c>
      <c r="H27">
        <f t="shared" si="1"/>
        <v>10.421191424205112</v>
      </c>
    </row>
    <row r="28" spans="1:8" x14ac:dyDescent="0.3">
      <c r="A28">
        <v>625</v>
      </c>
      <c r="B28">
        <v>1.16365426839576</v>
      </c>
      <c r="C28">
        <v>1.2123910016247701</v>
      </c>
      <c r="D28">
        <v>1.4885211549409201</v>
      </c>
      <c r="E28">
        <f t="shared" si="0"/>
        <v>0.32486688654516005</v>
      </c>
      <c r="F28">
        <f t="shared" si="2"/>
        <v>31.131213734137177</v>
      </c>
      <c r="G28">
        <f t="shared" si="3"/>
        <v>41.877272044887448</v>
      </c>
      <c r="H28">
        <f t="shared" si="1"/>
        <v>10.746058310750271</v>
      </c>
    </row>
    <row r="29" spans="1:8" x14ac:dyDescent="0.3">
      <c r="A29">
        <v>650</v>
      </c>
      <c r="B29">
        <v>1.2021550387894999</v>
      </c>
      <c r="C29">
        <v>1.2079393328936401</v>
      </c>
      <c r="D29">
        <v>1.36668702025547</v>
      </c>
      <c r="E29">
        <f t="shared" si="0"/>
        <v>0.16453198146597003</v>
      </c>
      <c r="F29">
        <f t="shared" si="2"/>
        <v>32.333368772926676</v>
      </c>
      <c r="G29">
        <f t="shared" si="3"/>
        <v>43.243959065142917</v>
      </c>
      <c r="H29">
        <f t="shared" si="1"/>
        <v>10.910590292216241</v>
      </c>
    </row>
    <row r="30" spans="1:8" x14ac:dyDescent="0.3">
      <c r="A30">
        <v>675</v>
      </c>
      <c r="B30">
        <v>1.2021550387894999</v>
      </c>
      <c r="C30">
        <v>1.2079393328936401</v>
      </c>
      <c r="D30">
        <v>1.36626300646957</v>
      </c>
      <c r="E30">
        <f t="shared" si="0"/>
        <v>0.16410796768007008</v>
      </c>
      <c r="F30">
        <f t="shared" si="2"/>
        <v>33.535523811716175</v>
      </c>
      <c r="G30">
        <f t="shared" si="3"/>
        <v>44.61022207161249</v>
      </c>
      <c r="H30">
        <f t="shared" si="1"/>
        <v>11.074698259896316</v>
      </c>
    </row>
    <row r="31" spans="1:8" x14ac:dyDescent="0.3">
      <c r="A31">
        <v>700</v>
      </c>
      <c r="B31">
        <v>1.16134637168063</v>
      </c>
      <c r="C31">
        <v>1.2034888913725399</v>
      </c>
      <c r="D31">
        <v>1.3575572679278001</v>
      </c>
      <c r="E31">
        <f t="shared" si="0"/>
        <v>0.19621089624717003</v>
      </c>
      <c r="F31">
        <f t="shared" si="2"/>
        <v>34.696870183396804</v>
      </c>
      <c r="G31">
        <f t="shared" si="3"/>
        <v>45.967779339540293</v>
      </c>
      <c r="H31">
        <f t="shared" si="1"/>
        <v>11.270909156143489</v>
      </c>
    </row>
    <row r="32" spans="1:8" x14ac:dyDescent="0.3">
      <c r="A32">
        <v>725</v>
      </c>
      <c r="B32">
        <v>1.16134637168063</v>
      </c>
      <c r="C32">
        <v>1.2034888913725399</v>
      </c>
      <c r="D32">
        <v>0.91251993592556901</v>
      </c>
      <c r="E32">
        <f t="shared" si="0"/>
        <v>-0.24882643575506103</v>
      </c>
      <c r="F32">
        <f t="shared" si="2"/>
        <v>35.858216555077433</v>
      </c>
      <c r="G32">
        <f t="shared" si="3"/>
        <v>46.880299275465859</v>
      </c>
      <c r="H32">
        <f t="shared" si="1"/>
        <v>11.022082720388426</v>
      </c>
    </row>
    <row r="33" spans="1:8" x14ac:dyDescent="0.3">
      <c r="A33">
        <v>750</v>
      </c>
      <c r="B33">
        <v>1.32411707292479</v>
      </c>
      <c r="C33">
        <v>1.1990396772380501</v>
      </c>
      <c r="D33">
        <v>0.90810214116825805</v>
      </c>
      <c r="E33">
        <f t="shared" si="0"/>
        <v>-0.41601493175653192</v>
      </c>
      <c r="F33">
        <f t="shared" si="2"/>
        <v>37.182333628002226</v>
      </c>
      <c r="G33">
        <f t="shared" si="3"/>
        <v>47.788401416634116</v>
      </c>
      <c r="H33">
        <f t="shared" si="1"/>
        <v>10.60606778863189</v>
      </c>
    </row>
    <row r="34" spans="1:8" x14ac:dyDescent="0.3">
      <c r="A34">
        <v>775</v>
      </c>
      <c r="B34">
        <v>1.32411707292479</v>
      </c>
      <c r="C34">
        <v>1.1990396772380501</v>
      </c>
      <c r="D34">
        <v>0.90355594022798602</v>
      </c>
      <c r="E34">
        <f t="shared" si="0"/>
        <v>-0.42056113269680395</v>
      </c>
      <c r="F34">
        <f t="shared" si="2"/>
        <v>38.506450700927019</v>
      </c>
      <c r="G34">
        <f t="shared" si="3"/>
        <v>48.691957356862105</v>
      </c>
      <c r="H34">
        <f t="shared" si="1"/>
        <v>10.185506655935086</v>
      </c>
    </row>
    <row r="35" spans="1:8" x14ac:dyDescent="0.3">
      <c r="A35">
        <v>800</v>
      </c>
      <c r="B35">
        <v>1.22128574206503</v>
      </c>
      <c r="C35">
        <v>1.19459169058698</v>
      </c>
      <c r="D35">
        <v>0.89897877012934302</v>
      </c>
      <c r="E35">
        <f t="shared" si="0"/>
        <v>-0.32230697193568703</v>
      </c>
      <c r="F35">
        <f t="shared" si="2"/>
        <v>39.727736442992047</v>
      </c>
      <c r="G35">
        <f t="shared" si="3"/>
        <v>49.590936126991451</v>
      </c>
      <c r="H35">
        <f t="shared" si="1"/>
        <v>9.8631996839994045</v>
      </c>
    </row>
    <row r="36" spans="1:8" x14ac:dyDescent="0.3">
      <c r="A36">
        <v>825</v>
      </c>
      <c r="B36">
        <v>1.22128574206503</v>
      </c>
      <c r="C36">
        <v>1.19459169058698</v>
      </c>
      <c r="D36">
        <v>0.89417086833354198</v>
      </c>
      <c r="E36">
        <f t="shared" si="0"/>
        <v>-0.32711487373148807</v>
      </c>
      <c r="F36">
        <f t="shared" si="2"/>
        <v>40.949022185057075</v>
      </c>
      <c r="G36">
        <f t="shared" si="3"/>
        <v>50.48510699532499</v>
      </c>
      <c r="H36">
        <f t="shared" si="1"/>
        <v>9.5360848102679157</v>
      </c>
    </row>
    <row r="37" spans="1:8" x14ac:dyDescent="0.3">
      <c r="A37">
        <v>850</v>
      </c>
      <c r="B37">
        <v>1.2909368034490001</v>
      </c>
      <c r="C37">
        <v>1.1901449317155</v>
      </c>
      <c r="D37">
        <v>0.88912612581871298</v>
      </c>
      <c r="E37">
        <f t="shared" si="0"/>
        <v>-0.40181067763028711</v>
      </c>
      <c r="F37">
        <f t="shared" si="2"/>
        <v>42.239958988506075</v>
      </c>
      <c r="G37">
        <f t="shared" si="3"/>
        <v>51.374233121143703</v>
      </c>
      <c r="H37">
        <f t="shared" si="1"/>
        <v>9.1342741326376284</v>
      </c>
    </row>
    <row r="38" spans="1:8" x14ac:dyDescent="0.3">
      <c r="A38">
        <v>875</v>
      </c>
      <c r="B38">
        <v>1.2909368034490001</v>
      </c>
      <c r="C38">
        <v>1.1901449317155</v>
      </c>
      <c r="D38">
        <v>0.79764591890330305</v>
      </c>
      <c r="E38">
        <f t="shared" si="0"/>
        <v>-0.49329088454569703</v>
      </c>
      <c r="F38">
        <f t="shared" si="2"/>
        <v>43.530895791955075</v>
      </c>
      <c r="G38">
        <f t="shared" si="3"/>
        <v>52.17187904004701</v>
      </c>
      <c r="H38">
        <f t="shared" si="1"/>
        <v>8.6409832480919349</v>
      </c>
    </row>
    <row r="39" spans="1:8" x14ac:dyDescent="0.3">
      <c r="A39">
        <v>900</v>
      </c>
      <c r="B39">
        <v>1.2645851082812201</v>
      </c>
      <c r="C39">
        <v>1.1856994008000601</v>
      </c>
      <c r="D39">
        <v>0.52609357436612803</v>
      </c>
      <c r="E39">
        <f t="shared" si="0"/>
        <v>-0.73849153391509204</v>
      </c>
      <c r="F39">
        <f t="shared" si="2"/>
        <v>44.795480900236292</v>
      </c>
      <c r="G39">
        <f t="shared" si="3"/>
        <v>52.697972614413139</v>
      </c>
      <c r="H39">
        <f t="shared" si="1"/>
        <v>7.9024917141768469</v>
      </c>
    </row>
    <row r="40" spans="1:8" x14ac:dyDescent="0.3">
      <c r="A40">
        <v>925</v>
      </c>
      <c r="B40">
        <v>1.2645851082812201</v>
      </c>
      <c r="C40">
        <v>1.1856994008000601</v>
      </c>
      <c r="D40">
        <v>0.52609357436612803</v>
      </c>
      <c r="E40">
        <f t="shared" si="0"/>
        <v>-0.73849153391509204</v>
      </c>
      <c r="F40">
        <f t="shared" si="2"/>
        <v>46.060066008517509</v>
      </c>
      <c r="G40">
        <f t="shared" si="3"/>
        <v>53.224066188779268</v>
      </c>
      <c r="H40">
        <f t="shared" si="1"/>
        <v>7.164000180261759</v>
      </c>
    </row>
    <row r="41" spans="1:8" x14ac:dyDescent="0.3">
      <c r="A41">
        <v>950</v>
      </c>
      <c r="B41">
        <v>1.3394255936578801</v>
      </c>
      <c r="C41">
        <v>1.1812550980170999</v>
      </c>
      <c r="D41">
        <v>0.678854857071717</v>
      </c>
      <c r="E41">
        <f t="shared" si="0"/>
        <v>-0.66057073658616305</v>
      </c>
      <c r="F41">
        <f t="shared" si="2"/>
        <v>47.399491602175388</v>
      </c>
      <c r="G41">
        <f t="shared" si="3"/>
        <v>53.902921045850988</v>
      </c>
      <c r="H41">
        <f t="shared" si="1"/>
        <v>6.5034294436755999</v>
      </c>
    </row>
    <row r="42" spans="1:8" x14ac:dyDescent="0.3">
      <c r="A42">
        <v>975</v>
      </c>
      <c r="B42">
        <v>1.3394255936578801</v>
      </c>
      <c r="C42">
        <v>1.1812550980170999</v>
      </c>
      <c r="D42">
        <v>0.678854857071717</v>
      </c>
      <c r="E42">
        <f t="shared" si="0"/>
        <v>-0.66057073658616305</v>
      </c>
      <c r="F42">
        <f t="shared" si="2"/>
        <v>48.738917195833267</v>
      </c>
      <c r="G42">
        <f t="shared" si="3"/>
        <v>54.581775902922708</v>
      </c>
      <c r="H42">
        <f t="shared" si="1"/>
        <v>5.8428587070894409</v>
      </c>
    </row>
    <row r="43" spans="1:8" x14ac:dyDescent="0.3">
      <c r="A43">
        <v>1000</v>
      </c>
      <c r="B43">
        <v>1.38070975496667</v>
      </c>
      <c r="C43">
        <v>1.1768120235032</v>
      </c>
      <c r="D43">
        <v>0.83402923495482695</v>
      </c>
      <c r="E43">
        <f t="shared" si="0"/>
        <v>-0.54668052001184309</v>
      </c>
      <c r="F43">
        <f t="shared" si="2"/>
        <v>50.11962695079994</v>
      </c>
      <c r="G43">
        <f t="shared" si="3"/>
        <v>55.415805137877534</v>
      </c>
      <c r="H43">
        <f t="shared" si="1"/>
        <v>5.2961781870775937</v>
      </c>
    </row>
    <row r="44" spans="1:8" x14ac:dyDescent="0.3">
      <c r="A44">
        <v>1025</v>
      </c>
      <c r="B44">
        <v>1.38070975496667</v>
      </c>
      <c r="C44">
        <v>1.1768120235032</v>
      </c>
      <c r="D44">
        <v>0.83402923495482695</v>
      </c>
      <c r="E44">
        <f t="shared" si="0"/>
        <v>-0.54668052001184309</v>
      </c>
      <c r="F44">
        <f t="shared" si="2"/>
        <v>51.500336705766614</v>
      </c>
      <c r="G44">
        <f t="shared" si="3"/>
        <v>56.24983437283236</v>
      </c>
      <c r="H44">
        <f t="shared" si="1"/>
        <v>4.7494976670657465</v>
      </c>
    </row>
    <row r="45" spans="1:8" x14ac:dyDescent="0.3">
      <c r="A45">
        <v>1050</v>
      </c>
      <c r="B45">
        <v>1.33074009197989</v>
      </c>
      <c r="C45">
        <v>1.17237017751439</v>
      </c>
      <c r="D45">
        <v>0.65160287934664596</v>
      </c>
      <c r="E45">
        <f t="shared" si="0"/>
        <v>-0.679137212633244</v>
      </c>
      <c r="F45">
        <f t="shared" si="2"/>
        <v>52.831076797746505</v>
      </c>
      <c r="G45">
        <f t="shared" si="3"/>
        <v>56.901437252179008</v>
      </c>
      <c r="H45">
        <f t="shared" si="1"/>
        <v>4.0703604544325032</v>
      </c>
    </row>
    <row r="46" spans="1:8" x14ac:dyDescent="0.3">
      <c r="A46">
        <v>1075</v>
      </c>
      <c r="B46">
        <v>1.33074009197989</v>
      </c>
      <c r="C46">
        <v>1.17237017751439</v>
      </c>
      <c r="D46">
        <v>0.57746478294265902</v>
      </c>
      <c r="E46">
        <f t="shared" si="0"/>
        <v>-0.75327530903723094</v>
      </c>
      <c r="F46">
        <f t="shared" si="2"/>
        <v>54.161816889726396</v>
      </c>
      <c r="G46">
        <f t="shared" si="3"/>
        <v>57.478902035121664</v>
      </c>
      <c r="H46">
        <f t="shared" si="1"/>
        <v>3.3170851453952679</v>
      </c>
    </row>
    <row r="47" spans="1:8" x14ac:dyDescent="0.3">
      <c r="A47">
        <v>1100</v>
      </c>
      <c r="B47">
        <v>1.3020488087381199</v>
      </c>
      <c r="C47">
        <v>1.1679295602269899</v>
      </c>
      <c r="D47">
        <v>0.71626155088662002</v>
      </c>
      <c r="E47">
        <f t="shared" si="0"/>
        <v>-0.58578725785149988</v>
      </c>
      <c r="F47">
        <f t="shared" si="2"/>
        <v>55.463865698464517</v>
      </c>
      <c r="G47">
        <f t="shared" si="3"/>
        <v>58.195163586008285</v>
      </c>
      <c r="H47">
        <f t="shared" si="1"/>
        <v>2.7312978875437679</v>
      </c>
    </row>
    <row r="48" spans="1:8" x14ac:dyDescent="0.3">
      <c r="A48">
        <v>1125</v>
      </c>
      <c r="B48">
        <v>1.3020488087381199</v>
      </c>
      <c r="C48">
        <v>1.1679295602269899</v>
      </c>
      <c r="D48">
        <v>0.71938370488192005</v>
      </c>
      <c r="E48">
        <f t="shared" si="0"/>
        <v>-0.58266510385619985</v>
      </c>
      <c r="F48">
        <f t="shared" si="2"/>
        <v>56.765914507202638</v>
      </c>
      <c r="G48">
        <f t="shared" si="3"/>
        <v>58.914547290890205</v>
      </c>
      <c r="H48">
        <f t="shared" si="1"/>
        <v>2.1486327836875674</v>
      </c>
    </row>
    <row r="49" spans="1:8" x14ac:dyDescent="0.3">
      <c r="A49">
        <v>1150</v>
      </c>
      <c r="B49">
        <v>1.36601869580449</v>
      </c>
      <c r="C49">
        <v>1.1634901718172901</v>
      </c>
      <c r="D49">
        <v>0.85366216623100599</v>
      </c>
      <c r="E49">
        <f t="shared" si="0"/>
        <v>-0.51235652957348399</v>
      </c>
      <c r="F49">
        <f t="shared" si="2"/>
        <v>58.131933203007129</v>
      </c>
      <c r="G49">
        <f t="shared" si="3"/>
        <v>59.768209457121209</v>
      </c>
      <c r="H49">
        <f t="shared" si="1"/>
        <v>1.6362762541140796</v>
      </c>
    </row>
    <row r="50" spans="1:8" x14ac:dyDescent="0.3">
      <c r="A50">
        <v>1175</v>
      </c>
      <c r="B50">
        <v>1.36601869580449</v>
      </c>
      <c r="C50">
        <v>1.1634901718172901</v>
      </c>
      <c r="D50">
        <v>0.85504625314589999</v>
      </c>
      <c r="E50">
        <f t="shared" si="0"/>
        <v>-0.51097244265858999</v>
      </c>
      <c r="F50">
        <f t="shared" si="2"/>
        <v>59.497951898811621</v>
      </c>
      <c r="G50">
        <f t="shared" si="3"/>
        <v>60.623255710267109</v>
      </c>
      <c r="H50">
        <f t="shared" si="1"/>
        <v>1.1253038114554883</v>
      </c>
    </row>
    <row r="51" spans="1:8" x14ac:dyDescent="0.3">
      <c r="A51">
        <v>1200</v>
      </c>
      <c r="B51">
        <v>1.36109604258789</v>
      </c>
      <c r="C51">
        <v>1.15905201250132</v>
      </c>
      <c r="D51">
        <v>0.93808690268609896</v>
      </c>
      <c r="E51">
        <f t="shared" si="0"/>
        <v>-0.42300913990179101</v>
      </c>
      <c r="F51">
        <f t="shared" si="2"/>
        <v>60.85904794139951</v>
      </c>
      <c r="G51">
        <f t="shared" si="3"/>
        <v>61.561342612953212</v>
      </c>
      <c r="H51">
        <f t="shared" si="1"/>
        <v>0.70229467155370173</v>
      </c>
    </row>
    <row r="52" spans="1:8" x14ac:dyDescent="0.3">
      <c r="A52">
        <v>1225</v>
      </c>
      <c r="B52">
        <v>1.36109604258789</v>
      </c>
      <c r="C52">
        <v>1.15905201250132</v>
      </c>
      <c r="D52">
        <v>0.93845090682272303</v>
      </c>
      <c r="E52">
        <f t="shared" si="0"/>
        <v>-0.42264513576516693</v>
      </c>
      <c r="F52">
        <f t="shared" si="2"/>
        <v>62.220143983987398</v>
      </c>
      <c r="G52">
        <f t="shared" si="3"/>
        <v>62.499793519775935</v>
      </c>
      <c r="H52">
        <f t="shared" si="1"/>
        <v>0.27964953578853624</v>
      </c>
    </row>
    <row r="53" spans="1:8" x14ac:dyDescent="0.3">
      <c r="A53">
        <v>1250</v>
      </c>
      <c r="B53">
        <v>1.38210580395313</v>
      </c>
      <c r="C53">
        <v>1.1546150824552901</v>
      </c>
      <c r="D53">
        <v>0.74950841536284696</v>
      </c>
      <c r="E53">
        <f t="shared" si="0"/>
        <v>-0.63259738859028303</v>
      </c>
      <c r="F53">
        <f t="shared" si="2"/>
        <v>63.602249787940529</v>
      </c>
      <c r="G53">
        <f t="shared" si="3"/>
        <v>63.249301935138782</v>
      </c>
      <c r="H53">
        <f t="shared" si="1"/>
        <v>-0.35294785280174779</v>
      </c>
    </row>
    <row r="54" spans="1:8" x14ac:dyDescent="0.3">
      <c r="A54">
        <v>1275</v>
      </c>
      <c r="B54">
        <v>1.38210580395313</v>
      </c>
      <c r="C54">
        <v>1.1546150824552901</v>
      </c>
      <c r="D54">
        <v>0.75195918737536005</v>
      </c>
      <c r="E54">
        <f t="shared" si="0"/>
        <v>-0.63014661657776994</v>
      </c>
      <c r="F54">
        <f t="shared" si="2"/>
        <v>64.98435559189366</v>
      </c>
      <c r="G54">
        <f t="shared" si="3"/>
        <v>64.001261122514137</v>
      </c>
      <c r="H54">
        <f t="shared" si="1"/>
        <v>-0.98309446937952316</v>
      </c>
    </row>
    <row r="55" spans="1:8" x14ac:dyDescent="0.3">
      <c r="A55">
        <v>1300</v>
      </c>
      <c r="B55">
        <v>1.67382829769903</v>
      </c>
      <c r="C55">
        <v>1.1501793818553501</v>
      </c>
      <c r="D55">
        <v>0.75453657812050701</v>
      </c>
      <c r="E55">
        <f t="shared" si="0"/>
        <v>-0.91929171957852296</v>
      </c>
      <c r="F55">
        <f t="shared" si="2"/>
        <v>66.658183889592692</v>
      </c>
      <c r="G55">
        <f t="shared" si="3"/>
        <v>64.755797700634645</v>
      </c>
      <c r="H55">
        <f t="shared" si="1"/>
        <v>-1.9023861889580473</v>
      </c>
    </row>
    <row r="56" spans="1:8" x14ac:dyDescent="0.3">
      <c r="A56">
        <v>1325</v>
      </c>
      <c r="B56">
        <v>1.6789137197361399</v>
      </c>
      <c r="C56">
        <v>1.1501793818553501</v>
      </c>
      <c r="D56">
        <v>0.75711735123650603</v>
      </c>
      <c r="E56">
        <f t="shared" si="0"/>
        <v>-0.92179636849963387</v>
      </c>
      <c r="F56">
        <f t="shared" si="2"/>
        <v>68.337097609328836</v>
      </c>
      <c r="G56">
        <f t="shared" si="3"/>
        <v>65.512915051871147</v>
      </c>
      <c r="H56">
        <f t="shared" si="1"/>
        <v>-2.8241825574576893</v>
      </c>
    </row>
    <row r="57" spans="1:8" x14ac:dyDescent="0.3">
      <c r="A57">
        <v>1350</v>
      </c>
      <c r="B57">
        <v>1.57926239558003</v>
      </c>
      <c r="C57">
        <v>1.1457449109174001</v>
      </c>
      <c r="D57">
        <v>1.14254965627575</v>
      </c>
      <c r="E57">
        <f t="shared" si="0"/>
        <v>-0.43671273930428001</v>
      </c>
      <c r="F57">
        <f t="shared" si="2"/>
        <v>69.916360004908867</v>
      </c>
      <c r="G57">
        <f t="shared" si="3"/>
        <v>66.655464708146894</v>
      </c>
      <c r="H57">
        <f t="shared" si="1"/>
        <v>-3.2608952967619729</v>
      </c>
    </row>
    <row r="58" spans="1:8" x14ac:dyDescent="0.3">
      <c r="A58">
        <v>1375</v>
      </c>
      <c r="B58">
        <v>1.5834141397931101</v>
      </c>
      <c r="C58">
        <v>1.1457449109174001</v>
      </c>
      <c r="D58">
        <v>1.1408827158002599</v>
      </c>
      <c r="E58">
        <f t="shared" si="0"/>
        <v>-0.44253142399285017</v>
      </c>
      <c r="F58">
        <f t="shared" si="2"/>
        <v>71.499774144701973</v>
      </c>
      <c r="G58">
        <f t="shared" si="3"/>
        <v>67.796347423947154</v>
      </c>
      <c r="H58">
        <f t="shared" si="1"/>
        <v>-3.7034267207548197</v>
      </c>
    </row>
    <row r="59" spans="1:8" x14ac:dyDescent="0.3">
      <c r="A59">
        <v>1400</v>
      </c>
      <c r="B59">
        <v>1.5040863009787699</v>
      </c>
      <c r="C59">
        <v>1.1413116697777901</v>
      </c>
      <c r="D59">
        <v>1.1393481253239199</v>
      </c>
      <c r="E59">
        <f t="shared" si="0"/>
        <v>-0.36473817565485001</v>
      </c>
      <c r="F59">
        <f t="shared" si="2"/>
        <v>73.003860445680743</v>
      </c>
      <c r="G59">
        <f t="shared" si="3"/>
        <v>68.935695549271074</v>
      </c>
      <c r="H59">
        <f t="shared" si="1"/>
        <v>-4.0681648964096695</v>
      </c>
    </row>
    <row r="60" spans="1:8" x14ac:dyDescent="0.3">
      <c r="A60">
        <v>1425</v>
      </c>
      <c r="B60">
        <v>1.5074520846750401</v>
      </c>
      <c r="C60">
        <v>1.1413116697777901</v>
      </c>
      <c r="D60">
        <v>1.1378072282876299</v>
      </c>
      <c r="E60">
        <f t="shared" si="0"/>
        <v>-0.36964485638741018</v>
      </c>
      <c r="F60">
        <f t="shared" si="2"/>
        <v>74.511312530355781</v>
      </c>
      <c r="G60">
        <f t="shared" si="3"/>
        <v>70.073502777558701</v>
      </c>
      <c r="H60">
        <f t="shared" si="1"/>
        <v>-4.4378097527970795</v>
      </c>
    </row>
    <row r="61" spans="1:8" x14ac:dyDescent="0.3">
      <c r="A61">
        <v>1450</v>
      </c>
      <c r="B61">
        <v>1.36640936360849</v>
      </c>
      <c r="C61">
        <v>1.13687965869204</v>
      </c>
      <c r="D61">
        <v>1.1363295503030599</v>
      </c>
      <c r="E61">
        <f t="shared" si="0"/>
        <v>-0.23007981330543004</v>
      </c>
      <c r="F61">
        <f t="shared" si="2"/>
        <v>75.877721893964264</v>
      </c>
      <c r="G61">
        <f t="shared" si="3"/>
        <v>71.209832327861761</v>
      </c>
      <c r="H61">
        <f t="shared" si="1"/>
        <v>-4.6678895661025024</v>
      </c>
    </row>
    <row r="62" spans="1:8" x14ac:dyDescent="0.3">
      <c r="A62">
        <v>1475</v>
      </c>
      <c r="B62">
        <v>1.3682381592310999</v>
      </c>
      <c r="C62">
        <v>1.13687965869204</v>
      </c>
      <c r="D62">
        <v>1.1349149791661099</v>
      </c>
      <c r="E62">
        <f t="shared" si="0"/>
        <v>-0.23332318006498998</v>
      </c>
      <c r="F62">
        <f t="shared" si="2"/>
        <v>77.245960053195361</v>
      </c>
      <c r="G62">
        <f t="shared" si="3"/>
        <v>72.344747307027873</v>
      </c>
      <c r="H62">
        <f t="shared" si="1"/>
        <v>-4.9012127461674879</v>
      </c>
    </row>
    <row r="63" spans="1:8" x14ac:dyDescent="0.3">
      <c r="A63">
        <v>1500</v>
      </c>
      <c r="B63">
        <v>1.71264255412766</v>
      </c>
      <c r="C63">
        <v>1.1324488778758699</v>
      </c>
      <c r="D63">
        <v>1.13349716727311</v>
      </c>
      <c r="E63">
        <f t="shared" si="0"/>
        <v>-0.57914538685454997</v>
      </c>
      <c r="F63">
        <f t="shared" si="2"/>
        <v>78.958602607323016</v>
      </c>
      <c r="G63">
        <f t="shared" si="3"/>
        <v>73.478244474300979</v>
      </c>
      <c r="H63">
        <f t="shared" si="1"/>
        <v>-5.4803581330220368</v>
      </c>
    </row>
    <row r="64" spans="1:8" x14ac:dyDescent="0.3">
      <c r="A64">
        <v>1525</v>
      </c>
      <c r="B64">
        <v>1.2792379622401999</v>
      </c>
      <c r="C64">
        <v>1.1324488778758699</v>
      </c>
      <c r="D64">
        <v>1.1322091059020301</v>
      </c>
      <c r="E64">
        <f t="shared" si="0"/>
        <v>-0.14702885633816987</v>
      </c>
      <c r="F64">
        <f t="shared" si="2"/>
        <v>80.237840569563218</v>
      </c>
      <c r="G64">
        <f t="shared" si="3"/>
        <v>74.610453580203014</v>
      </c>
      <c r="H64">
        <f t="shared" si="1"/>
        <v>-5.627386989360204</v>
      </c>
    </row>
    <row r="65" spans="1:8" x14ac:dyDescent="0.3">
      <c r="A65">
        <v>1550</v>
      </c>
      <c r="B65">
        <v>1.62214602746021</v>
      </c>
      <c r="C65">
        <v>1.1280193273860999</v>
      </c>
      <c r="D65">
        <v>1.13104879853054</v>
      </c>
      <c r="E65">
        <f t="shared" si="0"/>
        <v>-0.49109722892967</v>
      </c>
      <c r="F65">
        <f t="shared" si="2"/>
        <v>81.859986597023422</v>
      </c>
      <c r="G65">
        <f t="shared" si="3"/>
        <v>75.741502378733557</v>
      </c>
      <c r="H65">
        <f t="shared" si="1"/>
        <v>-6.1184842182898649</v>
      </c>
    </row>
    <row r="66" spans="1:8" x14ac:dyDescent="0.3">
      <c r="A66">
        <v>1575</v>
      </c>
      <c r="B66">
        <v>1.6285540549904101</v>
      </c>
      <c r="C66">
        <v>1.1280193273860999</v>
      </c>
      <c r="D66">
        <v>1.1298855526144</v>
      </c>
      <c r="E66">
        <f t="shared" si="0"/>
        <v>-0.49866850237601001</v>
      </c>
      <c r="F66">
        <f t="shared" si="2"/>
        <v>83.488540652013839</v>
      </c>
      <c r="G66">
        <f t="shared" si="3"/>
        <v>76.871387931347954</v>
      </c>
      <c r="H66">
        <f t="shared" si="1"/>
        <v>-6.6171527206658851</v>
      </c>
    </row>
    <row r="67" spans="1:8" x14ac:dyDescent="0.3">
      <c r="A67">
        <v>1600</v>
      </c>
      <c r="B67">
        <v>1.57916654537768</v>
      </c>
      <c r="C67">
        <v>1.1235910075575</v>
      </c>
      <c r="D67">
        <v>1.48388820525892</v>
      </c>
      <c r="E67">
        <f t="shared" si="0"/>
        <v>-9.5278340118760019E-2</v>
      </c>
      <c r="F67">
        <f t="shared" si="2"/>
        <v>85.067707197391513</v>
      </c>
      <c r="G67">
        <f t="shared" si="3"/>
        <v>78.355276136606875</v>
      </c>
      <c r="H67">
        <f t="shared" si="1"/>
        <v>-6.7124310607846382</v>
      </c>
    </row>
    <row r="68" spans="1:8" x14ac:dyDescent="0.3">
      <c r="A68">
        <v>1625</v>
      </c>
      <c r="B68">
        <v>1.1316935776325101</v>
      </c>
      <c r="C68">
        <v>1.1235910075575</v>
      </c>
      <c r="D68">
        <v>1.48388820525892</v>
      </c>
      <c r="E68">
        <f t="shared" ref="E68:E131" si="4">D68-B68</f>
        <v>0.35219462762640985</v>
      </c>
      <c r="F68">
        <f t="shared" si="2"/>
        <v>86.199400775024017</v>
      </c>
      <c r="G68">
        <f t="shared" si="3"/>
        <v>79.839164341865796</v>
      </c>
      <c r="H68">
        <f t="shared" ref="H68:H131" si="5">G68-F68</f>
        <v>-6.3602364331582208</v>
      </c>
    </row>
    <row r="69" spans="1:8" x14ac:dyDescent="0.3">
      <c r="A69">
        <v>1650</v>
      </c>
      <c r="B69">
        <v>1.1527703366870501</v>
      </c>
      <c r="C69">
        <v>1.1191639184865401</v>
      </c>
      <c r="D69">
        <v>1.3671838940600001</v>
      </c>
      <c r="E69">
        <f t="shared" si="4"/>
        <v>0.21441355737294998</v>
      </c>
      <c r="F69">
        <f t="shared" ref="F69:F132" si="6">F68+B69</f>
        <v>87.352171111711073</v>
      </c>
      <c r="G69">
        <f t="shared" ref="G69:G132" si="7">G68+D69</f>
        <v>81.206348235925802</v>
      </c>
      <c r="H69">
        <f t="shared" si="5"/>
        <v>-6.1458228757852709</v>
      </c>
    </row>
    <row r="70" spans="1:8" x14ac:dyDescent="0.3">
      <c r="A70">
        <v>1675</v>
      </c>
      <c r="B70">
        <v>1.1516369738197301</v>
      </c>
      <c r="C70">
        <v>1.1191639184865401</v>
      </c>
      <c r="D70">
        <v>1.3671838940600001</v>
      </c>
      <c r="E70">
        <f t="shared" si="4"/>
        <v>0.21554692024027</v>
      </c>
      <c r="F70">
        <f t="shared" si="6"/>
        <v>88.503808085530807</v>
      </c>
      <c r="G70">
        <f t="shared" si="7"/>
        <v>82.573532129985807</v>
      </c>
      <c r="H70">
        <f t="shared" si="5"/>
        <v>-5.9302759555449995</v>
      </c>
    </row>
    <row r="71" spans="1:8" x14ac:dyDescent="0.3">
      <c r="A71">
        <v>1700</v>
      </c>
      <c r="B71">
        <v>1.12758743104085</v>
      </c>
      <c r="C71">
        <v>1.11473806038879</v>
      </c>
      <c r="D71">
        <v>1.66189302312692</v>
      </c>
      <c r="E71">
        <f t="shared" si="4"/>
        <v>0.53430559208606998</v>
      </c>
      <c r="F71">
        <f t="shared" si="6"/>
        <v>89.631395516571658</v>
      </c>
      <c r="G71">
        <f t="shared" si="7"/>
        <v>84.235425153112729</v>
      </c>
      <c r="H71">
        <f t="shared" si="5"/>
        <v>-5.3959703634589289</v>
      </c>
    </row>
    <row r="72" spans="1:8" x14ac:dyDescent="0.3">
      <c r="A72">
        <v>1725</v>
      </c>
      <c r="B72">
        <v>1.1260334951181199</v>
      </c>
      <c r="C72">
        <v>1.11473806038879</v>
      </c>
      <c r="D72">
        <v>1.6669187355400299</v>
      </c>
      <c r="E72">
        <f t="shared" si="4"/>
        <v>0.54088524042191</v>
      </c>
      <c r="F72">
        <f t="shared" si="6"/>
        <v>90.75742901168978</v>
      </c>
      <c r="G72">
        <f t="shared" si="7"/>
        <v>85.902343888652766</v>
      </c>
      <c r="H72">
        <f t="shared" si="5"/>
        <v>-4.8550851230370142</v>
      </c>
    </row>
    <row r="73" spans="1:8" x14ac:dyDescent="0.3">
      <c r="A73">
        <v>1750</v>
      </c>
      <c r="B73">
        <v>1.19157570117149</v>
      </c>
      <c r="C73">
        <v>1.1103134335193801</v>
      </c>
      <c r="D73">
        <v>1.53983299598769</v>
      </c>
      <c r="E73">
        <f t="shared" si="4"/>
        <v>0.34825729481619994</v>
      </c>
      <c r="F73">
        <f t="shared" si="6"/>
        <v>91.949004712861267</v>
      </c>
      <c r="G73">
        <f t="shared" si="7"/>
        <v>87.44217688464046</v>
      </c>
      <c r="H73">
        <f t="shared" si="5"/>
        <v>-4.506827828220807</v>
      </c>
    </row>
    <row r="74" spans="1:8" x14ac:dyDescent="0.3">
      <c r="A74">
        <v>1775</v>
      </c>
      <c r="B74">
        <v>1.1907625111728799</v>
      </c>
      <c r="C74">
        <v>1.1103134335193801</v>
      </c>
      <c r="D74">
        <v>1.5435886109830099</v>
      </c>
      <c r="E74">
        <f t="shared" si="4"/>
        <v>0.35282609981013002</v>
      </c>
      <c r="F74">
        <f t="shared" si="6"/>
        <v>93.139767224034145</v>
      </c>
      <c r="G74">
        <f t="shared" si="7"/>
        <v>88.985765495623468</v>
      </c>
      <c r="H74">
        <f t="shared" si="5"/>
        <v>-4.1540017284106767</v>
      </c>
    </row>
    <row r="75" spans="1:8" x14ac:dyDescent="0.3">
      <c r="A75">
        <v>1800</v>
      </c>
      <c r="B75">
        <v>1.1739345570425099</v>
      </c>
      <c r="C75">
        <v>1.10589003793509</v>
      </c>
      <c r="D75">
        <v>1.41327875405895</v>
      </c>
      <c r="E75">
        <f t="shared" si="4"/>
        <v>0.23934419701644005</v>
      </c>
      <c r="F75">
        <f t="shared" si="6"/>
        <v>94.313701781076659</v>
      </c>
      <c r="G75">
        <f t="shared" si="7"/>
        <v>90.399044249682419</v>
      </c>
      <c r="H75">
        <f t="shared" si="5"/>
        <v>-3.9146575313942407</v>
      </c>
    </row>
    <row r="76" spans="1:8" x14ac:dyDescent="0.3">
      <c r="A76">
        <v>1825</v>
      </c>
      <c r="B76">
        <v>1.17279822405379</v>
      </c>
      <c r="C76">
        <v>1.10589003793509</v>
      </c>
      <c r="D76">
        <v>1.41563419942539</v>
      </c>
      <c r="E76">
        <f t="shared" si="4"/>
        <v>0.24283597537160007</v>
      </c>
      <c r="F76">
        <f t="shared" si="6"/>
        <v>95.486500005130452</v>
      </c>
      <c r="G76">
        <f t="shared" si="7"/>
        <v>91.814678449107802</v>
      </c>
      <c r="H76">
        <f t="shared" si="5"/>
        <v>-3.6718215560226497</v>
      </c>
    </row>
    <row r="77" spans="1:8" x14ac:dyDescent="0.3">
      <c r="A77">
        <v>1850</v>
      </c>
      <c r="B77">
        <v>1.14334001197269</v>
      </c>
      <c r="C77">
        <v>1.1014678739306301</v>
      </c>
      <c r="D77">
        <v>1.2806964088989601</v>
      </c>
      <c r="E77">
        <f t="shared" si="4"/>
        <v>0.13735639692627011</v>
      </c>
      <c r="F77">
        <f t="shared" si="6"/>
        <v>96.629840017103149</v>
      </c>
      <c r="G77">
        <f t="shared" si="7"/>
        <v>93.095374858006764</v>
      </c>
      <c r="H77">
        <f t="shared" si="5"/>
        <v>-3.5344651590963849</v>
      </c>
    </row>
    <row r="78" spans="1:8" x14ac:dyDescent="0.3">
      <c r="A78">
        <v>1875</v>
      </c>
      <c r="B78">
        <v>1.0493186370833101</v>
      </c>
      <c r="C78">
        <v>1.1014678739306301</v>
      </c>
      <c r="D78">
        <v>1.28150378756293</v>
      </c>
      <c r="E78">
        <f t="shared" si="4"/>
        <v>0.23218515047961996</v>
      </c>
      <c r="F78">
        <f t="shared" si="6"/>
        <v>97.679158654186466</v>
      </c>
      <c r="G78">
        <f t="shared" si="7"/>
        <v>94.37687864556969</v>
      </c>
      <c r="H78">
        <f t="shared" si="5"/>
        <v>-3.3022800086167763</v>
      </c>
    </row>
    <row r="79" spans="1:8" x14ac:dyDescent="0.3">
      <c r="A79">
        <v>1900</v>
      </c>
      <c r="B79">
        <v>0.73788101233040604</v>
      </c>
      <c r="C79">
        <v>1.0970469416420601</v>
      </c>
      <c r="D79">
        <v>1.5697486876012701</v>
      </c>
      <c r="E79">
        <f t="shared" si="4"/>
        <v>0.83186767527086403</v>
      </c>
      <c r="F79">
        <f t="shared" si="6"/>
        <v>98.417039666516871</v>
      </c>
      <c r="G79">
        <f t="shared" si="7"/>
        <v>95.946627333170966</v>
      </c>
      <c r="H79">
        <f t="shared" si="5"/>
        <v>-2.4704123333459052</v>
      </c>
    </row>
    <row r="80" spans="1:8" x14ac:dyDescent="0.3">
      <c r="A80">
        <v>1925</v>
      </c>
      <c r="B80">
        <v>0.73788101233040604</v>
      </c>
      <c r="C80">
        <v>1.0970469416420601</v>
      </c>
      <c r="D80">
        <v>1.5749500406915</v>
      </c>
      <c r="E80">
        <f t="shared" si="4"/>
        <v>0.83706902836109398</v>
      </c>
      <c r="F80">
        <f t="shared" si="6"/>
        <v>99.154920678847276</v>
      </c>
      <c r="G80">
        <f t="shared" si="7"/>
        <v>97.52157737386247</v>
      </c>
      <c r="H80">
        <f t="shared" si="5"/>
        <v>-1.6333433049848054</v>
      </c>
    </row>
    <row r="81" spans="1:8" x14ac:dyDescent="0.3">
      <c r="A81">
        <v>1950</v>
      </c>
      <c r="B81">
        <v>0.80168826902518897</v>
      </c>
      <c r="C81">
        <v>1.0926272413242699</v>
      </c>
      <c r="D81">
        <v>1.41911613068385</v>
      </c>
      <c r="E81">
        <f t="shared" si="4"/>
        <v>0.61742786165866104</v>
      </c>
      <c r="F81">
        <f t="shared" si="6"/>
        <v>99.956608947872468</v>
      </c>
      <c r="G81">
        <f t="shared" si="7"/>
        <v>98.940693504546317</v>
      </c>
      <c r="H81">
        <f t="shared" si="5"/>
        <v>-1.0159154433261506</v>
      </c>
    </row>
    <row r="82" spans="1:8" x14ac:dyDescent="0.3">
      <c r="A82">
        <v>1975</v>
      </c>
      <c r="B82">
        <v>0.80168826902518897</v>
      </c>
      <c r="C82">
        <v>1.0926272413242699</v>
      </c>
      <c r="D82">
        <v>1.42015313981921</v>
      </c>
      <c r="E82">
        <f t="shared" si="4"/>
        <v>0.61846487079402102</v>
      </c>
      <c r="F82">
        <f t="shared" si="6"/>
        <v>100.75829721689766</v>
      </c>
      <c r="G82">
        <f t="shared" si="7"/>
        <v>100.36084664436552</v>
      </c>
      <c r="H82">
        <f t="shared" si="5"/>
        <v>-0.39745057253213645</v>
      </c>
    </row>
    <row r="83" spans="1:8" x14ac:dyDescent="0.3">
      <c r="A83">
        <v>2000</v>
      </c>
      <c r="B83">
        <v>0.89301569395781</v>
      </c>
      <c r="C83">
        <v>1.0882087731132599</v>
      </c>
      <c r="D83">
        <v>1.3580439578146899</v>
      </c>
      <c r="E83">
        <f t="shared" si="4"/>
        <v>0.4650282638568799</v>
      </c>
      <c r="F83">
        <f t="shared" si="6"/>
        <v>101.65131291085547</v>
      </c>
      <c r="G83">
        <f t="shared" si="7"/>
        <v>101.71889060218021</v>
      </c>
      <c r="H83">
        <f t="shared" si="5"/>
        <v>6.7577691324743228E-2</v>
      </c>
    </row>
    <row r="84" spans="1:8" x14ac:dyDescent="0.3">
      <c r="A84">
        <v>2025</v>
      </c>
      <c r="B84">
        <v>0.89301569395781</v>
      </c>
      <c r="C84">
        <v>1.0882087731132599</v>
      </c>
      <c r="D84">
        <v>0.91681136858368395</v>
      </c>
      <c r="E84">
        <f t="shared" si="4"/>
        <v>2.3795674625873953E-2</v>
      </c>
      <c r="F84">
        <f t="shared" si="6"/>
        <v>102.54432860481327</v>
      </c>
      <c r="G84">
        <f t="shared" si="7"/>
        <v>102.63570197076389</v>
      </c>
      <c r="H84">
        <f t="shared" si="5"/>
        <v>9.1373365950616403E-2</v>
      </c>
    </row>
    <row r="85" spans="1:8" x14ac:dyDescent="0.3">
      <c r="A85">
        <v>2050</v>
      </c>
      <c r="B85">
        <v>0.95596925833269397</v>
      </c>
      <c r="C85">
        <v>1.0837915371846101</v>
      </c>
      <c r="D85">
        <v>0.91261559757476496</v>
      </c>
      <c r="E85">
        <f t="shared" si="4"/>
        <v>-4.3353660757929013E-2</v>
      </c>
      <c r="F85">
        <f t="shared" si="6"/>
        <v>103.50029786314597</v>
      </c>
      <c r="G85">
        <f t="shared" si="7"/>
        <v>103.54831756833866</v>
      </c>
      <c r="H85">
        <f t="shared" si="5"/>
        <v>4.8019705192686502E-2</v>
      </c>
    </row>
    <row r="86" spans="1:8" x14ac:dyDescent="0.3">
      <c r="A86">
        <v>2075</v>
      </c>
      <c r="B86">
        <v>0.62128115231520098</v>
      </c>
      <c r="C86">
        <v>1.0837915371846101</v>
      </c>
      <c r="D86">
        <v>0.90819905767494702</v>
      </c>
      <c r="E86">
        <f t="shared" si="4"/>
        <v>0.28691790535974604</v>
      </c>
      <c r="F86">
        <f t="shared" si="6"/>
        <v>104.12157901546118</v>
      </c>
      <c r="G86">
        <f t="shared" si="7"/>
        <v>104.45651662601361</v>
      </c>
      <c r="H86">
        <f t="shared" si="5"/>
        <v>0.33493761055242999</v>
      </c>
    </row>
    <row r="87" spans="1:8" x14ac:dyDescent="0.3">
      <c r="A87">
        <v>2100</v>
      </c>
      <c r="B87">
        <v>0.63860246221723005</v>
      </c>
      <c r="C87">
        <v>1.07937553379305</v>
      </c>
      <c r="D87">
        <v>0.90355594022798602</v>
      </c>
      <c r="E87">
        <f t="shared" si="4"/>
        <v>0.26495347801075597</v>
      </c>
      <c r="F87">
        <f t="shared" si="6"/>
        <v>104.76018147767842</v>
      </c>
      <c r="G87">
        <f t="shared" si="7"/>
        <v>105.3600725662416</v>
      </c>
      <c r="H87">
        <f t="shared" si="5"/>
        <v>0.59989108856318296</v>
      </c>
    </row>
    <row r="88" spans="1:8" x14ac:dyDescent="0.3">
      <c r="A88">
        <v>2125</v>
      </c>
      <c r="B88">
        <v>0.64273833615560105</v>
      </c>
      <c r="C88">
        <v>1.07937553379305</v>
      </c>
      <c r="D88">
        <v>0.898879266870795</v>
      </c>
      <c r="E88">
        <f t="shared" si="4"/>
        <v>0.25614093071519395</v>
      </c>
      <c r="F88">
        <f t="shared" si="6"/>
        <v>105.40291981383402</v>
      </c>
      <c r="G88">
        <f t="shared" si="7"/>
        <v>106.25895183311239</v>
      </c>
      <c r="H88">
        <f t="shared" si="5"/>
        <v>0.85603201927837347</v>
      </c>
    </row>
    <row r="89" spans="1:8" x14ac:dyDescent="0.3">
      <c r="A89">
        <v>2150</v>
      </c>
      <c r="B89">
        <v>0.62397457587114602</v>
      </c>
      <c r="C89">
        <v>1.0749607630349201</v>
      </c>
      <c r="D89">
        <v>0.89407003247942896</v>
      </c>
      <c r="E89">
        <f t="shared" si="4"/>
        <v>0.27009545660828294</v>
      </c>
      <c r="F89">
        <f t="shared" si="6"/>
        <v>106.02689438970516</v>
      </c>
      <c r="G89">
        <f t="shared" si="7"/>
        <v>107.15302186559182</v>
      </c>
      <c r="H89">
        <f t="shared" si="5"/>
        <v>1.126127475886662</v>
      </c>
    </row>
    <row r="90" spans="1:8" x14ac:dyDescent="0.3">
      <c r="A90">
        <v>2175</v>
      </c>
      <c r="B90">
        <v>0.62824152674320499</v>
      </c>
      <c r="C90">
        <v>1.0749607630349201</v>
      </c>
      <c r="D90">
        <v>0.88912612581871298</v>
      </c>
      <c r="E90">
        <f t="shared" si="4"/>
        <v>0.26088459907550798</v>
      </c>
      <c r="F90">
        <f t="shared" si="6"/>
        <v>106.65513591644837</v>
      </c>
      <c r="G90">
        <f t="shared" si="7"/>
        <v>108.04214799141054</v>
      </c>
      <c r="H90">
        <f t="shared" si="5"/>
        <v>1.3870120749621719</v>
      </c>
    </row>
    <row r="91" spans="1:8" x14ac:dyDescent="0.3">
      <c r="A91">
        <v>2200</v>
      </c>
      <c r="B91">
        <v>0.78859847395707305</v>
      </c>
      <c r="C91">
        <v>1.0705472252043999</v>
      </c>
      <c r="D91">
        <v>0.79774705899752696</v>
      </c>
      <c r="E91">
        <f t="shared" si="4"/>
        <v>9.1485850404539049E-3</v>
      </c>
      <c r="F91">
        <f t="shared" si="6"/>
        <v>107.44373439040544</v>
      </c>
      <c r="G91">
        <f t="shared" si="7"/>
        <v>108.83989505040807</v>
      </c>
      <c r="H91">
        <f t="shared" si="5"/>
        <v>1.3961606600026357</v>
      </c>
    </row>
    <row r="92" spans="1:8" x14ac:dyDescent="0.3">
      <c r="A92">
        <v>2225</v>
      </c>
      <c r="B92">
        <v>0.79077621858614899</v>
      </c>
      <c r="C92">
        <v>1.0705472252043999</v>
      </c>
      <c r="D92">
        <v>0.46958682741776198</v>
      </c>
      <c r="E92">
        <f t="shared" si="4"/>
        <v>-0.32118939116838702</v>
      </c>
      <c r="F92">
        <f t="shared" si="6"/>
        <v>108.23451060899158</v>
      </c>
      <c r="G92">
        <f t="shared" si="7"/>
        <v>109.30948187782583</v>
      </c>
      <c r="H92">
        <f t="shared" si="5"/>
        <v>1.074971268834247</v>
      </c>
    </row>
    <row r="93" spans="1:8" x14ac:dyDescent="0.3">
      <c r="A93">
        <v>2250</v>
      </c>
      <c r="B93">
        <v>0.85087497723820504</v>
      </c>
      <c r="C93">
        <v>1.0661349203977899</v>
      </c>
      <c r="D93">
        <v>0.46949457987322402</v>
      </c>
      <c r="E93">
        <f t="shared" si="4"/>
        <v>-0.38138039736498103</v>
      </c>
      <c r="F93">
        <f t="shared" si="6"/>
        <v>109.08538558622979</v>
      </c>
      <c r="G93">
        <f t="shared" si="7"/>
        <v>109.77897645769906</v>
      </c>
      <c r="H93">
        <f t="shared" si="5"/>
        <v>0.69359087146926868</v>
      </c>
    </row>
    <row r="94" spans="1:8" x14ac:dyDescent="0.3">
      <c r="A94">
        <v>2275</v>
      </c>
      <c r="B94">
        <v>0.85228751075567599</v>
      </c>
      <c r="C94">
        <v>1.0661349203977899</v>
      </c>
      <c r="D94">
        <v>0.46949457987322402</v>
      </c>
      <c r="E94">
        <f t="shared" si="4"/>
        <v>-0.38279293088245198</v>
      </c>
      <c r="F94">
        <f t="shared" si="6"/>
        <v>109.93767309698546</v>
      </c>
      <c r="G94">
        <f t="shared" si="7"/>
        <v>110.24847103757229</v>
      </c>
      <c r="H94">
        <f t="shared" si="5"/>
        <v>0.31079794058682353</v>
      </c>
    </row>
    <row r="95" spans="1:8" x14ac:dyDescent="0.3">
      <c r="A95">
        <v>2300</v>
      </c>
      <c r="B95">
        <v>0.97193236968160202</v>
      </c>
      <c r="C95">
        <v>1.0617238489091101</v>
      </c>
      <c r="D95">
        <v>0.52609357436612803</v>
      </c>
      <c r="E95">
        <f t="shared" si="4"/>
        <v>-0.44583879531547399</v>
      </c>
      <c r="F95">
        <f t="shared" si="6"/>
        <v>110.90960546666706</v>
      </c>
      <c r="G95">
        <f t="shared" si="7"/>
        <v>110.77456461193842</v>
      </c>
      <c r="H95">
        <f t="shared" si="5"/>
        <v>-0.13504085472864347</v>
      </c>
    </row>
    <row r="96" spans="1:8" x14ac:dyDescent="0.3">
      <c r="A96">
        <v>2325</v>
      </c>
      <c r="B96">
        <v>0.97193366773560097</v>
      </c>
      <c r="C96">
        <v>1.0617238489091101</v>
      </c>
      <c r="D96">
        <v>0.52609357436612803</v>
      </c>
      <c r="E96">
        <f t="shared" si="4"/>
        <v>-0.44584009336947295</v>
      </c>
      <c r="F96">
        <f t="shared" si="6"/>
        <v>111.88153913440266</v>
      </c>
      <c r="G96">
        <f t="shared" si="7"/>
        <v>111.30065818630455</v>
      </c>
      <c r="H96">
        <f t="shared" si="5"/>
        <v>-0.58088094809811253</v>
      </c>
    </row>
    <row r="97" spans="1:8" x14ac:dyDescent="0.3">
      <c r="A97">
        <v>2350</v>
      </c>
      <c r="B97">
        <v>1.0084735794200701</v>
      </c>
      <c r="C97">
        <v>1.05731401079509</v>
      </c>
      <c r="D97">
        <v>0.678854857071717</v>
      </c>
      <c r="E97">
        <f t="shared" si="4"/>
        <v>-0.3296187223483531</v>
      </c>
      <c r="F97">
        <f t="shared" si="6"/>
        <v>112.89001271382273</v>
      </c>
      <c r="G97">
        <f t="shared" si="7"/>
        <v>111.97951304337626</v>
      </c>
      <c r="H97">
        <f t="shared" si="5"/>
        <v>-0.91049967044646962</v>
      </c>
    </row>
    <row r="98" spans="1:8" x14ac:dyDescent="0.3">
      <c r="A98">
        <v>2375</v>
      </c>
      <c r="B98">
        <v>1.00809437039504</v>
      </c>
      <c r="C98">
        <v>1.05731401079509</v>
      </c>
      <c r="D98">
        <v>0.678854857071717</v>
      </c>
      <c r="E98">
        <f t="shared" si="4"/>
        <v>-0.32923951332332302</v>
      </c>
      <c r="F98">
        <f t="shared" si="6"/>
        <v>113.89810708421777</v>
      </c>
      <c r="G98">
        <f t="shared" si="7"/>
        <v>112.65836790044797</v>
      </c>
      <c r="H98">
        <f t="shared" si="5"/>
        <v>-1.2397391837697995</v>
      </c>
    </row>
    <row r="99" spans="1:8" x14ac:dyDescent="0.3">
      <c r="A99">
        <v>2400</v>
      </c>
      <c r="B99">
        <v>0.75239355029164401</v>
      </c>
      <c r="C99">
        <v>1.0529054063496399</v>
      </c>
      <c r="D99">
        <v>0.83402923495482695</v>
      </c>
      <c r="E99">
        <f t="shared" si="4"/>
        <v>8.1635684663182939E-2</v>
      </c>
      <c r="F99">
        <f t="shared" si="6"/>
        <v>114.65050063450941</v>
      </c>
      <c r="G99">
        <f t="shared" si="7"/>
        <v>113.4923971354028</v>
      </c>
      <c r="H99">
        <f t="shared" si="5"/>
        <v>-1.1581034991066161</v>
      </c>
    </row>
    <row r="100" spans="1:8" x14ac:dyDescent="0.3">
      <c r="A100">
        <v>2425</v>
      </c>
      <c r="B100">
        <v>0.75507989251683505</v>
      </c>
      <c r="C100">
        <v>1.0529054063496399</v>
      </c>
      <c r="D100">
        <v>0.83402923495482695</v>
      </c>
      <c r="E100">
        <f t="shared" si="4"/>
        <v>7.8949342437991898E-2</v>
      </c>
      <c r="F100">
        <f t="shared" si="6"/>
        <v>115.40558052702625</v>
      </c>
      <c r="G100">
        <f t="shared" si="7"/>
        <v>114.32642637035762</v>
      </c>
      <c r="H100">
        <f t="shared" si="5"/>
        <v>-1.079154156668622</v>
      </c>
    </row>
    <row r="101" spans="1:8" x14ac:dyDescent="0.3">
      <c r="A101">
        <v>2450</v>
      </c>
      <c r="B101">
        <v>1.0458401536485</v>
      </c>
      <c r="C101">
        <v>1.0484980357085201</v>
      </c>
      <c r="D101">
        <v>0.65160287934664596</v>
      </c>
      <c r="E101">
        <f t="shared" si="4"/>
        <v>-0.39423727430185407</v>
      </c>
      <c r="F101">
        <f t="shared" si="6"/>
        <v>116.45142068067474</v>
      </c>
      <c r="G101">
        <f t="shared" si="7"/>
        <v>114.97802924970426</v>
      </c>
      <c r="H101">
        <f t="shared" si="5"/>
        <v>-1.4733914309704801</v>
      </c>
    </row>
    <row r="102" spans="1:8" x14ac:dyDescent="0.3">
      <c r="A102">
        <v>2475</v>
      </c>
      <c r="B102">
        <v>1.0452180437524199</v>
      </c>
      <c r="C102">
        <v>1.0484980357085201</v>
      </c>
      <c r="D102">
        <v>0.57746478294265902</v>
      </c>
      <c r="E102">
        <f t="shared" si="4"/>
        <v>-0.46775326080976087</v>
      </c>
      <c r="F102">
        <f t="shared" si="6"/>
        <v>117.49663872442716</v>
      </c>
      <c r="G102">
        <f t="shared" si="7"/>
        <v>115.55549403264692</v>
      </c>
      <c r="H102">
        <f t="shared" si="5"/>
        <v>-1.941144691780238</v>
      </c>
    </row>
    <row r="103" spans="1:8" x14ac:dyDescent="0.3">
      <c r="A103">
        <v>2500</v>
      </c>
      <c r="B103">
        <v>1.0316582376808501</v>
      </c>
      <c r="C103">
        <v>1.04409189912595</v>
      </c>
      <c r="D103">
        <v>0.71626155088662002</v>
      </c>
      <c r="E103">
        <f t="shared" si="4"/>
        <v>-0.31539668679423005</v>
      </c>
      <c r="F103">
        <f t="shared" si="6"/>
        <v>118.528296962108</v>
      </c>
      <c r="G103">
        <f t="shared" si="7"/>
        <v>116.27175558353353</v>
      </c>
      <c r="H103">
        <f t="shared" si="5"/>
        <v>-2.2565413785744681</v>
      </c>
    </row>
    <row r="104" spans="1:8" x14ac:dyDescent="0.3">
      <c r="A104">
        <v>2525</v>
      </c>
      <c r="B104">
        <v>1.03124518361619</v>
      </c>
      <c r="C104">
        <v>1.04409189912595</v>
      </c>
      <c r="D104">
        <v>0.71938370488192005</v>
      </c>
      <c r="E104">
        <f t="shared" si="4"/>
        <v>-0.31186147873426995</v>
      </c>
      <c r="F104">
        <f t="shared" si="6"/>
        <v>119.55954214572419</v>
      </c>
      <c r="G104">
        <f t="shared" si="7"/>
        <v>116.99113928841545</v>
      </c>
      <c r="H104">
        <f t="shared" si="5"/>
        <v>-2.5684028573087403</v>
      </c>
    </row>
    <row r="105" spans="1:8" x14ac:dyDescent="0.3">
      <c r="A105">
        <v>2550</v>
      </c>
      <c r="B105">
        <v>0.95141170800266905</v>
      </c>
      <c r="C105">
        <v>1.0396869966981399</v>
      </c>
      <c r="D105">
        <v>0.85366216623100599</v>
      </c>
      <c r="E105">
        <f t="shared" si="4"/>
        <v>-9.7749541771663062E-2</v>
      </c>
      <c r="F105">
        <f t="shared" si="6"/>
        <v>120.51095385372686</v>
      </c>
      <c r="G105">
        <f t="shared" si="7"/>
        <v>117.84480145464646</v>
      </c>
      <c r="H105">
        <f t="shared" si="5"/>
        <v>-2.6661523990804028</v>
      </c>
    </row>
    <row r="106" spans="1:8" x14ac:dyDescent="0.3">
      <c r="A106">
        <v>2575</v>
      </c>
      <c r="B106">
        <v>0.95185189786221003</v>
      </c>
      <c r="C106">
        <v>1.0396869966981399</v>
      </c>
      <c r="D106">
        <v>0.85504625314589999</v>
      </c>
      <c r="E106">
        <f t="shared" si="4"/>
        <v>-9.6805644716310035E-2</v>
      </c>
      <c r="F106">
        <f t="shared" si="6"/>
        <v>121.46280575158907</v>
      </c>
      <c r="G106">
        <f t="shared" si="7"/>
        <v>118.69984770779236</v>
      </c>
      <c r="H106">
        <f t="shared" si="5"/>
        <v>-2.7629580437967149</v>
      </c>
    </row>
    <row r="107" spans="1:8" x14ac:dyDescent="0.3">
      <c r="A107">
        <v>2600</v>
      </c>
      <c r="B107">
        <v>0.94047512516813003</v>
      </c>
      <c r="C107">
        <v>1.03528332871869</v>
      </c>
      <c r="D107">
        <v>0.55288117304439799</v>
      </c>
      <c r="E107">
        <f t="shared" si="4"/>
        <v>-0.38759395212373204</v>
      </c>
      <c r="F107">
        <f t="shared" si="6"/>
        <v>122.40328087675721</v>
      </c>
      <c r="G107">
        <f t="shared" si="7"/>
        <v>119.25272888083676</v>
      </c>
      <c r="H107">
        <f t="shared" si="5"/>
        <v>-3.150551995920452</v>
      </c>
    </row>
    <row r="108" spans="1:8" x14ac:dyDescent="0.3">
      <c r="A108">
        <v>2625</v>
      </c>
      <c r="B108">
        <v>0.941062024535672</v>
      </c>
      <c r="C108">
        <v>1.03528332871869</v>
      </c>
      <c r="D108">
        <v>0.93881987306730996</v>
      </c>
      <c r="E108">
        <f t="shared" si="4"/>
        <v>-2.2421514683620414E-3</v>
      </c>
      <c r="F108">
        <f t="shared" si="6"/>
        <v>123.34434290129288</v>
      </c>
      <c r="G108">
        <f t="shared" si="7"/>
        <v>120.19154875390407</v>
      </c>
      <c r="H108">
        <f t="shared" si="5"/>
        <v>-3.1527941473888035</v>
      </c>
    </row>
    <row r="109" spans="1:8" x14ac:dyDescent="0.3">
      <c r="A109">
        <v>2650</v>
      </c>
      <c r="B109">
        <v>1.00810549694784</v>
      </c>
      <c r="C109">
        <v>1.0308808952443</v>
      </c>
      <c r="D109">
        <v>0.75072636569364204</v>
      </c>
      <c r="E109">
        <f t="shared" si="4"/>
        <v>-0.25737913125419798</v>
      </c>
      <c r="F109">
        <f t="shared" si="6"/>
        <v>124.35244839824071</v>
      </c>
      <c r="G109">
        <f t="shared" si="7"/>
        <v>120.94227511959771</v>
      </c>
      <c r="H109">
        <f t="shared" si="5"/>
        <v>-3.4101732786430006</v>
      </c>
    </row>
    <row r="110" spans="1:8" x14ac:dyDescent="0.3">
      <c r="A110">
        <v>2675</v>
      </c>
      <c r="B110">
        <v>1.00811101277076</v>
      </c>
      <c r="C110">
        <v>1.0308808952443</v>
      </c>
      <c r="D110">
        <v>0.75320766393131</v>
      </c>
      <c r="E110">
        <f t="shared" si="4"/>
        <v>-0.25490334883944998</v>
      </c>
      <c r="F110">
        <f t="shared" si="6"/>
        <v>125.36055941101147</v>
      </c>
      <c r="G110">
        <f t="shared" si="7"/>
        <v>121.69548278352902</v>
      </c>
      <c r="H110">
        <f t="shared" si="5"/>
        <v>-3.6650766274824491</v>
      </c>
    </row>
    <row r="111" spans="1:8" x14ac:dyDescent="0.3">
      <c r="A111">
        <v>2700</v>
      </c>
      <c r="B111">
        <v>1.01260718658354</v>
      </c>
      <c r="C111">
        <v>1.0264796965684699</v>
      </c>
      <c r="D111">
        <v>0.75581799544530304</v>
      </c>
      <c r="E111">
        <f t="shared" si="4"/>
        <v>-0.25678919113823695</v>
      </c>
      <c r="F111">
        <f t="shared" si="6"/>
        <v>126.373166597595</v>
      </c>
      <c r="G111">
        <f t="shared" si="7"/>
        <v>122.45130077897431</v>
      </c>
      <c r="H111">
        <f t="shared" si="5"/>
        <v>-3.9218658186206881</v>
      </c>
    </row>
    <row r="112" spans="1:8" x14ac:dyDescent="0.3">
      <c r="A112">
        <v>2725</v>
      </c>
      <c r="B112">
        <v>1.39160705670392</v>
      </c>
      <c r="C112">
        <v>1.0264796965684699</v>
      </c>
      <c r="D112">
        <v>0.75843537409023698</v>
      </c>
      <c r="E112">
        <f t="shared" si="4"/>
        <v>-0.63317168261368306</v>
      </c>
      <c r="F112">
        <f t="shared" si="6"/>
        <v>127.76477365429892</v>
      </c>
      <c r="G112">
        <f t="shared" si="7"/>
        <v>123.20973615306455</v>
      </c>
      <c r="H112">
        <f t="shared" si="5"/>
        <v>-4.5550375012343665</v>
      </c>
    </row>
    <row r="113" spans="1:8" x14ac:dyDescent="0.3">
      <c r="A113">
        <v>2750</v>
      </c>
      <c r="B113">
        <v>1.30078820759883</v>
      </c>
      <c r="C113">
        <v>1.0220797328662099</v>
      </c>
      <c r="D113">
        <v>0.76106940671415502</v>
      </c>
      <c r="E113">
        <f t="shared" si="4"/>
        <v>-0.53971880088467494</v>
      </c>
      <c r="F113">
        <f t="shared" si="6"/>
        <v>129.06556186189775</v>
      </c>
      <c r="G113">
        <f t="shared" si="7"/>
        <v>123.97080555977871</v>
      </c>
      <c r="H113">
        <f t="shared" si="5"/>
        <v>-5.0947563021190376</v>
      </c>
    </row>
    <row r="114" spans="1:8" x14ac:dyDescent="0.3">
      <c r="A114">
        <v>2775</v>
      </c>
      <c r="B114">
        <v>1.30078820759883</v>
      </c>
      <c r="C114">
        <v>1.0220797328662099</v>
      </c>
      <c r="D114">
        <v>1.1377390030114101</v>
      </c>
      <c r="E114">
        <f t="shared" si="4"/>
        <v>-0.16304920458741989</v>
      </c>
      <c r="F114">
        <f t="shared" si="6"/>
        <v>130.36635006949658</v>
      </c>
      <c r="G114">
        <f t="shared" si="7"/>
        <v>125.10854456279012</v>
      </c>
      <c r="H114">
        <f t="shared" si="5"/>
        <v>-5.2578055067064611</v>
      </c>
    </row>
    <row r="115" spans="1:8" x14ac:dyDescent="0.3">
      <c r="A115">
        <v>2800</v>
      </c>
      <c r="B115">
        <v>1.2227649866672801</v>
      </c>
      <c r="C115">
        <v>1.0176810043125299</v>
      </c>
      <c r="D115">
        <v>1.1363295503030599</v>
      </c>
      <c r="E115">
        <f t="shared" si="4"/>
        <v>-8.6435436364220131E-2</v>
      </c>
      <c r="F115">
        <f t="shared" si="6"/>
        <v>131.58911505616385</v>
      </c>
      <c r="G115">
        <f t="shared" si="7"/>
        <v>126.24487411309318</v>
      </c>
      <c r="H115">
        <f t="shared" si="5"/>
        <v>-5.3442409430706732</v>
      </c>
    </row>
    <row r="116" spans="1:8" x14ac:dyDescent="0.3">
      <c r="A116">
        <v>2825</v>
      </c>
      <c r="B116">
        <v>1.2227649866672801</v>
      </c>
      <c r="C116">
        <v>1.0176810043125299</v>
      </c>
      <c r="D116">
        <v>1.1349149791661099</v>
      </c>
      <c r="E116">
        <f t="shared" si="4"/>
        <v>-8.7850007501170113E-2</v>
      </c>
      <c r="F116">
        <f t="shared" si="6"/>
        <v>132.81188004283112</v>
      </c>
      <c r="G116">
        <f t="shared" si="7"/>
        <v>127.37978909225929</v>
      </c>
      <c r="H116">
        <f t="shared" si="5"/>
        <v>-5.4320909505718333</v>
      </c>
    </row>
    <row r="117" spans="1:8" x14ac:dyDescent="0.3">
      <c r="A117">
        <v>2850</v>
      </c>
      <c r="B117">
        <v>1.1343941163064299</v>
      </c>
      <c r="C117">
        <v>1.0132835110823899</v>
      </c>
      <c r="D117">
        <v>1.13356340349853</v>
      </c>
      <c r="E117">
        <f t="shared" si="4"/>
        <v>-8.3071280789992485E-4</v>
      </c>
      <c r="F117">
        <f t="shared" si="6"/>
        <v>133.94627415913754</v>
      </c>
      <c r="G117">
        <f t="shared" si="7"/>
        <v>128.51335249575783</v>
      </c>
      <c r="H117">
        <f t="shared" si="5"/>
        <v>-5.4329216633797159</v>
      </c>
    </row>
    <row r="118" spans="1:8" x14ac:dyDescent="0.3">
      <c r="A118">
        <v>2875</v>
      </c>
      <c r="B118">
        <v>1.1343941163064299</v>
      </c>
      <c r="C118">
        <v>1.0132835110823899</v>
      </c>
      <c r="D118">
        <v>1.13227471297187</v>
      </c>
      <c r="E118">
        <f t="shared" si="4"/>
        <v>-2.119403334559955E-3</v>
      </c>
      <c r="F118">
        <f t="shared" si="6"/>
        <v>135.08066827544397</v>
      </c>
      <c r="G118">
        <f t="shared" si="7"/>
        <v>129.64562720872971</v>
      </c>
      <c r="H118">
        <f t="shared" si="5"/>
        <v>-5.4350410667142626</v>
      </c>
    </row>
    <row r="119" spans="1:8" x14ac:dyDescent="0.3">
      <c r="A119">
        <v>2900</v>
      </c>
      <c r="B119">
        <v>0.97362521471598595</v>
      </c>
      <c r="C119">
        <v>1.0088872534295401</v>
      </c>
      <c r="D119">
        <v>1.130983804085</v>
      </c>
      <c r="E119">
        <f t="shared" si="4"/>
        <v>0.15735858936901403</v>
      </c>
      <c r="F119">
        <f t="shared" si="6"/>
        <v>136.05429349015995</v>
      </c>
      <c r="G119">
        <f t="shared" si="7"/>
        <v>130.7766110128147</v>
      </c>
      <c r="H119">
        <f t="shared" si="5"/>
        <v>-5.2776824773452518</v>
      </c>
    </row>
    <row r="120" spans="1:8" x14ac:dyDescent="0.3">
      <c r="A120">
        <v>2925</v>
      </c>
      <c r="B120">
        <v>0.97362521471598595</v>
      </c>
      <c r="C120">
        <v>1.0088872534295401</v>
      </c>
      <c r="D120">
        <v>1.1298211544966399</v>
      </c>
      <c r="E120">
        <f t="shared" si="4"/>
        <v>0.15619593978065394</v>
      </c>
      <c r="F120">
        <f t="shared" si="6"/>
        <v>137.02791870487593</v>
      </c>
      <c r="G120">
        <f t="shared" si="7"/>
        <v>131.90643216731135</v>
      </c>
      <c r="H120">
        <f t="shared" si="5"/>
        <v>-5.1214865375645786</v>
      </c>
    </row>
    <row r="121" spans="1:8" x14ac:dyDescent="0.3">
      <c r="A121">
        <v>2950</v>
      </c>
      <c r="B121">
        <v>0.97344839367491798</v>
      </c>
      <c r="C121">
        <v>1.0044922314106699</v>
      </c>
      <c r="D121">
        <v>1.1287848693806499</v>
      </c>
      <c r="E121">
        <f t="shared" si="4"/>
        <v>0.15533647570573195</v>
      </c>
      <c r="F121">
        <f t="shared" si="6"/>
        <v>138.00136709855084</v>
      </c>
      <c r="G121">
        <f t="shared" si="7"/>
        <v>133.03521703669199</v>
      </c>
      <c r="H121">
        <f t="shared" si="5"/>
        <v>-4.9661500618588548</v>
      </c>
    </row>
    <row r="122" spans="1:8" x14ac:dyDescent="0.3">
      <c r="A122">
        <v>2975</v>
      </c>
      <c r="B122">
        <v>0.97344839367491798</v>
      </c>
      <c r="C122">
        <v>1.0044922314106699</v>
      </c>
      <c r="D122">
        <v>1.12774664492529</v>
      </c>
      <c r="E122">
        <f t="shared" si="4"/>
        <v>0.154298251250372</v>
      </c>
      <c r="F122">
        <f t="shared" si="6"/>
        <v>138.97481549222576</v>
      </c>
      <c r="G122">
        <f t="shared" si="7"/>
        <v>134.16296368161727</v>
      </c>
      <c r="H122">
        <f t="shared" si="5"/>
        <v>-4.8118518106084878</v>
      </c>
    </row>
    <row r="123" spans="1:8" x14ac:dyDescent="0.3">
      <c r="A123">
        <v>3000</v>
      </c>
      <c r="B123">
        <v>0.97431734623218802</v>
      </c>
      <c r="C123">
        <v>1.00009844535822</v>
      </c>
      <c r="D123">
        <v>1.45753381676309</v>
      </c>
      <c r="E123">
        <f t="shared" si="4"/>
        <v>0.483216470530902</v>
      </c>
      <c r="F123">
        <f t="shared" si="6"/>
        <v>139.94913283845796</v>
      </c>
      <c r="G123">
        <f t="shared" si="7"/>
        <v>135.62049749838036</v>
      </c>
      <c r="H123">
        <f t="shared" si="5"/>
        <v>-4.3286353400775965</v>
      </c>
    </row>
    <row r="124" spans="1:8" x14ac:dyDescent="0.3">
      <c r="A124">
        <v>3025</v>
      </c>
      <c r="B124">
        <v>0.97431734623218802</v>
      </c>
      <c r="C124">
        <v>1.00009844535822</v>
      </c>
      <c r="D124">
        <v>1.45753381676309</v>
      </c>
      <c r="E124">
        <f t="shared" si="4"/>
        <v>0.483216470530902</v>
      </c>
      <c r="F124">
        <f t="shared" si="6"/>
        <v>140.92345018469015</v>
      </c>
      <c r="G124">
        <f t="shared" si="7"/>
        <v>137.07803131514345</v>
      </c>
      <c r="H124">
        <f t="shared" si="5"/>
        <v>-3.8454188695467053</v>
      </c>
    </row>
    <row r="125" spans="1:8" x14ac:dyDescent="0.3">
      <c r="A125">
        <v>3050</v>
      </c>
      <c r="B125">
        <v>1.2317376949429</v>
      </c>
      <c r="C125">
        <v>0.99570589532885301</v>
      </c>
      <c r="D125">
        <v>1.3420028676262401</v>
      </c>
      <c r="E125">
        <f t="shared" si="4"/>
        <v>0.11026517268334013</v>
      </c>
      <c r="F125">
        <f t="shared" si="6"/>
        <v>142.15518787963305</v>
      </c>
      <c r="G125">
        <f t="shared" si="7"/>
        <v>138.42003418276968</v>
      </c>
      <c r="H125">
        <f t="shared" si="5"/>
        <v>-3.7351536968633638</v>
      </c>
    </row>
    <row r="126" spans="1:8" x14ac:dyDescent="0.3">
      <c r="A126">
        <v>3075</v>
      </c>
      <c r="B126">
        <v>0.86736891707226804</v>
      </c>
      <c r="C126">
        <v>0.99570589532885301</v>
      </c>
      <c r="D126">
        <v>1.3420028676262401</v>
      </c>
      <c r="E126">
        <f t="shared" si="4"/>
        <v>0.47463395055397206</v>
      </c>
      <c r="F126">
        <f t="shared" si="6"/>
        <v>143.02255679670532</v>
      </c>
      <c r="G126">
        <f t="shared" si="7"/>
        <v>139.76203705039592</v>
      </c>
      <c r="H126">
        <f t="shared" si="5"/>
        <v>-3.2605197463093987</v>
      </c>
    </row>
    <row r="127" spans="1:8" x14ac:dyDescent="0.3">
      <c r="A127">
        <v>3100</v>
      </c>
      <c r="B127">
        <v>1.16035626810901</v>
      </c>
      <c r="C127">
        <v>0.99131458165483899</v>
      </c>
      <c r="D127">
        <v>1.2271982754733399</v>
      </c>
      <c r="E127">
        <f t="shared" si="4"/>
        <v>6.6842007364329881E-2</v>
      </c>
      <c r="F127">
        <f t="shared" si="6"/>
        <v>144.18291306481433</v>
      </c>
      <c r="G127">
        <f t="shared" si="7"/>
        <v>140.98923532586926</v>
      </c>
      <c r="H127">
        <f t="shared" si="5"/>
        <v>-3.1936777389450697</v>
      </c>
    </row>
    <row r="128" spans="1:8" x14ac:dyDescent="0.3">
      <c r="A128">
        <v>3125</v>
      </c>
      <c r="B128">
        <v>1.1600686822691</v>
      </c>
      <c r="C128">
        <v>0.99131458165483899</v>
      </c>
      <c r="D128">
        <v>1.2271982754733399</v>
      </c>
      <c r="E128">
        <f t="shared" si="4"/>
        <v>6.7129593204239946E-2</v>
      </c>
      <c r="F128">
        <f t="shared" si="6"/>
        <v>145.34298174708343</v>
      </c>
      <c r="G128">
        <f t="shared" si="7"/>
        <v>142.2164336013426</v>
      </c>
      <c r="H128">
        <f t="shared" si="5"/>
        <v>-3.1265481457408271</v>
      </c>
    </row>
    <row r="129" spans="1:8" x14ac:dyDescent="0.3">
      <c r="A129">
        <v>3150</v>
      </c>
      <c r="B129">
        <v>0.83062600995060198</v>
      </c>
      <c r="C129">
        <v>0.98692450443216995</v>
      </c>
      <c r="D129">
        <v>1.11326498419465</v>
      </c>
      <c r="E129">
        <f t="shared" si="4"/>
        <v>0.28263897424404805</v>
      </c>
      <c r="F129">
        <f t="shared" si="6"/>
        <v>146.17360775703403</v>
      </c>
      <c r="G129">
        <f t="shared" si="7"/>
        <v>143.32969858553724</v>
      </c>
      <c r="H129">
        <f t="shared" si="5"/>
        <v>-2.8439091714967901</v>
      </c>
    </row>
    <row r="130" spans="1:8" x14ac:dyDescent="0.3">
      <c r="A130">
        <v>3175</v>
      </c>
      <c r="B130">
        <v>0.83062600995060198</v>
      </c>
      <c r="C130">
        <v>0.98692450443216995</v>
      </c>
      <c r="D130">
        <v>1.11326498419465</v>
      </c>
      <c r="E130">
        <f t="shared" si="4"/>
        <v>0.28263897424404805</v>
      </c>
      <c r="F130">
        <f t="shared" si="6"/>
        <v>147.00423376698464</v>
      </c>
      <c r="G130">
        <f t="shared" si="7"/>
        <v>144.44296356973189</v>
      </c>
      <c r="H130">
        <f t="shared" si="5"/>
        <v>-2.5612701972527532</v>
      </c>
    </row>
    <row r="131" spans="1:8" x14ac:dyDescent="0.3">
      <c r="A131">
        <v>3200</v>
      </c>
      <c r="B131">
        <v>0.81944758988043898</v>
      </c>
      <c r="C131">
        <v>0.982535663835571</v>
      </c>
      <c r="D131">
        <v>1.00007330628941</v>
      </c>
      <c r="E131">
        <f t="shared" si="4"/>
        <v>0.18062571640897107</v>
      </c>
      <c r="F131">
        <f t="shared" si="6"/>
        <v>147.82368135686508</v>
      </c>
      <c r="G131">
        <f t="shared" si="7"/>
        <v>145.4430368760213</v>
      </c>
      <c r="H131">
        <f t="shared" si="5"/>
        <v>-2.3806444808437845</v>
      </c>
    </row>
    <row r="132" spans="1:8" x14ac:dyDescent="0.3">
      <c r="A132">
        <v>3225</v>
      </c>
      <c r="B132">
        <v>0.81944758988043898</v>
      </c>
      <c r="C132">
        <v>0.982535663835571</v>
      </c>
      <c r="D132">
        <v>1.00007330628941</v>
      </c>
      <c r="E132">
        <f t="shared" ref="E132:E146" si="8">D132-B132</f>
        <v>0.18062571640897107</v>
      </c>
      <c r="F132">
        <f t="shared" si="6"/>
        <v>148.64312894674552</v>
      </c>
      <c r="G132">
        <f t="shared" si="7"/>
        <v>146.4431101823107</v>
      </c>
      <c r="H132">
        <f t="shared" ref="H132:H146" si="9">G132-F132</f>
        <v>-2.2000187644348159</v>
      </c>
    </row>
    <row r="133" spans="1:8" x14ac:dyDescent="0.3">
      <c r="A133">
        <v>3250</v>
      </c>
      <c r="B133">
        <v>0.78655912526693605</v>
      </c>
      <c r="C133">
        <v>0.97814806011839095</v>
      </c>
      <c r="D133">
        <v>0.88769883514803904</v>
      </c>
      <c r="E133">
        <f t="shared" si="8"/>
        <v>0.10113970988110299</v>
      </c>
      <c r="F133">
        <f t="shared" ref="F133:F145" si="10">F132+B133</f>
        <v>149.42968807201245</v>
      </c>
      <c r="G133">
        <f t="shared" ref="G133:G146" si="11">G132+D133</f>
        <v>147.33080901745873</v>
      </c>
      <c r="H133">
        <f t="shared" si="9"/>
        <v>-2.0988790545537199</v>
      </c>
    </row>
    <row r="134" spans="1:8" x14ac:dyDescent="0.3">
      <c r="A134">
        <v>3275</v>
      </c>
      <c r="B134">
        <v>0.78655912526693605</v>
      </c>
      <c r="C134">
        <v>0.97814806011839095</v>
      </c>
      <c r="D134">
        <v>0.88769883514803904</v>
      </c>
      <c r="E134">
        <f t="shared" si="8"/>
        <v>0.10113970988110299</v>
      </c>
      <c r="F134">
        <f t="shared" si="10"/>
        <v>150.21624719727939</v>
      </c>
      <c r="G134">
        <f t="shared" si="11"/>
        <v>148.21850785260676</v>
      </c>
      <c r="H134">
        <f t="shared" si="9"/>
        <v>-1.9977393446726239</v>
      </c>
    </row>
    <row r="135" spans="1:8" x14ac:dyDescent="0.3">
      <c r="A135">
        <v>3300</v>
      </c>
      <c r="B135">
        <v>0.85317398640856901</v>
      </c>
      <c r="C135">
        <v>0.973761693415925</v>
      </c>
      <c r="D135">
        <v>0.77621507582398597</v>
      </c>
      <c r="E135">
        <f t="shared" si="8"/>
        <v>-7.695891058458304E-2</v>
      </c>
      <c r="F135">
        <f t="shared" si="10"/>
        <v>151.06942118368795</v>
      </c>
      <c r="G135">
        <f t="shared" si="11"/>
        <v>148.99472292843075</v>
      </c>
      <c r="H135">
        <f t="shared" si="9"/>
        <v>-2.0746982552572035</v>
      </c>
    </row>
    <row r="136" spans="1:8" x14ac:dyDescent="0.3">
      <c r="A136">
        <v>3325</v>
      </c>
      <c r="B136">
        <v>0.85317398640856901</v>
      </c>
      <c r="C136">
        <v>0.973761693415925</v>
      </c>
      <c r="D136">
        <v>0.77621507582398597</v>
      </c>
      <c r="E136">
        <f t="shared" si="8"/>
        <v>-7.695891058458304E-2</v>
      </c>
      <c r="F136">
        <f t="shared" si="10"/>
        <v>151.92259517009651</v>
      </c>
      <c r="G136">
        <f t="shared" si="11"/>
        <v>149.77093800425473</v>
      </c>
      <c r="H136">
        <f t="shared" si="9"/>
        <v>-2.1516571658417831</v>
      </c>
    </row>
    <row r="137" spans="1:8" x14ac:dyDescent="0.3">
      <c r="A137">
        <v>3350</v>
      </c>
      <c r="B137">
        <v>0.85061234702645705</v>
      </c>
      <c r="C137">
        <v>0.96937656398139205</v>
      </c>
      <c r="D137">
        <v>0.66542872984975898</v>
      </c>
      <c r="E137">
        <f t="shared" si="8"/>
        <v>-0.18518361717669807</v>
      </c>
      <c r="F137">
        <f t="shared" si="10"/>
        <v>152.77320751712298</v>
      </c>
      <c r="G137">
        <f t="shared" si="11"/>
        <v>150.4363667341045</v>
      </c>
      <c r="H137">
        <f t="shared" si="9"/>
        <v>-2.3368407830184879</v>
      </c>
    </row>
    <row r="138" spans="1:8" x14ac:dyDescent="0.3">
      <c r="A138">
        <v>3375</v>
      </c>
      <c r="B138">
        <v>0.85061234702645705</v>
      </c>
      <c r="C138">
        <v>0.96937656398139205</v>
      </c>
      <c r="D138">
        <v>0.66542872984975898</v>
      </c>
      <c r="E138">
        <f t="shared" si="8"/>
        <v>-0.18518361717669807</v>
      </c>
      <c r="F138">
        <f t="shared" si="10"/>
        <v>153.62381986414945</v>
      </c>
      <c r="G138">
        <f t="shared" si="11"/>
        <v>151.10179546395426</v>
      </c>
      <c r="H138">
        <f t="shared" si="9"/>
        <v>-2.5220244001951926</v>
      </c>
    </row>
    <row r="139" spans="1:8" x14ac:dyDescent="0.3">
      <c r="A139">
        <v>3400</v>
      </c>
      <c r="B139">
        <v>0.76661770005509899</v>
      </c>
      <c r="C139">
        <v>0.96499267191073301</v>
      </c>
      <c r="D139">
        <v>0.60738360014735404</v>
      </c>
      <c r="E139">
        <f t="shared" si="8"/>
        <v>-0.15923409990774495</v>
      </c>
      <c r="F139">
        <f t="shared" si="10"/>
        <v>154.39043756420455</v>
      </c>
      <c r="G139">
        <f t="shared" si="11"/>
        <v>151.70917906410162</v>
      </c>
      <c r="H139">
        <f t="shared" si="9"/>
        <v>-2.6812585001029277</v>
      </c>
    </row>
    <row r="140" spans="1:8" x14ac:dyDescent="0.3">
      <c r="A140">
        <v>3425</v>
      </c>
      <c r="B140">
        <v>0.76661770005509899</v>
      </c>
      <c r="C140">
        <v>0.96499267191073301</v>
      </c>
      <c r="D140">
        <v>0.60738360014735404</v>
      </c>
      <c r="E140">
        <f t="shared" si="8"/>
        <v>-0.15923409990774495</v>
      </c>
      <c r="F140">
        <f t="shared" si="10"/>
        <v>155.15705526425964</v>
      </c>
      <c r="G140">
        <f t="shared" si="11"/>
        <v>152.31656266424898</v>
      </c>
      <c r="H140">
        <f t="shared" si="9"/>
        <v>-2.8404926000106627</v>
      </c>
    </row>
    <row r="141" spans="1:8" x14ac:dyDescent="0.3">
      <c r="A141">
        <v>3450</v>
      </c>
      <c r="B141">
        <v>0.72597107511422598</v>
      </c>
      <c r="C141">
        <v>0.96061001745707397</v>
      </c>
      <c r="D141">
        <v>0.60731769767476995</v>
      </c>
      <c r="E141">
        <f t="shared" si="8"/>
        <v>-0.11865337743945603</v>
      </c>
      <c r="F141">
        <f t="shared" si="10"/>
        <v>155.88302633937386</v>
      </c>
      <c r="G141">
        <f t="shared" si="11"/>
        <v>152.92388036192375</v>
      </c>
      <c r="H141">
        <f t="shared" si="9"/>
        <v>-2.9591459774501061</v>
      </c>
    </row>
    <row r="142" spans="1:8" x14ac:dyDescent="0.3">
      <c r="A142">
        <v>3475</v>
      </c>
      <c r="B142">
        <v>0.72597107511422598</v>
      </c>
      <c r="C142">
        <v>0.96061001745707397</v>
      </c>
      <c r="D142">
        <v>0.60731769767476995</v>
      </c>
      <c r="E142">
        <f t="shared" si="8"/>
        <v>-0.11865337743945603</v>
      </c>
      <c r="F142">
        <f t="shared" si="10"/>
        <v>156.60899741448807</v>
      </c>
      <c r="G142">
        <f t="shared" si="11"/>
        <v>153.53119805959852</v>
      </c>
      <c r="H142">
        <f t="shared" si="9"/>
        <v>-3.0777993548895495</v>
      </c>
    </row>
    <row r="143" spans="1:8" x14ac:dyDescent="0.3">
      <c r="A143">
        <v>3500</v>
      </c>
      <c r="B143">
        <v>0.81227587471329099</v>
      </c>
      <c r="C143">
        <v>0.95622860079488803</v>
      </c>
      <c r="D143">
        <v>0.60731769767476695</v>
      </c>
      <c r="E143">
        <f t="shared" si="8"/>
        <v>-0.20495817703852404</v>
      </c>
      <c r="F143">
        <f t="shared" si="10"/>
        <v>157.42127328920137</v>
      </c>
      <c r="G143">
        <f t="shared" si="11"/>
        <v>154.1385157572733</v>
      </c>
      <c r="H143">
        <f t="shared" si="9"/>
        <v>-3.2827575319280697</v>
      </c>
    </row>
    <row r="144" spans="1:8" x14ac:dyDescent="0.3">
      <c r="A144">
        <v>3525</v>
      </c>
      <c r="B144">
        <v>0.49364658951206702</v>
      </c>
      <c r="C144">
        <v>0.95622860079488803</v>
      </c>
      <c r="D144">
        <v>0.60731769767476695</v>
      </c>
      <c r="E144">
        <f t="shared" si="8"/>
        <v>0.11367110816269993</v>
      </c>
      <c r="F144">
        <f t="shared" si="10"/>
        <v>157.91491987871342</v>
      </c>
      <c r="G144">
        <f t="shared" si="11"/>
        <v>154.74583345494807</v>
      </c>
      <c r="H144">
        <f t="shared" si="9"/>
        <v>-3.16908642376535</v>
      </c>
    </row>
    <row r="145" spans="1:8" x14ac:dyDescent="0.3">
      <c r="A145">
        <v>3550</v>
      </c>
      <c r="B145">
        <v>0.46485933002331398</v>
      </c>
      <c r="C145">
        <v>0.95184842209862397</v>
      </c>
      <c r="D145">
        <v>0.60731769767476995</v>
      </c>
      <c r="E145">
        <f t="shared" si="8"/>
        <v>0.14245836765145597</v>
      </c>
      <c r="F145">
        <f t="shared" si="10"/>
        <v>158.37977920873672</v>
      </c>
      <c r="G145">
        <f t="shared" si="11"/>
        <v>155.35315115262284</v>
      </c>
      <c r="H145">
        <f t="shared" si="9"/>
        <v>-3.0266280561138785</v>
      </c>
    </row>
    <row r="146" spans="1:8" x14ac:dyDescent="0.3">
      <c r="A146">
        <v>3575</v>
      </c>
      <c r="B146">
        <v>0.46997763670166098</v>
      </c>
      <c r="C146">
        <v>0.95184842209862397</v>
      </c>
      <c r="D146">
        <v>0.60731769767476995</v>
      </c>
      <c r="E146">
        <f t="shared" si="8"/>
        <v>0.13734006097310897</v>
      </c>
      <c r="F146">
        <f>F145+B146</f>
        <v>158.84975684543838</v>
      </c>
      <c r="G146">
        <f t="shared" si="11"/>
        <v>155.96046885029762</v>
      </c>
      <c r="H146">
        <f t="shared" si="9"/>
        <v>-2.8892879951407622</v>
      </c>
    </row>
    <row r="147" spans="1:8" x14ac:dyDescent="0.3">
      <c r="A147">
        <v>3600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U147"/>
  <sheetViews>
    <sheetView topLeftCell="DU1" workbookViewId="0">
      <selection activeCell="EA15" sqref="EA15"/>
    </sheetView>
  </sheetViews>
  <sheetFormatPr defaultRowHeight="14" x14ac:dyDescent="0.3"/>
  <sheetData>
    <row r="1" spans="1:151" x14ac:dyDescent="0.3">
      <c r="G1">
        <v>0</v>
      </c>
      <c r="H1">
        <v>25</v>
      </c>
      <c r="I1">
        <v>50</v>
      </c>
      <c r="J1">
        <v>75</v>
      </c>
      <c r="K1">
        <v>100</v>
      </c>
      <c r="L1">
        <v>125</v>
      </c>
      <c r="M1">
        <v>150</v>
      </c>
      <c r="N1">
        <v>175</v>
      </c>
      <c r="O1">
        <v>200</v>
      </c>
      <c r="P1">
        <v>225</v>
      </c>
      <c r="Q1">
        <v>250</v>
      </c>
      <c r="R1">
        <v>275</v>
      </c>
      <c r="S1">
        <v>300</v>
      </c>
      <c r="T1">
        <v>325</v>
      </c>
      <c r="U1">
        <v>350</v>
      </c>
      <c r="V1">
        <v>375</v>
      </c>
      <c r="W1">
        <v>400</v>
      </c>
      <c r="X1">
        <v>425</v>
      </c>
      <c r="Y1">
        <v>450</v>
      </c>
      <c r="Z1">
        <v>475</v>
      </c>
      <c r="AA1">
        <v>500</v>
      </c>
      <c r="AB1">
        <v>525</v>
      </c>
      <c r="AC1">
        <v>550</v>
      </c>
      <c r="AD1">
        <v>575</v>
      </c>
      <c r="AE1">
        <v>600</v>
      </c>
      <c r="AF1">
        <v>625</v>
      </c>
      <c r="AG1">
        <v>650</v>
      </c>
      <c r="AH1">
        <v>675</v>
      </c>
      <c r="AI1">
        <v>700</v>
      </c>
      <c r="AJ1">
        <v>725</v>
      </c>
      <c r="AK1">
        <v>750</v>
      </c>
      <c r="AL1">
        <v>775</v>
      </c>
      <c r="AM1">
        <v>800</v>
      </c>
      <c r="AN1">
        <v>825</v>
      </c>
      <c r="AO1">
        <v>850</v>
      </c>
      <c r="AP1">
        <v>875</v>
      </c>
      <c r="AQ1">
        <v>900</v>
      </c>
      <c r="AR1">
        <v>925</v>
      </c>
      <c r="AS1">
        <v>950</v>
      </c>
      <c r="AT1">
        <v>975</v>
      </c>
      <c r="AU1">
        <v>1000</v>
      </c>
      <c r="AV1">
        <v>1025</v>
      </c>
      <c r="AW1">
        <v>1050</v>
      </c>
      <c r="AX1">
        <v>1075</v>
      </c>
      <c r="AY1">
        <v>1100</v>
      </c>
      <c r="AZ1">
        <v>1125</v>
      </c>
      <c r="BA1">
        <v>1150</v>
      </c>
      <c r="BB1">
        <v>1175</v>
      </c>
      <c r="BC1">
        <v>1200</v>
      </c>
      <c r="BD1">
        <v>1225</v>
      </c>
      <c r="BE1">
        <v>1250</v>
      </c>
      <c r="BF1">
        <v>1275</v>
      </c>
      <c r="BG1">
        <v>1300</v>
      </c>
      <c r="BH1">
        <v>1325</v>
      </c>
      <c r="BI1">
        <v>1350</v>
      </c>
      <c r="BJ1">
        <v>1375</v>
      </c>
      <c r="BK1">
        <v>1400</v>
      </c>
      <c r="BL1">
        <v>1425</v>
      </c>
      <c r="BM1">
        <v>1450</v>
      </c>
      <c r="BN1">
        <v>1475</v>
      </c>
      <c r="BO1">
        <v>1500</v>
      </c>
      <c r="BP1">
        <v>1525</v>
      </c>
      <c r="BQ1">
        <v>1550</v>
      </c>
      <c r="BR1">
        <v>1575</v>
      </c>
      <c r="BS1">
        <v>1600</v>
      </c>
      <c r="BT1">
        <v>1625</v>
      </c>
      <c r="BU1">
        <v>1650</v>
      </c>
      <c r="BV1">
        <v>1675</v>
      </c>
      <c r="BW1">
        <v>1700</v>
      </c>
      <c r="BX1">
        <v>1725</v>
      </c>
      <c r="BY1">
        <v>1750</v>
      </c>
      <c r="BZ1">
        <v>1775</v>
      </c>
      <c r="CA1">
        <v>1800</v>
      </c>
      <c r="CB1">
        <v>1825</v>
      </c>
      <c r="CC1">
        <v>1850</v>
      </c>
      <c r="CD1">
        <v>1875</v>
      </c>
      <c r="CE1">
        <v>1900</v>
      </c>
      <c r="CF1">
        <v>1925</v>
      </c>
      <c r="CG1">
        <v>1950</v>
      </c>
      <c r="CH1">
        <v>1975</v>
      </c>
      <c r="CI1">
        <v>2000</v>
      </c>
      <c r="CJ1">
        <v>2025</v>
      </c>
      <c r="CK1">
        <v>2050</v>
      </c>
      <c r="CL1">
        <v>2075</v>
      </c>
      <c r="CM1">
        <v>2100</v>
      </c>
      <c r="CN1">
        <v>2125</v>
      </c>
      <c r="CO1">
        <v>2150</v>
      </c>
      <c r="CP1">
        <v>2175</v>
      </c>
      <c r="CQ1">
        <v>2200</v>
      </c>
      <c r="CR1">
        <v>2225</v>
      </c>
      <c r="CS1">
        <v>2250</v>
      </c>
      <c r="CT1">
        <v>2275</v>
      </c>
      <c r="CU1">
        <v>2300</v>
      </c>
      <c r="CV1">
        <v>2325</v>
      </c>
      <c r="CW1">
        <v>2350</v>
      </c>
      <c r="CX1">
        <v>2375</v>
      </c>
      <c r="CY1">
        <v>2400</v>
      </c>
      <c r="CZ1">
        <v>2425</v>
      </c>
      <c r="DA1">
        <v>2450</v>
      </c>
      <c r="DB1">
        <v>2475</v>
      </c>
      <c r="DC1">
        <v>2500</v>
      </c>
      <c r="DD1">
        <v>2525</v>
      </c>
      <c r="DE1">
        <v>2550</v>
      </c>
      <c r="DF1">
        <v>2575</v>
      </c>
      <c r="DG1">
        <v>2600</v>
      </c>
      <c r="DH1">
        <v>2625</v>
      </c>
      <c r="DI1">
        <v>2650</v>
      </c>
      <c r="DJ1">
        <v>2675</v>
      </c>
      <c r="DK1">
        <v>2700</v>
      </c>
      <c r="DL1">
        <v>2725</v>
      </c>
      <c r="DM1">
        <v>2750</v>
      </c>
      <c r="DN1">
        <v>2775</v>
      </c>
      <c r="DO1">
        <v>2800</v>
      </c>
      <c r="DP1">
        <v>2825</v>
      </c>
      <c r="DQ1">
        <v>2850</v>
      </c>
      <c r="DR1">
        <v>2875</v>
      </c>
      <c r="DS1">
        <v>2900</v>
      </c>
      <c r="DT1">
        <v>2925</v>
      </c>
      <c r="DU1">
        <v>2950</v>
      </c>
      <c r="DV1">
        <v>2975</v>
      </c>
      <c r="DW1">
        <v>3000</v>
      </c>
      <c r="DX1">
        <v>3025</v>
      </c>
      <c r="DY1">
        <v>3050</v>
      </c>
      <c r="DZ1">
        <v>3075</v>
      </c>
      <c r="EA1">
        <v>3100</v>
      </c>
      <c r="EB1">
        <v>3125</v>
      </c>
      <c r="EC1">
        <v>3150</v>
      </c>
      <c r="ED1">
        <v>3175</v>
      </c>
      <c r="EE1">
        <v>3200</v>
      </c>
      <c r="EF1">
        <v>3225</v>
      </c>
      <c r="EG1">
        <v>3250</v>
      </c>
      <c r="EH1">
        <v>3275</v>
      </c>
      <c r="EI1">
        <v>3300</v>
      </c>
      <c r="EJ1">
        <v>3325</v>
      </c>
      <c r="EK1">
        <v>3350</v>
      </c>
      <c r="EL1">
        <v>3375</v>
      </c>
      <c r="EM1">
        <v>3400</v>
      </c>
      <c r="EN1">
        <v>3425</v>
      </c>
      <c r="EO1">
        <v>3450</v>
      </c>
      <c r="EP1">
        <v>3475</v>
      </c>
      <c r="EQ1">
        <v>3500</v>
      </c>
      <c r="ER1">
        <v>3525</v>
      </c>
      <c r="ES1">
        <v>3550</v>
      </c>
      <c r="ET1">
        <v>3575</v>
      </c>
      <c r="EU1">
        <v>3600</v>
      </c>
    </row>
    <row r="2" spans="1:151" x14ac:dyDescent="0.3">
      <c r="B2" t="s">
        <v>0</v>
      </c>
      <c r="C2" s="1" t="s">
        <v>1</v>
      </c>
      <c r="D2" s="1" t="s">
        <v>2</v>
      </c>
      <c r="F2" t="s">
        <v>0</v>
      </c>
      <c r="G2">
        <v>1.06913036956837</v>
      </c>
      <c r="H2">
        <v>1.06913036956837</v>
      </c>
      <c r="I2">
        <v>1.1032206177608299</v>
      </c>
      <c r="J2">
        <v>1.1032206177608299</v>
      </c>
      <c r="K2">
        <v>1.21836562645419</v>
      </c>
      <c r="L2">
        <v>1.21836562645419</v>
      </c>
      <c r="M2">
        <v>1.30474901323126</v>
      </c>
      <c r="N2">
        <v>1.30474901323126</v>
      </c>
      <c r="O2">
        <v>1.14228060567901</v>
      </c>
      <c r="P2">
        <v>1.14228060567901</v>
      </c>
      <c r="Q2">
        <v>1.2250723109600601</v>
      </c>
      <c r="R2">
        <v>1.2250723109600601</v>
      </c>
      <c r="S2">
        <v>1.2205412530489199</v>
      </c>
      <c r="T2">
        <v>1.2205412530489199</v>
      </c>
      <c r="U2">
        <v>1.2188999863974499</v>
      </c>
      <c r="V2">
        <v>1.2188999863974499</v>
      </c>
      <c r="W2">
        <v>1.28807655671319</v>
      </c>
      <c r="X2">
        <v>1.28807655671319</v>
      </c>
      <c r="Y2">
        <v>1.1829075112523399</v>
      </c>
      <c r="Z2">
        <v>1.1829075112523399</v>
      </c>
      <c r="AA2">
        <v>1.2067645144361401</v>
      </c>
      <c r="AB2">
        <v>1.2067645144361401</v>
      </c>
      <c r="AC2">
        <v>1.2219442331710699</v>
      </c>
      <c r="AD2">
        <v>1.2219442331710699</v>
      </c>
      <c r="AE2">
        <v>1.16365426839576</v>
      </c>
      <c r="AF2">
        <v>1.16365426839576</v>
      </c>
      <c r="AG2">
        <v>1.2021550387894999</v>
      </c>
      <c r="AH2">
        <v>1.2021550387894999</v>
      </c>
      <c r="AI2">
        <v>1.16134637168063</v>
      </c>
      <c r="AJ2">
        <v>1.16134637168063</v>
      </c>
      <c r="AK2">
        <v>1.32411707292479</v>
      </c>
      <c r="AL2">
        <v>1.32411707292479</v>
      </c>
      <c r="AM2">
        <v>1.22128574206503</v>
      </c>
      <c r="AN2">
        <v>1.22128574206503</v>
      </c>
      <c r="AO2">
        <v>1.2909368034490001</v>
      </c>
      <c r="AP2">
        <v>1.2909368034490001</v>
      </c>
      <c r="AQ2">
        <v>1.2645851082812201</v>
      </c>
      <c r="AR2">
        <v>1.2645851082812201</v>
      </c>
      <c r="AS2">
        <v>1.3394255936578801</v>
      </c>
      <c r="AT2">
        <v>1.3394255936578801</v>
      </c>
      <c r="AU2">
        <v>1.38070975496667</v>
      </c>
      <c r="AV2">
        <v>1.38070975496667</v>
      </c>
      <c r="AW2">
        <v>1.33074009197989</v>
      </c>
      <c r="AX2">
        <v>1.33074009197989</v>
      </c>
      <c r="AY2">
        <v>1.3020488087381199</v>
      </c>
      <c r="AZ2">
        <v>1.3020488087381199</v>
      </c>
      <c r="BA2">
        <v>1.36601869580449</v>
      </c>
      <c r="BB2">
        <v>1.36601869580449</v>
      </c>
      <c r="BC2">
        <v>1.36109604258789</v>
      </c>
      <c r="BD2">
        <v>1.36109604258789</v>
      </c>
      <c r="BE2">
        <v>1.38210580395313</v>
      </c>
      <c r="BF2">
        <v>1.38210580395313</v>
      </c>
      <c r="BG2">
        <v>1.67382829769903</v>
      </c>
      <c r="BH2">
        <v>1.6789137197361399</v>
      </c>
      <c r="BI2">
        <v>1.57926239558003</v>
      </c>
      <c r="BJ2">
        <v>1.5834141397931101</v>
      </c>
      <c r="BK2">
        <v>1.5040863009787699</v>
      </c>
      <c r="BL2">
        <v>1.5074520846750401</v>
      </c>
      <c r="BM2">
        <v>1.36640936360849</v>
      </c>
      <c r="BN2">
        <v>1.3682381592310999</v>
      </c>
      <c r="BO2">
        <v>1.71264255412766</v>
      </c>
      <c r="BP2">
        <v>1.2792379622401999</v>
      </c>
      <c r="BQ2">
        <v>1.62214602746021</v>
      </c>
      <c r="BR2">
        <v>1.6285540549904101</v>
      </c>
      <c r="BS2">
        <v>1.57916654537768</v>
      </c>
      <c r="BT2">
        <v>1.1316935776325101</v>
      </c>
      <c r="BU2">
        <v>1.1527703366870501</v>
      </c>
      <c r="BV2">
        <v>1.1516369738197301</v>
      </c>
      <c r="BW2">
        <v>1.12758743104085</v>
      </c>
      <c r="BX2">
        <v>1.1260334951181199</v>
      </c>
      <c r="BY2">
        <v>1.19157570117149</v>
      </c>
      <c r="BZ2">
        <v>1.1907625111728799</v>
      </c>
      <c r="CA2">
        <v>1.1739345570425099</v>
      </c>
      <c r="CB2">
        <v>1.17279822405379</v>
      </c>
      <c r="CC2">
        <v>1.14334001197269</v>
      </c>
      <c r="CD2">
        <v>1.0493186370833101</v>
      </c>
      <c r="CE2">
        <v>0.73788101233040604</v>
      </c>
      <c r="CF2">
        <v>0.73788101233040604</v>
      </c>
      <c r="CG2">
        <v>0.80168826902518897</v>
      </c>
      <c r="CH2">
        <v>0.80168826902518897</v>
      </c>
      <c r="CI2">
        <v>0.89301569395781</v>
      </c>
      <c r="CJ2">
        <v>0.89301569395781</v>
      </c>
      <c r="CK2">
        <v>0.95596925833269397</v>
      </c>
      <c r="CL2">
        <v>0.62128115231520098</v>
      </c>
      <c r="CM2">
        <v>0.63860246221723005</v>
      </c>
      <c r="CN2">
        <v>0.64273833615560105</v>
      </c>
      <c r="CO2">
        <v>0.62397457587114602</v>
      </c>
      <c r="CP2">
        <v>0.62824152674320499</v>
      </c>
      <c r="CQ2">
        <v>0.78859847395707305</v>
      </c>
      <c r="CR2">
        <v>0.79077621858614899</v>
      </c>
      <c r="CS2">
        <v>0.85087497723820504</v>
      </c>
      <c r="CT2">
        <v>0.85228751075567599</v>
      </c>
      <c r="CU2">
        <v>0.97193236968160202</v>
      </c>
      <c r="CV2">
        <v>0.97193366773560097</v>
      </c>
      <c r="CW2">
        <v>1.0084735794200701</v>
      </c>
      <c r="CX2">
        <v>1.00809437039504</v>
      </c>
      <c r="CY2">
        <v>0.75239355029164401</v>
      </c>
      <c r="CZ2">
        <v>0.75507989251683505</v>
      </c>
      <c r="DA2">
        <v>1.0458401536485</v>
      </c>
      <c r="DB2">
        <v>1.0452180437524199</v>
      </c>
      <c r="DC2">
        <v>1.0316582376808501</v>
      </c>
      <c r="DD2">
        <v>1.03124518361619</v>
      </c>
      <c r="DE2">
        <v>0.95141170800266905</v>
      </c>
      <c r="DF2">
        <v>0.95185189786221003</v>
      </c>
      <c r="DG2">
        <v>0.94047512516813003</v>
      </c>
      <c r="DH2">
        <v>0.941062024535672</v>
      </c>
      <c r="DI2">
        <v>1.00810549694784</v>
      </c>
      <c r="DJ2">
        <v>1.00811101277076</v>
      </c>
      <c r="DK2">
        <v>1.01260718658354</v>
      </c>
      <c r="DL2">
        <v>1.39160705670392</v>
      </c>
      <c r="DM2">
        <v>1.30078820759883</v>
      </c>
      <c r="DN2">
        <v>1.30078820759883</v>
      </c>
      <c r="DO2">
        <v>1.2227649866672801</v>
      </c>
      <c r="DP2">
        <v>1.2227649866672801</v>
      </c>
      <c r="DQ2">
        <v>1.1343941163064299</v>
      </c>
      <c r="DR2">
        <v>1.1343941163064299</v>
      </c>
      <c r="DS2">
        <v>0.97362521471598595</v>
      </c>
      <c r="DT2">
        <v>0.97362521471598595</v>
      </c>
      <c r="DU2">
        <v>0.97344839367491798</v>
      </c>
      <c r="DV2">
        <v>0.97344839367491798</v>
      </c>
      <c r="DW2">
        <v>0.97431734623218802</v>
      </c>
      <c r="DX2">
        <v>0.97431734623218802</v>
      </c>
      <c r="DY2">
        <v>1.2317376949429</v>
      </c>
      <c r="DZ2">
        <v>0.86736891707226804</v>
      </c>
      <c r="EA2">
        <v>1.16035626810901</v>
      </c>
      <c r="EB2">
        <v>1.1600686822691</v>
      </c>
      <c r="EC2">
        <v>0.83062600995060198</v>
      </c>
      <c r="ED2">
        <v>0.83062600995060198</v>
      </c>
      <c r="EE2">
        <v>0.81944758988043898</v>
      </c>
      <c r="EF2">
        <v>0.81944758988043898</v>
      </c>
      <c r="EG2">
        <v>0.78655912526693605</v>
      </c>
      <c r="EH2">
        <v>0.78655912526693605</v>
      </c>
      <c r="EI2">
        <v>0.85317398640856901</v>
      </c>
      <c r="EJ2">
        <v>0.85317398640856901</v>
      </c>
      <c r="EK2">
        <v>0.85061234702645705</v>
      </c>
      <c r="EL2">
        <v>0.85061234702645705</v>
      </c>
      <c r="EM2">
        <v>0.76661770005509899</v>
      </c>
      <c r="EN2">
        <v>0.76661770005509899</v>
      </c>
      <c r="EO2">
        <v>0.72597107511422598</v>
      </c>
      <c r="EP2">
        <v>0.72597107511422598</v>
      </c>
      <c r="EQ2">
        <v>0.81227587471329099</v>
      </c>
      <c r="ER2">
        <v>0.49364658951206702</v>
      </c>
      <c r="ES2">
        <v>0.46485933002331398</v>
      </c>
      <c r="ET2">
        <v>0.46997763670166098</v>
      </c>
    </row>
    <row r="3" spans="1:151" x14ac:dyDescent="0.3">
      <c r="A3">
        <v>0</v>
      </c>
      <c r="B3">
        <v>1.06913036956837</v>
      </c>
      <c r="C3">
        <v>1.2659066758964901</v>
      </c>
      <c r="D3">
        <v>1.8589331092610999</v>
      </c>
      <c r="F3" s="1" t="s">
        <v>1</v>
      </c>
      <c r="G3">
        <v>1.2659066758964901</v>
      </c>
      <c r="H3">
        <v>1.2659066758964901</v>
      </c>
      <c r="I3">
        <v>1.26144029603248</v>
      </c>
      <c r="J3">
        <v>1.26144029603248</v>
      </c>
      <c r="K3">
        <v>1.25697514101626</v>
      </c>
      <c r="L3">
        <v>1.25697514101626</v>
      </c>
      <c r="M3">
        <v>1.2525112111049901</v>
      </c>
      <c r="N3">
        <v>1.2525112111049901</v>
      </c>
      <c r="O3">
        <v>1.2480485064356901</v>
      </c>
      <c r="P3">
        <v>1.2480485064356901</v>
      </c>
      <c r="Q3">
        <v>1.24358702726538</v>
      </c>
      <c r="R3">
        <v>1.24358702726538</v>
      </c>
      <c r="S3">
        <v>1.2391267737310101</v>
      </c>
      <c r="T3">
        <v>1.2391267737310101</v>
      </c>
      <c r="U3">
        <v>1.2346677459695801</v>
      </c>
      <c r="V3">
        <v>1.2346677459695801</v>
      </c>
      <c r="W3">
        <v>1.23020994431784</v>
      </c>
      <c r="X3">
        <v>1.23020994431784</v>
      </c>
      <c r="Y3">
        <v>1.22575336883276</v>
      </c>
      <c r="Z3">
        <v>1.22575336883276</v>
      </c>
      <c r="AA3">
        <v>1.2212980197311101</v>
      </c>
      <c r="AB3">
        <v>1.2212980197311101</v>
      </c>
      <c r="AC3">
        <v>1.2168438972695499</v>
      </c>
      <c r="AD3">
        <v>1.2168438972695499</v>
      </c>
      <c r="AE3">
        <v>1.2123910016247701</v>
      </c>
      <c r="AF3">
        <v>1.2123910016247701</v>
      </c>
      <c r="AG3">
        <v>1.2079393328936401</v>
      </c>
      <c r="AH3">
        <v>1.2079393328936401</v>
      </c>
      <c r="AI3">
        <v>1.2034888913725399</v>
      </c>
      <c r="AJ3">
        <v>1.2034888913725399</v>
      </c>
      <c r="AK3">
        <v>1.1990396772380501</v>
      </c>
      <c r="AL3">
        <v>1.1990396772380501</v>
      </c>
      <c r="AM3">
        <v>1.19459169058698</v>
      </c>
      <c r="AN3">
        <v>1.19459169058698</v>
      </c>
      <c r="AO3">
        <v>1.1901449317155</v>
      </c>
      <c r="AP3">
        <v>1.1901449317155</v>
      </c>
      <c r="AQ3">
        <v>1.1856994008000601</v>
      </c>
      <c r="AR3">
        <v>1.1856994008000601</v>
      </c>
      <c r="AS3">
        <v>1.1812550980170999</v>
      </c>
      <c r="AT3">
        <v>1.1812550980170999</v>
      </c>
      <c r="AU3">
        <v>1.1768120235032</v>
      </c>
      <c r="AV3">
        <v>1.1768120235032</v>
      </c>
      <c r="AW3">
        <v>1.17237017751439</v>
      </c>
      <c r="AX3">
        <v>1.17237017751439</v>
      </c>
      <c r="AY3">
        <v>1.1679295602269899</v>
      </c>
      <c r="AZ3">
        <v>1.1679295602269899</v>
      </c>
      <c r="BA3">
        <v>1.1634901718172901</v>
      </c>
      <c r="BB3">
        <v>1.1634901718172901</v>
      </c>
      <c r="BC3">
        <v>1.15905201250132</v>
      </c>
      <c r="BD3">
        <v>1.15905201250132</v>
      </c>
      <c r="BE3">
        <v>1.1546150824552901</v>
      </c>
      <c r="BF3">
        <v>1.1546150824552901</v>
      </c>
      <c r="BG3">
        <v>1.1501793818553501</v>
      </c>
      <c r="BH3">
        <v>1.1501793818553501</v>
      </c>
      <c r="BI3">
        <v>1.1457449109174001</v>
      </c>
      <c r="BJ3">
        <v>1.1457449109174001</v>
      </c>
      <c r="BK3">
        <v>1.1413116697777901</v>
      </c>
      <c r="BL3">
        <v>1.1413116697777901</v>
      </c>
      <c r="BM3">
        <v>1.13687965869204</v>
      </c>
      <c r="BN3">
        <v>1.13687965869204</v>
      </c>
      <c r="BO3">
        <v>1.1324488778758699</v>
      </c>
      <c r="BP3">
        <v>1.1324488778758699</v>
      </c>
      <c r="BQ3">
        <v>1.1280193273860999</v>
      </c>
      <c r="BR3">
        <v>1.1280193273860999</v>
      </c>
      <c r="BS3">
        <v>1.1235910075575</v>
      </c>
      <c r="BT3">
        <v>1.1235910075575</v>
      </c>
      <c r="BU3">
        <v>1.1191639184865401</v>
      </c>
      <c r="BV3">
        <v>1.1191639184865401</v>
      </c>
      <c r="BW3">
        <v>1.11473806038879</v>
      </c>
      <c r="BX3">
        <v>1.11473806038879</v>
      </c>
      <c r="BY3">
        <v>1.1103134335193801</v>
      </c>
      <c r="BZ3">
        <v>1.1103134335193801</v>
      </c>
      <c r="CA3">
        <v>1.10589003793509</v>
      </c>
      <c r="CB3">
        <v>1.10589003793509</v>
      </c>
      <c r="CC3">
        <v>1.1014678739306301</v>
      </c>
      <c r="CD3">
        <v>1.1014678739306301</v>
      </c>
      <c r="CE3">
        <v>1.0970469416420601</v>
      </c>
      <c r="CF3">
        <v>1.0970469416420601</v>
      </c>
      <c r="CG3">
        <v>1.0926272413242699</v>
      </c>
      <c r="CH3">
        <v>1.0926272413242699</v>
      </c>
      <c r="CI3">
        <v>1.0882087731132599</v>
      </c>
      <c r="CJ3">
        <v>1.0882087731132599</v>
      </c>
      <c r="CK3">
        <v>1.0837915371846101</v>
      </c>
      <c r="CL3">
        <v>1.0837915371846101</v>
      </c>
      <c r="CM3">
        <v>1.07937553379305</v>
      </c>
      <c r="CN3">
        <v>1.07937553379305</v>
      </c>
      <c r="CO3">
        <v>1.0749607630349201</v>
      </c>
      <c r="CP3">
        <v>1.0749607630349201</v>
      </c>
      <c r="CQ3">
        <v>1.0705472252043999</v>
      </c>
      <c r="CR3">
        <v>1.0705472252043999</v>
      </c>
      <c r="CS3">
        <v>1.0661349203977899</v>
      </c>
      <c r="CT3">
        <v>1.0661349203977899</v>
      </c>
      <c r="CU3">
        <v>1.0617238489091101</v>
      </c>
      <c r="CV3">
        <v>1.0617238489091101</v>
      </c>
      <c r="CW3">
        <v>1.05731401079509</v>
      </c>
      <c r="CX3">
        <v>1.05731401079509</v>
      </c>
      <c r="CY3">
        <v>1.0529054063496399</v>
      </c>
      <c r="CZ3">
        <v>1.0529054063496399</v>
      </c>
      <c r="DA3">
        <v>1.0484980357085201</v>
      </c>
      <c r="DB3">
        <v>1.0484980357085201</v>
      </c>
      <c r="DC3">
        <v>1.04409189912595</v>
      </c>
      <c r="DD3">
        <v>1.04409189912595</v>
      </c>
      <c r="DE3">
        <v>1.0396869966981399</v>
      </c>
      <c r="DF3">
        <v>1.0396869966981399</v>
      </c>
      <c r="DG3">
        <v>1.03528332871869</v>
      </c>
      <c r="DH3">
        <v>1.03528332871869</v>
      </c>
      <c r="DI3">
        <v>1.0308808952443</v>
      </c>
      <c r="DJ3">
        <v>1.0308808952443</v>
      </c>
      <c r="DK3">
        <v>1.0264796965684699</v>
      </c>
      <c r="DL3">
        <v>1.0264796965684699</v>
      </c>
      <c r="DM3">
        <v>1.0220797328662099</v>
      </c>
      <c r="DN3">
        <v>1.0220797328662099</v>
      </c>
      <c r="DO3">
        <v>1.0176810043125299</v>
      </c>
      <c r="DP3">
        <v>1.0176810043125299</v>
      </c>
      <c r="DQ3">
        <v>1.0132835110823899</v>
      </c>
      <c r="DR3">
        <v>1.0132835110823899</v>
      </c>
      <c r="DS3">
        <v>1.0088872534295401</v>
      </c>
      <c r="DT3">
        <v>1.0088872534295401</v>
      </c>
      <c r="DU3">
        <v>1.0044922314106699</v>
      </c>
      <c r="DV3">
        <v>1.0044922314106699</v>
      </c>
      <c r="DW3">
        <v>1.00009844535822</v>
      </c>
      <c r="DX3">
        <v>1.00009844535822</v>
      </c>
      <c r="DY3">
        <v>0.99570589532885301</v>
      </c>
      <c r="DZ3">
        <v>0.99570589532885301</v>
      </c>
      <c r="EA3">
        <v>0.99131458165483899</v>
      </c>
      <c r="EB3">
        <v>0.99131458165483899</v>
      </c>
      <c r="EC3">
        <v>0.98692450443216995</v>
      </c>
      <c r="ED3">
        <v>0.98692450443216995</v>
      </c>
      <c r="EE3">
        <v>0.982535663835571</v>
      </c>
      <c r="EF3">
        <v>0.982535663835571</v>
      </c>
      <c r="EG3">
        <v>0.97814806011839095</v>
      </c>
      <c r="EH3">
        <v>0.97814806011839095</v>
      </c>
      <c r="EI3">
        <v>0.973761693415925</v>
      </c>
      <c r="EJ3">
        <v>0.973761693415925</v>
      </c>
      <c r="EK3">
        <v>0.96937656398139205</v>
      </c>
      <c r="EL3">
        <v>0.96937656398139205</v>
      </c>
      <c r="EM3">
        <v>0.96499267191073301</v>
      </c>
      <c r="EN3">
        <v>0.96499267191073301</v>
      </c>
      <c r="EO3">
        <v>0.96061001745707397</v>
      </c>
      <c r="EP3">
        <v>0.96061001745707397</v>
      </c>
      <c r="EQ3">
        <v>0.95622860079488803</v>
      </c>
      <c r="ER3">
        <v>0.95622860079488803</v>
      </c>
      <c r="ES3">
        <v>0.95184842209862397</v>
      </c>
      <c r="ET3">
        <v>0.95184842209862397</v>
      </c>
    </row>
    <row r="4" spans="1:151" x14ac:dyDescent="0.3">
      <c r="A4">
        <v>25</v>
      </c>
      <c r="B4">
        <v>1.06913036956837</v>
      </c>
      <c r="C4">
        <v>1.2659066758964901</v>
      </c>
      <c r="D4">
        <v>1.8589331092610999</v>
      </c>
      <c r="F4" s="1" t="s">
        <v>2</v>
      </c>
      <c r="G4">
        <v>1.8589331092610999</v>
      </c>
      <c r="H4">
        <v>1.8589331092610999</v>
      </c>
      <c r="I4">
        <v>1.8589331092610999</v>
      </c>
      <c r="J4">
        <v>1.8589331092610999</v>
      </c>
      <c r="K4">
        <v>1.8535245691189699</v>
      </c>
      <c r="L4">
        <v>1.8535245691189699</v>
      </c>
      <c r="M4">
        <v>1.7640175058356999</v>
      </c>
      <c r="N4">
        <v>1.7640175058356999</v>
      </c>
      <c r="O4">
        <v>1.6462272086847001</v>
      </c>
      <c r="P4">
        <v>1.6462272086847001</v>
      </c>
      <c r="Q4">
        <v>1.52935500367314</v>
      </c>
      <c r="R4">
        <v>1.52935500367314</v>
      </c>
      <c r="S4">
        <v>1.41333621314785</v>
      </c>
      <c r="T4">
        <v>1.41333621314785</v>
      </c>
      <c r="U4">
        <v>1.2980389684345599</v>
      </c>
      <c r="V4">
        <v>1.70874150514344</v>
      </c>
      <c r="W4">
        <v>1.5860625474672101</v>
      </c>
      <c r="X4">
        <v>1.5902667420524801</v>
      </c>
      <c r="Y4">
        <v>1.4641375986391301</v>
      </c>
      <c r="Z4">
        <v>1.4670672377711</v>
      </c>
      <c r="AA4">
        <v>1.33729854225407</v>
      </c>
      <c r="AB4">
        <v>1.3388191330774499</v>
      </c>
      <c r="AC4">
        <v>1.6286666437981001</v>
      </c>
      <c r="AD4">
        <v>1.6355138968473999</v>
      </c>
      <c r="AE4">
        <v>1.48548463649647</v>
      </c>
      <c r="AF4">
        <v>1.4885211549409201</v>
      </c>
      <c r="AG4">
        <v>1.36668702025547</v>
      </c>
      <c r="AH4">
        <v>1.36626300646957</v>
      </c>
      <c r="AI4">
        <v>1.3575572679278001</v>
      </c>
      <c r="AJ4">
        <v>0.91251993592556901</v>
      </c>
      <c r="AK4">
        <v>0.90810214116825805</v>
      </c>
      <c r="AL4">
        <v>0.90355594022798602</v>
      </c>
      <c r="AM4">
        <v>0.89897877012934302</v>
      </c>
      <c r="AN4">
        <v>0.89417086833354198</v>
      </c>
      <c r="AO4">
        <v>0.88912612581871298</v>
      </c>
      <c r="AP4">
        <v>0.79764591890330305</v>
      </c>
      <c r="AQ4">
        <v>0.52609357436612803</v>
      </c>
      <c r="AR4">
        <v>0.52609357436612803</v>
      </c>
      <c r="AS4">
        <v>0.678854857071717</v>
      </c>
      <c r="AT4">
        <v>0.678854857071717</v>
      </c>
      <c r="AU4">
        <v>0.83402923495482695</v>
      </c>
      <c r="AV4">
        <v>0.83402923495482695</v>
      </c>
      <c r="AW4">
        <v>0.65160287934664596</v>
      </c>
      <c r="AX4">
        <v>0.57746478294265902</v>
      </c>
      <c r="AY4">
        <v>0.71626155088662002</v>
      </c>
      <c r="AZ4">
        <v>0.71938370488192005</v>
      </c>
      <c r="BA4">
        <v>0.85366216623100599</v>
      </c>
      <c r="BB4">
        <v>0.85504625314589999</v>
      </c>
      <c r="BC4">
        <v>0.93808690268609896</v>
      </c>
      <c r="BD4">
        <v>0.93845090682272303</v>
      </c>
      <c r="BE4">
        <v>0.74950841536284696</v>
      </c>
      <c r="BF4">
        <v>0.75195918737536005</v>
      </c>
      <c r="BG4">
        <v>0.75453657812050701</v>
      </c>
      <c r="BH4">
        <v>0.75711735123650603</v>
      </c>
      <c r="BI4">
        <v>1.14254965627575</v>
      </c>
      <c r="BJ4">
        <v>1.1408827158002599</v>
      </c>
      <c r="BK4">
        <v>1.1393481253239199</v>
      </c>
      <c r="BL4">
        <v>1.1378072282876299</v>
      </c>
      <c r="BM4">
        <v>1.1363295503030599</v>
      </c>
      <c r="BN4">
        <v>1.1349149791661099</v>
      </c>
      <c r="BO4">
        <v>1.13349716727311</v>
      </c>
      <c r="BP4">
        <v>1.1322091059020301</v>
      </c>
      <c r="BQ4">
        <v>1.13104879853054</v>
      </c>
      <c r="BR4">
        <v>1.1298855526144</v>
      </c>
      <c r="BS4">
        <v>1.48388820525892</v>
      </c>
      <c r="BT4">
        <v>1.48388820525892</v>
      </c>
      <c r="BU4">
        <v>1.3671838940600001</v>
      </c>
      <c r="BV4">
        <v>1.3671838940600001</v>
      </c>
      <c r="BW4">
        <v>1.66189302312692</v>
      </c>
      <c r="BX4">
        <v>1.6669187355400299</v>
      </c>
      <c r="BY4">
        <v>1.53983299598769</v>
      </c>
      <c r="BZ4">
        <v>1.5435886109830099</v>
      </c>
      <c r="CA4">
        <v>1.41327875405895</v>
      </c>
      <c r="CB4">
        <v>1.41563419942539</v>
      </c>
      <c r="CC4">
        <v>1.2806964088989601</v>
      </c>
      <c r="CD4">
        <v>1.28150378756293</v>
      </c>
      <c r="CE4">
        <v>1.5697486876012701</v>
      </c>
      <c r="CF4">
        <v>1.5749500406915</v>
      </c>
      <c r="CG4">
        <v>1.41911613068385</v>
      </c>
      <c r="CH4">
        <v>1.42015313981921</v>
      </c>
      <c r="CI4">
        <v>1.3580439578146899</v>
      </c>
      <c r="CJ4">
        <v>0.91681136858368395</v>
      </c>
      <c r="CK4">
        <v>0.91261559757476496</v>
      </c>
      <c r="CL4">
        <v>0.90819905767494702</v>
      </c>
      <c r="CM4">
        <v>0.90355594022798602</v>
      </c>
      <c r="CN4">
        <v>0.898879266870795</v>
      </c>
      <c r="CO4">
        <v>0.89407003247942896</v>
      </c>
      <c r="CP4">
        <v>0.88912612581871298</v>
      </c>
      <c r="CQ4">
        <v>0.79774705899752696</v>
      </c>
      <c r="CR4">
        <v>0.46958682741776198</v>
      </c>
      <c r="CS4">
        <v>0.46949457987322402</v>
      </c>
      <c r="CT4">
        <v>0.46949457987322402</v>
      </c>
      <c r="CU4">
        <v>0.52609357436612803</v>
      </c>
      <c r="CV4">
        <v>0.52609357436612803</v>
      </c>
      <c r="CW4">
        <v>0.678854857071717</v>
      </c>
      <c r="CX4">
        <v>0.678854857071717</v>
      </c>
      <c r="CY4">
        <v>0.83402923495482695</v>
      </c>
      <c r="CZ4">
        <v>0.83402923495482695</v>
      </c>
      <c r="DA4">
        <v>0.65160287934664596</v>
      </c>
      <c r="DB4">
        <v>0.57746478294265902</v>
      </c>
      <c r="DC4">
        <v>0.71626155088662002</v>
      </c>
      <c r="DD4">
        <v>0.71938370488192005</v>
      </c>
      <c r="DE4">
        <v>0.85366216623100599</v>
      </c>
      <c r="DF4">
        <v>0.85504625314589999</v>
      </c>
      <c r="DG4">
        <v>0.55288117304439799</v>
      </c>
      <c r="DH4">
        <v>0.93881987306730996</v>
      </c>
      <c r="DI4">
        <v>0.75072636569364204</v>
      </c>
      <c r="DJ4">
        <v>0.75320766393131</v>
      </c>
      <c r="DK4">
        <v>0.75581799544530304</v>
      </c>
      <c r="DL4">
        <v>0.75843537409023698</v>
      </c>
      <c r="DM4">
        <v>0.76106940671415502</v>
      </c>
      <c r="DN4">
        <v>1.1377390030114101</v>
      </c>
      <c r="DO4">
        <v>1.1363295503030599</v>
      </c>
      <c r="DP4">
        <v>1.1349149791661099</v>
      </c>
      <c r="DQ4">
        <v>1.13356340349853</v>
      </c>
      <c r="DR4">
        <v>1.13227471297187</v>
      </c>
      <c r="DS4">
        <v>1.130983804085</v>
      </c>
      <c r="DT4">
        <v>1.1298211544966399</v>
      </c>
      <c r="DU4">
        <v>1.1287848693806499</v>
      </c>
      <c r="DV4">
        <v>1.12774664492529</v>
      </c>
      <c r="DW4">
        <v>1.45753381676309</v>
      </c>
      <c r="DX4">
        <v>1.45753381676309</v>
      </c>
      <c r="DY4">
        <v>1.3420028676262401</v>
      </c>
      <c r="DZ4">
        <v>1.3420028676262401</v>
      </c>
      <c r="EA4">
        <v>1.2271982754733399</v>
      </c>
      <c r="EB4">
        <v>1.2271982754733399</v>
      </c>
      <c r="EC4">
        <v>1.11326498419465</v>
      </c>
      <c r="ED4">
        <v>1.11326498419465</v>
      </c>
      <c r="EE4">
        <v>1.00007330628941</v>
      </c>
      <c r="EF4">
        <v>1.00007330628941</v>
      </c>
      <c r="EG4">
        <v>0.88769883514803904</v>
      </c>
      <c r="EH4">
        <v>0.88769883514803904</v>
      </c>
      <c r="EI4">
        <v>0.77621507582398597</v>
      </c>
      <c r="EJ4">
        <v>0.77621507582398597</v>
      </c>
      <c r="EK4">
        <v>0.66542872984975898</v>
      </c>
      <c r="EL4">
        <v>0.66542872984975898</v>
      </c>
      <c r="EM4">
        <v>0.60738360014735404</v>
      </c>
      <c r="EN4">
        <v>0.60738360014735404</v>
      </c>
      <c r="EO4">
        <v>0.60731769767476995</v>
      </c>
      <c r="EP4">
        <v>0.60731769767476995</v>
      </c>
      <c r="EQ4">
        <v>0.60731769767476695</v>
      </c>
      <c r="ER4">
        <v>0.60731769767476695</v>
      </c>
      <c r="ES4">
        <v>0.60731769767476995</v>
      </c>
      <c r="ET4">
        <v>0.60731769767476995</v>
      </c>
    </row>
    <row r="5" spans="1:151" x14ac:dyDescent="0.3">
      <c r="A5">
        <v>50</v>
      </c>
      <c r="B5">
        <v>1.1032206177608299</v>
      </c>
      <c r="C5">
        <v>1.26144029603248</v>
      </c>
      <c r="D5">
        <v>1.8589331092610999</v>
      </c>
    </row>
    <row r="6" spans="1:151" x14ac:dyDescent="0.3">
      <c r="A6">
        <v>75</v>
      </c>
      <c r="B6">
        <v>1.1032206177608299</v>
      </c>
      <c r="C6">
        <v>1.26144029603248</v>
      </c>
      <c r="D6">
        <v>1.8589331092610999</v>
      </c>
    </row>
    <row r="7" spans="1:151" x14ac:dyDescent="0.3">
      <c r="A7">
        <v>100</v>
      </c>
      <c r="B7">
        <v>1.21836562645419</v>
      </c>
      <c r="C7">
        <v>1.25697514101626</v>
      </c>
      <c r="D7">
        <v>1.8535245691189699</v>
      </c>
      <c r="G7">
        <v>0</v>
      </c>
      <c r="H7">
        <v>25</v>
      </c>
      <c r="I7">
        <v>50</v>
      </c>
      <c r="J7">
        <v>75</v>
      </c>
      <c r="K7">
        <v>100</v>
      </c>
      <c r="L7">
        <v>125</v>
      </c>
      <c r="M7">
        <v>150</v>
      </c>
      <c r="N7">
        <v>175</v>
      </c>
      <c r="O7">
        <v>200</v>
      </c>
      <c r="P7">
        <v>225</v>
      </c>
      <c r="Q7">
        <v>250</v>
      </c>
      <c r="R7">
        <v>275</v>
      </c>
      <c r="S7">
        <v>300</v>
      </c>
      <c r="T7">
        <v>325</v>
      </c>
      <c r="U7">
        <v>350</v>
      </c>
      <c r="V7">
        <v>375</v>
      </c>
      <c r="W7">
        <v>400</v>
      </c>
      <c r="X7">
        <v>425</v>
      </c>
      <c r="Y7">
        <v>450</v>
      </c>
      <c r="Z7">
        <v>475</v>
      </c>
      <c r="AA7">
        <v>500</v>
      </c>
      <c r="AB7">
        <v>525</v>
      </c>
      <c r="AC7">
        <v>550</v>
      </c>
      <c r="AD7">
        <v>575</v>
      </c>
      <c r="AE7">
        <v>600</v>
      </c>
      <c r="AF7">
        <v>625</v>
      </c>
      <c r="AG7">
        <v>650</v>
      </c>
      <c r="AH7">
        <v>675</v>
      </c>
      <c r="AI7">
        <v>700</v>
      </c>
      <c r="AJ7">
        <v>725</v>
      </c>
      <c r="AK7">
        <v>750</v>
      </c>
      <c r="AL7">
        <v>775</v>
      </c>
      <c r="AM7">
        <v>800</v>
      </c>
      <c r="AN7">
        <v>825</v>
      </c>
      <c r="AO7">
        <v>850</v>
      </c>
      <c r="AP7">
        <v>875</v>
      </c>
      <c r="AQ7">
        <v>900</v>
      </c>
      <c r="AR7">
        <v>925</v>
      </c>
      <c r="AS7">
        <v>950</v>
      </c>
      <c r="AT7">
        <v>975</v>
      </c>
      <c r="AU7">
        <v>1000</v>
      </c>
      <c r="AV7">
        <v>1025</v>
      </c>
      <c r="AW7">
        <v>1050</v>
      </c>
      <c r="AX7">
        <v>1075</v>
      </c>
      <c r="AY7">
        <v>1100</v>
      </c>
      <c r="AZ7">
        <v>1125</v>
      </c>
      <c r="BA7">
        <v>1150</v>
      </c>
      <c r="BB7">
        <v>1175</v>
      </c>
      <c r="BC7">
        <v>1200</v>
      </c>
      <c r="BD7">
        <v>1225</v>
      </c>
      <c r="BE7">
        <v>1250</v>
      </c>
      <c r="BF7">
        <v>1275</v>
      </c>
      <c r="BG7">
        <v>1300</v>
      </c>
      <c r="BH7">
        <v>1325</v>
      </c>
      <c r="BI7">
        <v>1350</v>
      </c>
      <c r="BJ7">
        <v>1375</v>
      </c>
      <c r="BK7">
        <v>1400</v>
      </c>
      <c r="BL7">
        <v>1425</v>
      </c>
      <c r="BM7">
        <v>1450</v>
      </c>
      <c r="BN7">
        <v>1475</v>
      </c>
      <c r="BO7">
        <v>1500</v>
      </c>
      <c r="BP7">
        <v>1525</v>
      </c>
      <c r="BQ7">
        <v>1550</v>
      </c>
      <c r="BR7">
        <v>1575</v>
      </c>
      <c r="BS7">
        <v>1600</v>
      </c>
      <c r="BT7">
        <v>1625</v>
      </c>
      <c r="BU7">
        <v>1650</v>
      </c>
      <c r="BV7">
        <v>1675</v>
      </c>
      <c r="BW7">
        <v>1700</v>
      </c>
      <c r="BX7">
        <v>1725</v>
      </c>
      <c r="BY7">
        <v>1750</v>
      </c>
      <c r="BZ7">
        <v>1775</v>
      </c>
      <c r="CA7">
        <v>1800</v>
      </c>
      <c r="CB7">
        <v>1825</v>
      </c>
      <c r="CC7">
        <v>1850</v>
      </c>
      <c r="CD7">
        <v>1875</v>
      </c>
      <c r="CE7">
        <v>1900</v>
      </c>
      <c r="CF7">
        <v>1925</v>
      </c>
      <c r="CG7">
        <v>1950</v>
      </c>
      <c r="CH7">
        <v>1975</v>
      </c>
      <c r="CI7">
        <v>2000</v>
      </c>
      <c r="CJ7">
        <v>2025</v>
      </c>
      <c r="CK7">
        <v>2050</v>
      </c>
      <c r="CL7">
        <v>2075</v>
      </c>
      <c r="CM7">
        <v>2100</v>
      </c>
      <c r="CN7">
        <v>2125</v>
      </c>
      <c r="CO7">
        <v>2150</v>
      </c>
      <c r="CP7">
        <v>2175</v>
      </c>
      <c r="CQ7">
        <v>2200</v>
      </c>
      <c r="CR7">
        <v>2225</v>
      </c>
      <c r="CS7">
        <v>2250</v>
      </c>
      <c r="CT7">
        <v>2275</v>
      </c>
      <c r="CU7">
        <v>2300</v>
      </c>
      <c r="CV7">
        <v>2325</v>
      </c>
      <c r="CW7">
        <v>2350</v>
      </c>
      <c r="CX7">
        <v>2375</v>
      </c>
      <c r="CY7">
        <v>2400</v>
      </c>
      <c r="CZ7">
        <v>2425</v>
      </c>
      <c r="DA7">
        <v>2450</v>
      </c>
      <c r="DB7">
        <v>2475</v>
      </c>
      <c r="DC7">
        <v>2500</v>
      </c>
      <c r="DD7">
        <v>2525</v>
      </c>
      <c r="DE7">
        <v>2550</v>
      </c>
      <c r="DF7">
        <v>2575</v>
      </c>
      <c r="DG7">
        <v>2600</v>
      </c>
      <c r="DH7">
        <v>2625</v>
      </c>
      <c r="DI7">
        <v>2650</v>
      </c>
      <c r="DJ7">
        <v>2675</v>
      </c>
      <c r="DK7">
        <v>2700</v>
      </c>
      <c r="DL7">
        <v>2725</v>
      </c>
      <c r="DM7">
        <v>2750</v>
      </c>
      <c r="DN7">
        <v>2775</v>
      </c>
      <c r="DO7">
        <v>2800</v>
      </c>
      <c r="DP7">
        <v>2825</v>
      </c>
      <c r="DQ7">
        <v>2850</v>
      </c>
      <c r="DR7">
        <v>2875</v>
      </c>
      <c r="DS7">
        <v>2900</v>
      </c>
      <c r="DT7">
        <v>2925</v>
      </c>
      <c r="DU7">
        <v>2950</v>
      </c>
      <c r="DV7">
        <v>2975</v>
      </c>
      <c r="DW7">
        <v>3000</v>
      </c>
      <c r="DX7">
        <v>3025</v>
      </c>
      <c r="DY7">
        <v>3050</v>
      </c>
      <c r="DZ7">
        <v>3075</v>
      </c>
      <c r="EA7">
        <v>3100</v>
      </c>
      <c r="EB7">
        <v>3125</v>
      </c>
      <c r="EC7">
        <v>3150</v>
      </c>
      <c r="ED7">
        <v>3175</v>
      </c>
      <c r="EE7">
        <v>3200</v>
      </c>
      <c r="EF7">
        <v>3225</v>
      </c>
      <c r="EG7">
        <v>3250</v>
      </c>
      <c r="EH7">
        <v>3275</v>
      </c>
      <c r="EI7">
        <v>3300</v>
      </c>
      <c r="EJ7">
        <v>3325</v>
      </c>
      <c r="EK7">
        <v>3350</v>
      </c>
      <c r="EL7">
        <v>3375</v>
      </c>
      <c r="EM7">
        <v>3400</v>
      </c>
      <c r="EN7">
        <v>3425</v>
      </c>
      <c r="EO7">
        <v>3450</v>
      </c>
      <c r="EP7">
        <v>3475</v>
      </c>
      <c r="EQ7">
        <v>3500</v>
      </c>
      <c r="ER7">
        <v>3525</v>
      </c>
      <c r="ES7">
        <v>3550</v>
      </c>
      <c r="ET7">
        <v>3575</v>
      </c>
      <c r="EU7">
        <v>3600</v>
      </c>
    </row>
    <row r="8" spans="1:151" x14ac:dyDescent="0.3">
      <c r="A8">
        <v>125</v>
      </c>
      <c r="B8">
        <v>1.21836562645419</v>
      </c>
      <c r="C8">
        <v>1.25697514101626</v>
      </c>
      <c r="D8">
        <v>1.8535245691189699</v>
      </c>
      <c r="F8" t="s">
        <v>0</v>
      </c>
      <c r="G8">
        <v>1.06913036956837</v>
      </c>
      <c r="H8">
        <v>1.06913036956837</v>
      </c>
      <c r="I8">
        <v>1.1032206177608299</v>
      </c>
      <c r="J8">
        <v>1.1032206177608299</v>
      </c>
      <c r="K8">
        <v>1.21836562645419</v>
      </c>
      <c r="L8">
        <v>1.21836562645419</v>
      </c>
      <c r="M8">
        <v>1.30474901323126</v>
      </c>
      <c r="N8">
        <v>1.30474901323126</v>
      </c>
      <c r="O8">
        <v>1.14228060567901</v>
      </c>
      <c r="P8">
        <v>1.14228060567901</v>
      </c>
      <c r="Q8">
        <v>1.2250723109600601</v>
      </c>
      <c r="R8">
        <v>1.2250723109600601</v>
      </c>
      <c r="S8">
        <v>1.2205412530489199</v>
      </c>
      <c r="T8">
        <v>1.2205412530489199</v>
      </c>
      <c r="U8">
        <v>1.2188999863974499</v>
      </c>
      <c r="V8">
        <v>1.2188999863974499</v>
      </c>
      <c r="W8">
        <v>1.28807655671319</v>
      </c>
      <c r="X8">
        <v>1.28807655671319</v>
      </c>
      <c r="Y8">
        <v>1.1829075112523399</v>
      </c>
      <c r="Z8">
        <v>1.1829075112523399</v>
      </c>
      <c r="AA8">
        <v>1.2067645144361401</v>
      </c>
      <c r="AB8">
        <v>1.2067645144361401</v>
      </c>
      <c r="AC8">
        <v>1.2219442331710699</v>
      </c>
      <c r="AD8">
        <v>1.2219442331710699</v>
      </c>
      <c r="AE8">
        <v>1.16365426839576</v>
      </c>
      <c r="AF8">
        <v>1.16365426839576</v>
      </c>
      <c r="AG8">
        <v>1.2021550387894999</v>
      </c>
      <c r="AH8">
        <v>1.2021550387894999</v>
      </c>
      <c r="AI8">
        <v>1.16134637168063</v>
      </c>
      <c r="AJ8">
        <v>1.16134637168063</v>
      </c>
      <c r="AK8">
        <v>1.32411707292479</v>
      </c>
      <c r="AL8">
        <v>1.32411707292479</v>
      </c>
      <c r="AM8">
        <v>1.22128574206503</v>
      </c>
      <c r="AN8">
        <v>1.22128574206503</v>
      </c>
      <c r="AO8">
        <v>1.2909368034490001</v>
      </c>
      <c r="AP8">
        <v>1.2909368034490001</v>
      </c>
      <c r="AQ8">
        <v>1.2645851082812201</v>
      </c>
      <c r="AR8">
        <v>1.2645851082812201</v>
      </c>
      <c r="AS8">
        <v>1.3394255936578801</v>
      </c>
      <c r="AT8">
        <v>1.3394255936578801</v>
      </c>
      <c r="AU8">
        <v>1.38070975496667</v>
      </c>
      <c r="AV8">
        <v>1.38070975496667</v>
      </c>
      <c r="AW8">
        <v>1.33074009197989</v>
      </c>
      <c r="AX8">
        <v>1.33074009197989</v>
      </c>
      <c r="AY8">
        <v>1.3020488087381199</v>
      </c>
      <c r="AZ8">
        <v>1.3020488087381199</v>
      </c>
      <c r="BA8">
        <v>1.36601869580449</v>
      </c>
      <c r="BB8">
        <v>1.36601869580449</v>
      </c>
      <c r="BC8">
        <v>1.36109604258789</v>
      </c>
      <c r="BD8">
        <v>1.36109604258789</v>
      </c>
      <c r="BE8">
        <v>1.38210580395313</v>
      </c>
      <c r="BF8">
        <v>1.38210580395313</v>
      </c>
      <c r="BG8">
        <v>1.67382829769903</v>
      </c>
      <c r="BH8">
        <v>1.6789137197361399</v>
      </c>
      <c r="BI8">
        <v>1.57926239558003</v>
      </c>
      <c r="BJ8">
        <v>1.5834141397931101</v>
      </c>
      <c r="BK8">
        <v>1.5040863009787699</v>
      </c>
      <c r="BL8">
        <v>1.5074520846750401</v>
      </c>
      <c r="BM8">
        <v>1.36640936360849</v>
      </c>
      <c r="BN8">
        <v>1.3682381592310999</v>
      </c>
      <c r="BO8">
        <v>1.71264255412766</v>
      </c>
      <c r="BP8">
        <v>1.2792379622401999</v>
      </c>
      <c r="BQ8">
        <v>1.62214602746021</v>
      </c>
      <c r="BR8">
        <v>1.6285540549904101</v>
      </c>
      <c r="BS8">
        <v>1.57916654537768</v>
      </c>
      <c r="BT8">
        <v>1.1316935776325101</v>
      </c>
      <c r="BU8">
        <v>1.1527703366870501</v>
      </c>
      <c r="BV8">
        <v>1.1516369738197301</v>
      </c>
      <c r="BW8">
        <v>1.12758743104085</v>
      </c>
      <c r="BX8">
        <v>1.1260334951181199</v>
      </c>
      <c r="BY8">
        <v>1.19157570117149</v>
      </c>
      <c r="BZ8">
        <v>1.1907625111728799</v>
      </c>
      <c r="CA8">
        <v>1.1739345570425099</v>
      </c>
      <c r="CB8">
        <v>1.17279822405379</v>
      </c>
      <c r="CC8">
        <v>1.14334001197269</v>
      </c>
      <c r="CD8">
        <v>1.0493186370833101</v>
      </c>
      <c r="CE8">
        <v>0.73788101233040604</v>
      </c>
      <c r="CF8">
        <v>0.73788101233040604</v>
      </c>
      <c r="CG8">
        <v>0.80168826902518897</v>
      </c>
      <c r="CH8">
        <v>0.80168826902518897</v>
      </c>
      <c r="CI8">
        <v>0.89301569395781</v>
      </c>
      <c r="CJ8">
        <v>0.89301569395781</v>
      </c>
      <c r="CK8">
        <v>0.95596925833269397</v>
      </c>
      <c r="CL8">
        <v>0.62128115231520098</v>
      </c>
      <c r="CM8">
        <v>0.63860246221723005</v>
      </c>
      <c r="CN8">
        <v>0.64273833615560105</v>
      </c>
      <c r="CO8">
        <v>0.62397457587114602</v>
      </c>
      <c r="CP8">
        <v>0.62824152674320499</v>
      </c>
      <c r="CQ8">
        <v>0.78859847395707305</v>
      </c>
      <c r="CR8">
        <v>0.79077621858614899</v>
      </c>
      <c r="CS8">
        <v>0.85087497723820504</v>
      </c>
      <c r="CT8">
        <v>0.85228751075567599</v>
      </c>
      <c r="CU8">
        <v>0.97193236968160202</v>
      </c>
      <c r="CV8">
        <v>0.97193366773560097</v>
      </c>
      <c r="CW8">
        <v>1.0084735794200701</v>
      </c>
      <c r="CX8">
        <v>1.00809437039504</v>
      </c>
      <c r="CY8">
        <v>0.75239355029164401</v>
      </c>
      <c r="CZ8">
        <v>0.75507989251683505</v>
      </c>
      <c r="DA8">
        <v>1.0458401536485</v>
      </c>
      <c r="DB8">
        <v>1.0452180437524199</v>
      </c>
      <c r="DC8">
        <v>1.0316582376808501</v>
      </c>
      <c r="DD8">
        <v>1.03124518361619</v>
      </c>
      <c r="DE8">
        <v>0.95141170800266905</v>
      </c>
      <c r="DF8">
        <v>0.95185189786221003</v>
      </c>
      <c r="DG8">
        <v>0.94047512516813003</v>
      </c>
      <c r="DH8">
        <v>0.941062024535672</v>
      </c>
      <c r="DI8">
        <v>1.00810549694784</v>
      </c>
      <c r="DJ8">
        <v>1.00811101277076</v>
      </c>
      <c r="DK8">
        <v>1.01260718658354</v>
      </c>
      <c r="DL8">
        <v>1.39160705670392</v>
      </c>
      <c r="DM8">
        <v>1.30078820759883</v>
      </c>
      <c r="DN8">
        <v>1.30078820759883</v>
      </c>
      <c r="DO8">
        <v>1.2227649866672801</v>
      </c>
      <c r="DP8">
        <v>1.2227649866672801</v>
      </c>
      <c r="DQ8">
        <v>1.1343941163064299</v>
      </c>
      <c r="DR8">
        <v>1.1343941163064299</v>
      </c>
      <c r="DS8">
        <v>0.97362521471598595</v>
      </c>
      <c r="DT8">
        <v>0.97362521471598595</v>
      </c>
      <c r="DU8">
        <v>0.97344839367491798</v>
      </c>
      <c r="DV8">
        <v>0.97344839367491798</v>
      </c>
      <c r="DW8">
        <v>0.97431734623218802</v>
      </c>
      <c r="DX8">
        <v>0.97431734623218802</v>
      </c>
      <c r="DY8">
        <v>1.2317376949429</v>
      </c>
      <c r="DZ8">
        <v>0.86736891707226804</v>
      </c>
      <c r="EA8">
        <v>1.16035626810901</v>
      </c>
      <c r="EB8">
        <v>1.1600686822691</v>
      </c>
      <c r="EC8">
        <v>0.83062600995060198</v>
      </c>
      <c r="ED8">
        <v>0.83062600995060198</v>
      </c>
      <c r="EE8">
        <v>0.81944758988043898</v>
      </c>
      <c r="EF8">
        <v>0.81944758988043898</v>
      </c>
      <c r="EG8">
        <v>0.78655912526693605</v>
      </c>
      <c r="EH8">
        <v>0.78655912526693605</v>
      </c>
      <c r="EI8">
        <v>0.85317398640856901</v>
      </c>
      <c r="EJ8">
        <v>0.85317398640856901</v>
      </c>
      <c r="EK8">
        <v>0.85061234702645705</v>
      </c>
      <c r="EL8">
        <v>0.85061234702645705</v>
      </c>
      <c r="EM8">
        <v>0.76661770005509899</v>
      </c>
      <c r="EN8">
        <v>0.76661770005509899</v>
      </c>
      <c r="EO8">
        <v>0.72597107511422598</v>
      </c>
      <c r="EP8">
        <v>0.72597107511422598</v>
      </c>
      <c r="EQ8">
        <v>0.81227587471329099</v>
      </c>
      <c r="ER8">
        <v>0.49364658951206702</v>
      </c>
      <c r="ES8">
        <v>0.46485933002331398</v>
      </c>
      <c r="ET8">
        <v>0.46997763670166098</v>
      </c>
    </row>
    <row r="9" spans="1:151" x14ac:dyDescent="0.3">
      <c r="A9">
        <v>150</v>
      </c>
      <c r="B9">
        <v>1.30474901323126</v>
      </c>
      <c r="C9">
        <v>1.2525112111049901</v>
      </c>
      <c r="D9">
        <v>1.7640175058356999</v>
      </c>
      <c r="F9" s="1" t="s">
        <v>2</v>
      </c>
      <c r="G9">
        <v>1.8589331092610999</v>
      </c>
      <c r="H9">
        <v>1.8589331092610999</v>
      </c>
      <c r="I9">
        <v>1.8589331092610999</v>
      </c>
      <c r="J9">
        <v>1.8589331092610999</v>
      </c>
      <c r="K9">
        <v>1.8535245691189699</v>
      </c>
      <c r="L9">
        <v>1.8535245691189699</v>
      </c>
      <c r="M9">
        <v>1.7640175058356999</v>
      </c>
      <c r="N9">
        <v>1.7640175058356999</v>
      </c>
      <c r="O9">
        <v>1.6462272086847001</v>
      </c>
      <c r="P9">
        <v>1.6462272086847001</v>
      </c>
      <c r="Q9">
        <v>1.52935500367314</v>
      </c>
      <c r="R9">
        <v>1.52935500367314</v>
      </c>
      <c r="S9">
        <v>1.41333621314785</v>
      </c>
      <c r="T9">
        <v>1.41333621314785</v>
      </c>
      <c r="U9">
        <v>1.2980389684345599</v>
      </c>
      <c r="V9">
        <v>1.70874150514344</v>
      </c>
      <c r="W9">
        <v>1.5860625474672101</v>
      </c>
      <c r="X9">
        <v>1.5902667420524801</v>
      </c>
      <c r="Y9">
        <v>1.4641375986391301</v>
      </c>
      <c r="Z9">
        <v>1.4670672377711</v>
      </c>
      <c r="AA9">
        <v>1.33729854225407</v>
      </c>
      <c r="AB9">
        <v>1.3388191330774499</v>
      </c>
      <c r="AC9">
        <v>1.6286666437981001</v>
      </c>
      <c r="AD9">
        <v>1.6355138968473999</v>
      </c>
      <c r="AE9">
        <v>1.48548463649647</v>
      </c>
      <c r="AF9">
        <v>1.4885211549409201</v>
      </c>
      <c r="AG9">
        <v>1.36668702025547</v>
      </c>
      <c r="AH9">
        <v>1.36626300646957</v>
      </c>
      <c r="AI9">
        <v>1.3575572679278001</v>
      </c>
      <c r="AJ9">
        <v>0.91251993592556901</v>
      </c>
      <c r="AK9">
        <v>0.90810214116825805</v>
      </c>
      <c r="AL9">
        <v>0.90355594022798602</v>
      </c>
      <c r="AM9">
        <v>0.89897877012934302</v>
      </c>
      <c r="AN9">
        <v>0.89417086833354198</v>
      </c>
      <c r="AO9">
        <v>0.88912612581871298</v>
      </c>
      <c r="AP9">
        <v>0.79764591890330305</v>
      </c>
      <c r="AQ9">
        <v>0.52609357436612803</v>
      </c>
      <c r="AR9">
        <v>0.52609357436612803</v>
      </c>
      <c r="AS9">
        <v>0.678854857071717</v>
      </c>
      <c r="AT9">
        <v>0.678854857071717</v>
      </c>
      <c r="AU9">
        <v>0.83402923495482695</v>
      </c>
      <c r="AV9">
        <v>0.83402923495482695</v>
      </c>
      <c r="AW9">
        <v>0.65160287934664596</v>
      </c>
      <c r="AX9">
        <v>0.57746478294265902</v>
      </c>
      <c r="AY9">
        <v>0.71626155088662002</v>
      </c>
      <c r="AZ9">
        <v>0.71938370488192005</v>
      </c>
      <c r="BA9">
        <v>0.85366216623100599</v>
      </c>
      <c r="BB9">
        <v>0.85504625314589999</v>
      </c>
      <c r="BC9">
        <v>0.93808690268609896</v>
      </c>
      <c r="BD9">
        <v>0.93845090682272303</v>
      </c>
      <c r="BE9">
        <v>0.74950841536284696</v>
      </c>
      <c r="BF9">
        <v>0.75195918737536005</v>
      </c>
      <c r="BG9">
        <v>0.75453657812050701</v>
      </c>
      <c r="BH9">
        <v>0.75711735123650603</v>
      </c>
      <c r="BI9">
        <v>1.14254965627575</v>
      </c>
      <c r="BJ9">
        <v>1.1408827158002599</v>
      </c>
      <c r="BK9">
        <v>1.1393481253239199</v>
      </c>
      <c r="BL9">
        <v>1.1378072282876299</v>
      </c>
      <c r="BM9">
        <v>1.1363295503030599</v>
      </c>
      <c r="BN9">
        <v>1.1349149791661099</v>
      </c>
      <c r="BO9">
        <v>1.13349716727311</v>
      </c>
      <c r="BP9">
        <v>1.1322091059020301</v>
      </c>
      <c r="BQ9">
        <v>1.13104879853054</v>
      </c>
      <c r="BR9">
        <v>1.1298855526144</v>
      </c>
      <c r="BS9">
        <v>1.48388820525892</v>
      </c>
      <c r="BT9">
        <v>1.48388820525892</v>
      </c>
      <c r="BU9">
        <v>1.3671838940600001</v>
      </c>
      <c r="BV9">
        <v>1.3671838940600001</v>
      </c>
      <c r="BW9">
        <v>1.66189302312692</v>
      </c>
      <c r="BX9">
        <v>1.6669187355400299</v>
      </c>
      <c r="BY9">
        <v>1.53983299598769</v>
      </c>
      <c r="BZ9">
        <v>1.5435886109830099</v>
      </c>
      <c r="CA9">
        <v>1.41327875405895</v>
      </c>
      <c r="CB9">
        <v>1.41563419942539</v>
      </c>
      <c r="CC9">
        <v>1.2806964088989601</v>
      </c>
      <c r="CD9">
        <v>1.28150378756293</v>
      </c>
      <c r="CE9">
        <v>1.5697486876012701</v>
      </c>
      <c r="CF9">
        <v>1.5749500406915</v>
      </c>
      <c r="CG9">
        <v>1.41911613068385</v>
      </c>
      <c r="CH9">
        <v>1.42015313981921</v>
      </c>
      <c r="CI9">
        <v>1.3580439578146899</v>
      </c>
      <c r="CJ9">
        <v>0.91681136858368395</v>
      </c>
      <c r="CK9">
        <v>0.91261559757476496</v>
      </c>
      <c r="CL9">
        <v>0.90819905767494702</v>
      </c>
      <c r="CM9">
        <v>0.90355594022798602</v>
      </c>
      <c r="CN9">
        <v>0.898879266870795</v>
      </c>
      <c r="CO9">
        <v>0.89407003247942896</v>
      </c>
      <c r="CP9">
        <v>0.88912612581871298</v>
      </c>
      <c r="CQ9">
        <v>0.79774705899752696</v>
      </c>
      <c r="CR9">
        <v>0.46958682741776198</v>
      </c>
      <c r="CS9">
        <v>0.46949457987322402</v>
      </c>
      <c r="CT9">
        <v>0.46949457987322402</v>
      </c>
      <c r="CU9">
        <v>0.52609357436612803</v>
      </c>
      <c r="CV9">
        <v>0.52609357436612803</v>
      </c>
      <c r="CW9">
        <v>0.678854857071717</v>
      </c>
      <c r="CX9">
        <v>0.678854857071717</v>
      </c>
      <c r="CY9">
        <v>0.83402923495482695</v>
      </c>
      <c r="CZ9">
        <v>0.83402923495482695</v>
      </c>
      <c r="DA9">
        <v>0.65160287934664596</v>
      </c>
      <c r="DB9">
        <v>0.57746478294265902</v>
      </c>
      <c r="DC9">
        <v>0.71626155088662002</v>
      </c>
      <c r="DD9">
        <v>0.71938370488192005</v>
      </c>
      <c r="DE9">
        <v>0.85366216623100599</v>
      </c>
      <c r="DF9">
        <v>0.85504625314589999</v>
      </c>
      <c r="DG9">
        <v>0.55288117304439799</v>
      </c>
      <c r="DH9">
        <v>0.93881987306730996</v>
      </c>
      <c r="DI9">
        <v>0.75072636569364204</v>
      </c>
      <c r="DJ9">
        <v>0.75320766393131</v>
      </c>
      <c r="DK9">
        <v>0.75581799544530304</v>
      </c>
      <c r="DL9">
        <v>0.75843537409023698</v>
      </c>
      <c r="DM9">
        <v>0.76106940671415502</v>
      </c>
      <c r="DN9">
        <v>1.1377390030114101</v>
      </c>
      <c r="DO9">
        <v>1.1363295503030599</v>
      </c>
      <c r="DP9">
        <v>1.1349149791661099</v>
      </c>
      <c r="DQ9">
        <v>1.13356340349853</v>
      </c>
      <c r="DR9">
        <v>1.13227471297187</v>
      </c>
      <c r="DS9">
        <v>1.130983804085</v>
      </c>
      <c r="DT9">
        <v>1.1298211544966399</v>
      </c>
      <c r="DU9">
        <v>1.1287848693806499</v>
      </c>
      <c r="DV9">
        <v>1.12774664492529</v>
      </c>
      <c r="DW9">
        <v>1.45753381676309</v>
      </c>
      <c r="DX9">
        <v>1.45753381676309</v>
      </c>
      <c r="DY9">
        <v>1.3420028676262401</v>
      </c>
      <c r="DZ9">
        <v>1.3420028676262401</v>
      </c>
      <c r="EA9">
        <v>1.2271982754733399</v>
      </c>
      <c r="EB9">
        <v>1.2271982754733399</v>
      </c>
      <c r="EC9">
        <v>1.11326498419465</v>
      </c>
      <c r="ED9">
        <v>1.11326498419465</v>
      </c>
      <c r="EE9">
        <v>1.00007330628941</v>
      </c>
      <c r="EF9">
        <v>1.00007330628941</v>
      </c>
      <c r="EG9">
        <v>0.88769883514803904</v>
      </c>
      <c r="EH9">
        <v>0.88769883514803904</v>
      </c>
      <c r="EI9">
        <v>0.77621507582398597</v>
      </c>
      <c r="EJ9">
        <v>0.77621507582398597</v>
      </c>
      <c r="EK9">
        <v>0.66542872984975898</v>
      </c>
      <c r="EL9">
        <v>0.66542872984975898</v>
      </c>
      <c r="EM9">
        <v>0.60738360014735404</v>
      </c>
      <c r="EN9">
        <v>0.60738360014735404</v>
      </c>
      <c r="EO9">
        <v>0.60731769767476995</v>
      </c>
      <c r="EP9">
        <v>0.60731769767476995</v>
      </c>
      <c r="EQ9">
        <v>0.60731769767476695</v>
      </c>
      <c r="ER9">
        <v>0.60731769767476695</v>
      </c>
      <c r="ES9">
        <v>0.60731769767476995</v>
      </c>
      <c r="ET9">
        <v>0.60731769767476995</v>
      </c>
    </row>
    <row r="10" spans="1:151" x14ac:dyDescent="0.3">
      <c r="A10">
        <v>175</v>
      </c>
      <c r="B10">
        <v>1.30474901323126</v>
      </c>
      <c r="C10">
        <v>1.2525112111049901</v>
      </c>
      <c r="D10">
        <v>1.7640175058356999</v>
      </c>
      <c r="F10" s="1"/>
    </row>
    <row r="11" spans="1:151" x14ac:dyDescent="0.3">
      <c r="A11">
        <v>200</v>
      </c>
      <c r="B11">
        <v>1.14228060567901</v>
      </c>
      <c r="C11">
        <v>1.2480485064356901</v>
      </c>
      <c r="D11">
        <v>1.6462272086847001</v>
      </c>
    </row>
    <row r="12" spans="1:151" x14ac:dyDescent="0.3">
      <c r="A12">
        <v>225</v>
      </c>
      <c r="B12">
        <v>1.14228060567901</v>
      </c>
      <c r="C12">
        <v>1.2480485064356901</v>
      </c>
      <c r="D12">
        <v>1.6462272086847001</v>
      </c>
    </row>
    <row r="13" spans="1:151" x14ac:dyDescent="0.3">
      <c r="A13">
        <v>250</v>
      </c>
      <c r="B13">
        <v>1.2250723109600601</v>
      </c>
      <c r="C13">
        <v>1.24358702726538</v>
      </c>
      <c r="D13">
        <v>1.52935500367314</v>
      </c>
    </row>
    <row r="14" spans="1:151" x14ac:dyDescent="0.3">
      <c r="A14">
        <v>275</v>
      </c>
      <c r="B14">
        <v>1.2250723109600601</v>
      </c>
      <c r="C14">
        <v>1.24358702726538</v>
      </c>
      <c r="D14">
        <v>1.52935500367314</v>
      </c>
    </row>
    <row r="15" spans="1:151" x14ac:dyDescent="0.3">
      <c r="A15">
        <v>300</v>
      </c>
      <c r="B15">
        <v>1.2205412530489199</v>
      </c>
      <c r="C15">
        <v>1.2391267737310101</v>
      </c>
      <c r="D15">
        <v>1.41333621314785</v>
      </c>
    </row>
    <row r="16" spans="1:151" x14ac:dyDescent="0.3">
      <c r="A16">
        <v>325</v>
      </c>
      <c r="B16">
        <v>1.2205412530489199</v>
      </c>
      <c r="C16">
        <v>1.2391267737310101</v>
      </c>
      <c r="D16">
        <v>1.41333621314785</v>
      </c>
    </row>
    <row r="17" spans="1:4" x14ac:dyDescent="0.3">
      <c r="A17">
        <v>350</v>
      </c>
      <c r="B17">
        <v>1.2188999863974499</v>
      </c>
      <c r="C17">
        <v>1.2346677459695801</v>
      </c>
      <c r="D17">
        <v>1.2980389684345599</v>
      </c>
    </row>
    <row r="18" spans="1:4" x14ac:dyDescent="0.3">
      <c r="A18">
        <v>375</v>
      </c>
      <c r="B18">
        <v>1.2188999863974499</v>
      </c>
      <c r="C18">
        <v>1.2346677459695801</v>
      </c>
      <c r="D18">
        <v>1.70874150514344</v>
      </c>
    </row>
    <row r="19" spans="1:4" x14ac:dyDescent="0.3">
      <c r="A19">
        <v>400</v>
      </c>
      <c r="B19">
        <v>1.28807655671319</v>
      </c>
      <c r="C19">
        <v>1.23020994431784</v>
      </c>
      <c r="D19">
        <v>1.5860625474672101</v>
      </c>
    </row>
    <row r="20" spans="1:4" x14ac:dyDescent="0.3">
      <c r="A20">
        <v>425</v>
      </c>
      <c r="B20">
        <v>1.28807655671319</v>
      </c>
      <c r="C20">
        <v>1.23020994431784</v>
      </c>
      <c r="D20">
        <v>1.5902667420524801</v>
      </c>
    </row>
    <row r="21" spans="1:4" x14ac:dyDescent="0.3">
      <c r="A21">
        <v>450</v>
      </c>
      <c r="B21">
        <v>1.1829075112523399</v>
      </c>
      <c r="C21">
        <v>1.22575336883276</v>
      </c>
      <c r="D21">
        <v>1.4641375986391301</v>
      </c>
    </row>
    <row r="22" spans="1:4" x14ac:dyDescent="0.3">
      <c r="A22">
        <v>475</v>
      </c>
      <c r="B22">
        <v>1.1829075112523399</v>
      </c>
      <c r="C22">
        <v>1.22575336883276</v>
      </c>
      <c r="D22">
        <v>1.4670672377711</v>
      </c>
    </row>
    <row r="23" spans="1:4" x14ac:dyDescent="0.3">
      <c r="A23">
        <v>500</v>
      </c>
      <c r="B23">
        <v>1.2067645144361401</v>
      </c>
      <c r="C23">
        <v>1.2212980197311101</v>
      </c>
      <c r="D23">
        <v>1.33729854225407</v>
      </c>
    </row>
    <row r="24" spans="1:4" x14ac:dyDescent="0.3">
      <c r="A24">
        <v>525</v>
      </c>
      <c r="B24">
        <v>1.2067645144361401</v>
      </c>
      <c r="C24">
        <v>1.2212980197311101</v>
      </c>
      <c r="D24">
        <v>1.3388191330774499</v>
      </c>
    </row>
    <row r="25" spans="1:4" x14ac:dyDescent="0.3">
      <c r="A25">
        <v>550</v>
      </c>
      <c r="B25">
        <v>1.2219442331710699</v>
      </c>
      <c r="C25">
        <v>1.2168438972695499</v>
      </c>
      <c r="D25">
        <v>1.6286666437981001</v>
      </c>
    </row>
    <row r="26" spans="1:4" x14ac:dyDescent="0.3">
      <c r="A26">
        <v>575</v>
      </c>
      <c r="B26">
        <v>1.2219442331710699</v>
      </c>
      <c r="C26">
        <v>1.2168438972695499</v>
      </c>
      <c r="D26">
        <v>1.6355138968473999</v>
      </c>
    </row>
    <row r="27" spans="1:4" x14ac:dyDescent="0.3">
      <c r="A27">
        <v>600</v>
      </c>
      <c r="B27">
        <v>1.16365426839576</v>
      </c>
      <c r="C27">
        <v>1.2123910016247701</v>
      </c>
      <c r="D27">
        <v>1.48548463649647</v>
      </c>
    </row>
    <row r="28" spans="1:4" x14ac:dyDescent="0.3">
      <c r="A28">
        <v>625</v>
      </c>
      <c r="B28">
        <v>1.16365426839576</v>
      </c>
      <c r="C28">
        <v>1.2123910016247701</v>
      </c>
      <c r="D28">
        <v>1.4885211549409201</v>
      </c>
    </row>
    <row r="29" spans="1:4" x14ac:dyDescent="0.3">
      <c r="A29">
        <v>650</v>
      </c>
      <c r="B29">
        <v>1.2021550387894999</v>
      </c>
      <c r="C29">
        <v>1.2079393328936401</v>
      </c>
      <c r="D29">
        <v>1.36668702025547</v>
      </c>
    </row>
    <row r="30" spans="1:4" x14ac:dyDescent="0.3">
      <c r="A30">
        <v>675</v>
      </c>
      <c r="B30">
        <v>1.2021550387894999</v>
      </c>
      <c r="C30">
        <v>1.2079393328936401</v>
      </c>
      <c r="D30">
        <v>1.36626300646957</v>
      </c>
    </row>
    <row r="31" spans="1:4" x14ac:dyDescent="0.3">
      <c r="A31">
        <v>700</v>
      </c>
      <c r="B31">
        <v>1.16134637168063</v>
      </c>
      <c r="C31">
        <v>1.2034888913725399</v>
      </c>
      <c r="D31">
        <v>1.3575572679278001</v>
      </c>
    </row>
    <row r="32" spans="1:4" x14ac:dyDescent="0.3">
      <c r="A32">
        <v>725</v>
      </c>
      <c r="B32">
        <v>1.16134637168063</v>
      </c>
      <c r="C32">
        <v>1.2034888913725399</v>
      </c>
      <c r="D32">
        <v>0.91251993592556901</v>
      </c>
    </row>
    <row r="33" spans="1:4" x14ac:dyDescent="0.3">
      <c r="A33">
        <v>750</v>
      </c>
      <c r="B33">
        <v>1.32411707292479</v>
      </c>
      <c r="C33">
        <v>1.1990396772380501</v>
      </c>
      <c r="D33">
        <v>0.90810214116825805</v>
      </c>
    </row>
    <row r="34" spans="1:4" x14ac:dyDescent="0.3">
      <c r="A34">
        <v>775</v>
      </c>
      <c r="B34">
        <v>1.32411707292479</v>
      </c>
      <c r="C34">
        <v>1.1990396772380501</v>
      </c>
      <c r="D34">
        <v>0.90355594022798602</v>
      </c>
    </row>
    <row r="35" spans="1:4" x14ac:dyDescent="0.3">
      <c r="A35">
        <v>800</v>
      </c>
      <c r="B35">
        <v>1.22128574206503</v>
      </c>
      <c r="C35">
        <v>1.19459169058698</v>
      </c>
      <c r="D35">
        <v>0.89897877012934302</v>
      </c>
    </row>
    <row r="36" spans="1:4" x14ac:dyDescent="0.3">
      <c r="A36">
        <v>825</v>
      </c>
      <c r="B36">
        <v>1.22128574206503</v>
      </c>
      <c r="C36">
        <v>1.19459169058698</v>
      </c>
      <c r="D36">
        <v>0.89417086833354198</v>
      </c>
    </row>
    <row r="37" spans="1:4" x14ac:dyDescent="0.3">
      <c r="A37">
        <v>850</v>
      </c>
      <c r="B37">
        <v>1.2909368034490001</v>
      </c>
      <c r="C37">
        <v>1.1901449317155</v>
      </c>
      <c r="D37">
        <v>0.88912612581871298</v>
      </c>
    </row>
    <row r="38" spans="1:4" x14ac:dyDescent="0.3">
      <c r="A38">
        <v>875</v>
      </c>
      <c r="B38">
        <v>1.2909368034490001</v>
      </c>
      <c r="C38">
        <v>1.1901449317155</v>
      </c>
      <c r="D38">
        <v>0.79764591890330305</v>
      </c>
    </row>
    <row r="39" spans="1:4" x14ac:dyDescent="0.3">
      <c r="A39">
        <v>900</v>
      </c>
      <c r="B39">
        <v>1.2645851082812201</v>
      </c>
      <c r="C39">
        <v>1.1856994008000601</v>
      </c>
      <c r="D39">
        <v>0.52609357436612803</v>
      </c>
    </row>
    <row r="40" spans="1:4" x14ac:dyDescent="0.3">
      <c r="A40">
        <v>925</v>
      </c>
      <c r="B40">
        <v>1.2645851082812201</v>
      </c>
      <c r="C40">
        <v>1.1856994008000601</v>
      </c>
      <c r="D40">
        <v>0.52609357436612803</v>
      </c>
    </row>
    <row r="41" spans="1:4" x14ac:dyDescent="0.3">
      <c r="A41">
        <v>950</v>
      </c>
      <c r="B41">
        <v>1.3394255936578801</v>
      </c>
      <c r="C41">
        <v>1.1812550980170999</v>
      </c>
      <c r="D41">
        <v>0.678854857071717</v>
      </c>
    </row>
    <row r="42" spans="1:4" x14ac:dyDescent="0.3">
      <c r="A42">
        <v>975</v>
      </c>
      <c r="B42">
        <v>1.3394255936578801</v>
      </c>
      <c r="C42">
        <v>1.1812550980170999</v>
      </c>
      <c r="D42">
        <v>0.678854857071717</v>
      </c>
    </row>
    <row r="43" spans="1:4" x14ac:dyDescent="0.3">
      <c r="A43">
        <v>1000</v>
      </c>
      <c r="B43">
        <v>1.38070975496667</v>
      </c>
      <c r="C43">
        <v>1.1768120235032</v>
      </c>
      <c r="D43">
        <v>0.83402923495482695</v>
      </c>
    </row>
    <row r="44" spans="1:4" x14ac:dyDescent="0.3">
      <c r="A44">
        <v>1025</v>
      </c>
      <c r="B44">
        <v>1.38070975496667</v>
      </c>
      <c r="C44">
        <v>1.1768120235032</v>
      </c>
      <c r="D44">
        <v>0.83402923495482695</v>
      </c>
    </row>
    <row r="45" spans="1:4" x14ac:dyDescent="0.3">
      <c r="A45">
        <v>1050</v>
      </c>
      <c r="B45">
        <v>1.33074009197989</v>
      </c>
      <c r="C45">
        <v>1.17237017751439</v>
      </c>
      <c r="D45">
        <v>0.65160287934664596</v>
      </c>
    </row>
    <row r="46" spans="1:4" x14ac:dyDescent="0.3">
      <c r="A46">
        <v>1075</v>
      </c>
      <c r="B46">
        <v>1.33074009197989</v>
      </c>
      <c r="C46">
        <v>1.17237017751439</v>
      </c>
      <c r="D46">
        <v>0.57746478294265902</v>
      </c>
    </row>
    <row r="47" spans="1:4" x14ac:dyDescent="0.3">
      <c r="A47">
        <v>1100</v>
      </c>
      <c r="B47">
        <v>1.3020488087381199</v>
      </c>
      <c r="C47">
        <v>1.1679295602269899</v>
      </c>
      <c r="D47">
        <v>0.71626155088662002</v>
      </c>
    </row>
    <row r="48" spans="1:4" x14ac:dyDescent="0.3">
      <c r="A48">
        <v>1125</v>
      </c>
      <c r="B48">
        <v>1.3020488087381199</v>
      </c>
      <c r="C48">
        <v>1.1679295602269899</v>
      </c>
      <c r="D48">
        <v>0.71938370488192005</v>
      </c>
    </row>
    <row r="49" spans="1:4" x14ac:dyDescent="0.3">
      <c r="A49">
        <v>1150</v>
      </c>
      <c r="B49">
        <v>1.36601869580449</v>
      </c>
      <c r="C49">
        <v>1.1634901718172901</v>
      </c>
      <c r="D49">
        <v>0.85366216623100599</v>
      </c>
    </row>
    <row r="50" spans="1:4" x14ac:dyDescent="0.3">
      <c r="A50">
        <v>1175</v>
      </c>
      <c r="B50">
        <v>1.36601869580449</v>
      </c>
      <c r="C50">
        <v>1.1634901718172901</v>
      </c>
      <c r="D50">
        <v>0.85504625314589999</v>
      </c>
    </row>
    <row r="51" spans="1:4" x14ac:dyDescent="0.3">
      <c r="A51">
        <v>1200</v>
      </c>
      <c r="B51">
        <v>1.36109604258789</v>
      </c>
      <c r="C51">
        <v>1.15905201250132</v>
      </c>
      <c r="D51">
        <v>0.93808690268609896</v>
      </c>
    </row>
    <row r="52" spans="1:4" x14ac:dyDescent="0.3">
      <c r="A52">
        <v>1225</v>
      </c>
      <c r="B52">
        <v>1.36109604258789</v>
      </c>
      <c r="C52">
        <v>1.15905201250132</v>
      </c>
      <c r="D52">
        <v>0.93845090682272303</v>
      </c>
    </row>
    <row r="53" spans="1:4" x14ac:dyDescent="0.3">
      <c r="A53">
        <v>1250</v>
      </c>
      <c r="B53">
        <v>1.38210580395313</v>
      </c>
      <c r="C53">
        <v>1.1546150824552901</v>
      </c>
      <c r="D53">
        <v>0.74950841536284696</v>
      </c>
    </row>
    <row r="54" spans="1:4" x14ac:dyDescent="0.3">
      <c r="A54">
        <v>1275</v>
      </c>
      <c r="B54">
        <v>1.38210580395313</v>
      </c>
      <c r="C54">
        <v>1.1546150824552901</v>
      </c>
      <c r="D54">
        <v>0.75195918737536005</v>
      </c>
    </row>
    <row r="55" spans="1:4" x14ac:dyDescent="0.3">
      <c r="A55">
        <v>1300</v>
      </c>
      <c r="B55">
        <v>1.67382829769903</v>
      </c>
      <c r="C55">
        <v>1.1501793818553501</v>
      </c>
      <c r="D55">
        <v>0.75453657812050701</v>
      </c>
    </row>
    <row r="56" spans="1:4" x14ac:dyDescent="0.3">
      <c r="A56">
        <v>1325</v>
      </c>
      <c r="B56">
        <v>1.6789137197361399</v>
      </c>
      <c r="C56">
        <v>1.1501793818553501</v>
      </c>
      <c r="D56">
        <v>0.75711735123650603</v>
      </c>
    </row>
    <row r="57" spans="1:4" x14ac:dyDescent="0.3">
      <c r="A57">
        <v>1350</v>
      </c>
      <c r="B57">
        <v>1.57926239558003</v>
      </c>
      <c r="C57">
        <v>1.1457449109174001</v>
      </c>
      <c r="D57">
        <v>1.14254965627575</v>
      </c>
    </row>
    <row r="58" spans="1:4" x14ac:dyDescent="0.3">
      <c r="A58">
        <v>1375</v>
      </c>
      <c r="B58">
        <v>1.5834141397931101</v>
      </c>
      <c r="C58">
        <v>1.1457449109174001</v>
      </c>
      <c r="D58">
        <v>1.1408827158002599</v>
      </c>
    </row>
    <row r="59" spans="1:4" x14ac:dyDescent="0.3">
      <c r="A59">
        <v>1400</v>
      </c>
      <c r="B59">
        <v>1.5040863009787699</v>
      </c>
      <c r="C59">
        <v>1.1413116697777901</v>
      </c>
      <c r="D59">
        <v>1.1393481253239199</v>
      </c>
    </row>
    <row r="60" spans="1:4" x14ac:dyDescent="0.3">
      <c r="A60">
        <v>1425</v>
      </c>
      <c r="B60">
        <v>1.5074520846750401</v>
      </c>
      <c r="C60">
        <v>1.1413116697777901</v>
      </c>
      <c r="D60">
        <v>1.1378072282876299</v>
      </c>
    </row>
    <row r="61" spans="1:4" x14ac:dyDescent="0.3">
      <c r="A61">
        <v>1450</v>
      </c>
      <c r="B61">
        <v>1.36640936360849</v>
      </c>
      <c r="C61">
        <v>1.13687965869204</v>
      </c>
      <c r="D61">
        <v>1.1363295503030599</v>
      </c>
    </row>
    <row r="62" spans="1:4" x14ac:dyDescent="0.3">
      <c r="A62">
        <v>1475</v>
      </c>
      <c r="B62">
        <v>1.3682381592310999</v>
      </c>
      <c r="C62">
        <v>1.13687965869204</v>
      </c>
      <c r="D62">
        <v>1.1349149791661099</v>
      </c>
    </row>
    <row r="63" spans="1:4" x14ac:dyDescent="0.3">
      <c r="A63">
        <v>1500</v>
      </c>
      <c r="B63">
        <v>1.71264255412766</v>
      </c>
      <c r="C63">
        <v>1.1324488778758699</v>
      </c>
      <c r="D63">
        <v>1.13349716727311</v>
      </c>
    </row>
    <row r="64" spans="1:4" x14ac:dyDescent="0.3">
      <c r="A64">
        <v>1525</v>
      </c>
      <c r="B64">
        <v>1.2792379622401999</v>
      </c>
      <c r="C64">
        <v>1.1324488778758699</v>
      </c>
      <c r="D64">
        <v>1.1322091059020301</v>
      </c>
    </row>
    <row r="65" spans="1:4" x14ac:dyDescent="0.3">
      <c r="A65">
        <v>1550</v>
      </c>
      <c r="B65">
        <v>1.62214602746021</v>
      </c>
      <c r="C65">
        <v>1.1280193273860999</v>
      </c>
      <c r="D65">
        <v>1.13104879853054</v>
      </c>
    </row>
    <row r="66" spans="1:4" x14ac:dyDescent="0.3">
      <c r="A66">
        <v>1575</v>
      </c>
      <c r="B66">
        <v>1.6285540549904101</v>
      </c>
      <c r="C66">
        <v>1.1280193273860999</v>
      </c>
      <c r="D66">
        <v>1.1298855526144</v>
      </c>
    </row>
    <row r="67" spans="1:4" x14ac:dyDescent="0.3">
      <c r="A67">
        <v>1600</v>
      </c>
      <c r="B67">
        <v>1.57916654537768</v>
      </c>
      <c r="C67">
        <v>1.1235910075575</v>
      </c>
      <c r="D67">
        <v>1.48388820525892</v>
      </c>
    </row>
    <row r="68" spans="1:4" x14ac:dyDescent="0.3">
      <c r="A68">
        <v>1625</v>
      </c>
      <c r="B68">
        <v>1.1316935776325101</v>
      </c>
      <c r="C68">
        <v>1.1235910075575</v>
      </c>
      <c r="D68">
        <v>1.48388820525892</v>
      </c>
    </row>
    <row r="69" spans="1:4" x14ac:dyDescent="0.3">
      <c r="A69">
        <v>1650</v>
      </c>
      <c r="B69">
        <v>1.1527703366870501</v>
      </c>
      <c r="C69">
        <v>1.1191639184865401</v>
      </c>
      <c r="D69">
        <v>1.3671838940600001</v>
      </c>
    </row>
    <row r="70" spans="1:4" x14ac:dyDescent="0.3">
      <c r="A70">
        <v>1675</v>
      </c>
      <c r="B70">
        <v>1.1516369738197301</v>
      </c>
      <c r="C70">
        <v>1.1191639184865401</v>
      </c>
      <c r="D70">
        <v>1.3671838940600001</v>
      </c>
    </row>
    <row r="71" spans="1:4" x14ac:dyDescent="0.3">
      <c r="A71">
        <v>1700</v>
      </c>
      <c r="B71">
        <v>1.12758743104085</v>
      </c>
      <c r="C71">
        <v>1.11473806038879</v>
      </c>
      <c r="D71">
        <v>1.66189302312692</v>
      </c>
    </row>
    <row r="72" spans="1:4" x14ac:dyDescent="0.3">
      <c r="A72">
        <v>1725</v>
      </c>
      <c r="B72">
        <v>1.1260334951181199</v>
      </c>
      <c r="C72">
        <v>1.11473806038879</v>
      </c>
      <c r="D72">
        <v>1.6669187355400299</v>
      </c>
    </row>
    <row r="73" spans="1:4" x14ac:dyDescent="0.3">
      <c r="A73">
        <v>1750</v>
      </c>
      <c r="B73">
        <v>1.19157570117149</v>
      </c>
      <c r="C73">
        <v>1.1103134335193801</v>
      </c>
      <c r="D73">
        <v>1.53983299598769</v>
      </c>
    </row>
    <row r="74" spans="1:4" x14ac:dyDescent="0.3">
      <c r="A74">
        <v>1775</v>
      </c>
      <c r="B74">
        <v>1.1907625111728799</v>
      </c>
      <c r="C74">
        <v>1.1103134335193801</v>
      </c>
      <c r="D74">
        <v>1.5435886109830099</v>
      </c>
    </row>
    <row r="75" spans="1:4" x14ac:dyDescent="0.3">
      <c r="A75">
        <v>1800</v>
      </c>
      <c r="B75">
        <v>1.1739345570425099</v>
      </c>
      <c r="C75">
        <v>1.10589003793509</v>
      </c>
      <c r="D75">
        <v>1.41327875405895</v>
      </c>
    </row>
    <row r="76" spans="1:4" x14ac:dyDescent="0.3">
      <c r="A76">
        <v>1825</v>
      </c>
      <c r="B76">
        <v>1.17279822405379</v>
      </c>
      <c r="C76">
        <v>1.10589003793509</v>
      </c>
      <c r="D76">
        <v>1.41563419942539</v>
      </c>
    </row>
    <row r="77" spans="1:4" x14ac:dyDescent="0.3">
      <c r="A77">
        <v>1850</v>
      </c>
      <c r="B77">
        <v>1.14334001197269</v>
      </c>
      <c r="C77">
        <v>1.1014678739306301</v>
      </c>
      <c r="D77">
        <v>1.2806964088989601</v>
      </c>
    </row>
    <row r="78" spans="1:4" x14ac:dyDescent="0.3">
      <c r="A78">
        <v>1875</v>
      </c>
      <c r="B78">
        <v>1.0493186370833101</v>
      </c>
      <c r="C78">
        <v>1.1014678739306301</v>
      </c>
      <c r="D78">
        <v>1.28150378756293</v>
      </c>
    </row>
    <row r="79" spans="1:4" x14ac:dyDescent="0.3">
      <c r="A79">
        <v>1900</v>
      </c>
      <c r="B79">
        <v>0.73788101233040604</v>
      </c>
      <c r="C79">
        <v>1.0970469416420601</v>
      </c>
      <c r="D79">
        <v>1.5697486876012701</v>
      </c>
    </row>
    <row r="80" spans="1:4" x14ac:dyDescent="0.3">
      <c r="A80">
        <v>1925</v>
      </c>
      <c r="B80">
        <v>0.73788101233040604</v>
      </c>
      <c r="C80">
        <v>1.0970469416420601</v>
      </c>
      <c r="D80">
        <v>1.5749500406915</v>
      </c>
    </row>
    <row r="81" spans="1:4" x14ac:dyDescent="0.3">
      <c r="A81">
        <v>1950</v>
      </c>
      <c r="B81">
        <v>0.80168826902518897</v>
      </c>
      <c r="C81">
        <v>1.0926272413242699</v>
      </c>
      <c r="D81">
        <v>1.41911613068385</v>
      </c>
    </row>
    <row r="82" spans="1:4" x14ac:dyDescent="0.3">
      <c r="A82">
        <v>1975</v>
      </c>
      <c r="B82">
        <v>0.80168826902518897</v>
      </c>
      <c r="C82">
        <v>1.0926272413242699</v>
      </c>
      <c r="D82">
        <v>1.42015313981921</v>
      </c>
    </row>
    <row r="83" spans="1:4" x14ac:dyDescent="0.3">
      <c r="A83">
        <v>2000</v>
      </c>
      <c r="B83">
        <v>0.89301569395781</v>
      </c>
      <c r="C83">
        <v>1.0882087731132599</v>
      </c>
      <c r="D83">
        <v>1.3580439578146899</v>
      </c>
    </row>
    <row r="84" spans="1:4" x14ac:dyDescent="0.3">
      <c r="A84">
        <v>2025</v>
      </c>
      <c r="B84">
        <v>0.89301569395781</v>
      </c>
      <c r="C84">
        <v>1.0882087731132599</v>
      </c>
      <c r="D84">
        <v>0.91681136858368395</v>
      </c>
    </row>
    <row r="85" spans="1:4" x14ac:dyDescent="0.3">
      <c r="A85">
        <v>2050</v>
      </c>
      <c r="B85">
        <v>0.95596925833269397</v>
      </c>
      <c r="C85">
        <v>1.0837915371846101</v>
      </c>
      <c r="D85">
        <v>0.91261559757476496</v>
      </c>
    </row>
    <row r="86" spans="1:4" x14ac:dyDescent="0.3">
      <c r="A86">
        <v>2075</v>
      </c>
      <c r="B86">
        <v>0.62128115231520098</v>
      </c>
      <c r="C86">
        <v>1.0837915371846101</v>
      </c>
      <c r="D86">
        <v>0.90819905767494702</v>
      </c>
    </row>
    <row r="87" spans="1:4" x14ac:dyDescent="0.3">
      <c r="A87">
        <v>2100</v>
      </c>
      <c r="B87">
        <v>0.63860246221723005</v>
      </c>
      <c r="C87">
        <v>1.07937553379305</v>
      </c>
      <c r="D87">
        <v>0.90355594022798602</v>
      </c>
    </row>
    <row r="88" spans="1:4" x14ac:dyDescent="0.3">
      <c r="A88">
        <v>2125</v>
      </c>
      <c r="B88">
        <v>0.64273833615560105</v>
      </c>
      <c r="C88">
        <v>1.07937553379305</v>
      </c>
      <c r="D88">
        <v>0.898879266870795</v>
      </c>
    </row>
    <row r="89" spans="1:4" x14ac:dyDescent="0.3">
      <c r="A89">
        <v>2150</v>
      </c>
      <c r="B89">
        <v>0.62397457587114602</v>
      </c>
      <c r="C89">
        <v>1.0749607630349201</v>
      </c>
      <c r="D89">
        <v>0.89407003247942896</v>
      </c>
    </row>
    <row r="90" spans="1:4" x14ac:dyDescent="0.3">
      <c r="A90">
        <v>2175</v>
      </c>
      <c r="B90">
        <v>0.62824152674320499</v>
      </c>
      <c r="C90">
        <v>1.0749607630349201</v>
      </c>
      <c r="D90">
        <v>0.88912612581871298</v>
      </c>
    </row>
    <row r="91" spans="1:4" x14ac:dyDescent="0.3">
      <c r="A91">
        <v>2200</v>
      </c>
      <c r="B91">
        <v>0.78859847395707305</v>
      </c>
      <c r="C91">
        <v>1.0705472252043999</v>
      </c>
      <c r="D91">
        <v>0.79774705899752696</v>
      </c>
    </row>
    <row r="92" spans="1:4" x14ac:dyDescent="0.3">
      <c r="A92">
        <v>2225</v>
      </c>
      <c r="B92">
        <v>0.79077621858614899</v>
      </c>
      <c r="C92">
        <v>1.0705472252043999</v>
      </c>
      <c r="D92">
        <v>0.46958682741776198</v>
      </c>
    </row>
    <row r="93" spans="1:4" x14ac:dyDescent="0.3">
      <c r="A93">
        <v>2250</v>
      </c>
      <c r="B93">
        <v>0.85087497723820504</v>
      </c>
      <c r="C93">
        <v>1.0661349203977899</v>
      </c>
      <c r="D93">
        <v>0.46949457987322402</v>
      </c>
    </row>
    <row r="94" spans="1:4" x14ac:dyDescent="0.3">
      <c r="A94">
        <v>2275</v>
      </c>
      <c r="B94">
        <v>0.85228751075567599</v>
      </c>
      <c r="C94">
        <v>1.0661349203977899</v>
      </c>
      <c r="D94">
        <v>0.46949457987322402</v>
      </c>
    </row>
    <row r="95" spans="1:4" x14ac:dyDescent="0.3">
      <c r="A95">
        <v>2300</v>
      </c>
      <c r="B95">
        <v>0.97193236968160202</v>
      </c>
      <c r="C95">
        <v>1.0617238489091101</v>
      </c>
      <c r="D95">
        <v>0.52609357436612803</v>
      </c>
    </row>
    <row r="96" spans="1:4" x14ac:dyDescent="0.3">
      <c r="A96">
        <v>2325</v>
      </c>
      <c r="B96">
        <v>0.97193366773560097</v>
      </c>
      <c r="C96">
        <v>1.0617238489091101</v>
      </c>
      <c r="D96">
        <v>0.52609357436612803</v>
      </c>
    </row>
    <row r="97" spans="1:4" x14ac:dyDescent="0.3">
      <c r="A97">
        <v>2350</v>
      </c>
      <c r="B97">
        <v>1.0084735794200701</v>
      </c>
      <c r="C97">
        <v>1.05731401079509</v>
      </c>
      <c r="D97">
        <v>0.678854857071717</v>
      </c>
    </row>
    <row r="98" spans="1:4" x14ac:dyDescent="0.3">
      <c r="A98">
        <v>2375</v>
      </c>
      <c r="B98">
        <v>1.00809437039504</v>
      </c>
      <c r="C98">
        <v>1.05731401079509</v>
      </c>
      <c r="D98">
        <v>0.678854857071717</v>
      </c>
    </row>
    <row r="99" spans="1:4" x14ac:dyDescent="0.3">
      <c r="A99">
        <v>2400</v>
      </c>
      <c r="B99">
        <v>0.75239355029164401</v>
      </c>
      <c r="C99">
        <v>1.0529054063496399</v>
      </c>
      <c r="D99">
        <v>0.83402923495482695</v>
      </c>
    </row>
    <row r="100" spans="1:4" x14ac:dyDescent="0.3">
      <c r="A100">
        <v>2425</v>
      </c>
      <c r="B100">
        <v>0.75507989251683505</v>
      </c>
      <c r="C100">
        <v>1.0529054063496399</v>
      </c>
      <c r="D100">
        <v>0.83402923495482695</v>
      </c>
    </row>
    <row r="101" spans="1:4" x14ac:dyDescent="0.3">
      <c r="A101">
        <v>2450</v>
      </c>
      <c r="B101">
        <v>1.0458401536485</v>
      </c>
      <c r="C101">
        <v>1.0484980357085201</v>
      </c>
      <c r="D101">
        <v>0.65160287934664596</v>
      </c>
    </row>
    <row r="102" spans="1:4" x14ac:dyDescent="0.3">
      <c r="A102">
        <v>2475</v>
      </c>
      <c r="B102">
        <v>1.0452180437524199</v>
      </c>
      <c r="C102">
        <v>1.0484980357085201</v>
      </c>
      <c r="D102">
        <v>0.57746478294265902</v>
      </c>
    </row>
    <row r="103" spans="1:4" x14ac:dyDescent="0.3">
      <c r="A103">
        <v>2500</v>
      </c>
      <c r="B103">
        <v>1.0316582376808501</v>
      </c>
      <c r="C103">
        <v>1.04409189912595</v>
      </c>
      <c r="D103">
        <v>0.71626155088662002</v>
      </c>
    </row>
    <row r="104" spans="1:4" x14ac:dyDescent="0.3">
      <c r="A104">
        <v>2525</v>
      </c>
      <c r="B104">
        <v>1.03124518361619</v>
      </c>
      <c r="C104">
        <v>1.04409189912595</v>
      </c>
      <c r="D104">
        <v>0.71938370488192005</v>
      </c>
    </row>
    <row r="105" spans="1:4" x14ac:dyDescent="0.3">
      <c r="A105">
        <v>2550</v>
      </c>
      <c r="B105">
        <v>0.95141170800266905</v>
      </c>
      <c r="C105">
        <v>1.0396869966981399</v>
      </c>
      <c r="D105">
        <v>0.85366216623100599</v>
      </c>
    </row>
    <row r="106" spans="1:4" x14ac:dyDescent="0.3">
      <c r="A106">
        <v>2575</v>
      </c>
      <c r="B106">
        <v>0.95185189786221003</v>
      </c>
      <c r="C106">
        <v>1.0396869966981399</v>
      </c>
      <c r="D106">
        <v>0.85504625314589999</v>
      </c>
    </row>
    <row r="107" spans="1:4" x14ac:dyDescent="0.3">
      <c r="A107">
        <v>2600</v>
      </c>
      <c r="B107">
        <v>0.94047512516813003</v>
      </c>
      <c r="C107">
        <v>1.03528332871869</v>
      </c>
      <c r="D107">
        <v>0.55288117304439799</v>
      </c>
    </row>
    <row r="108" spans="1:4" x14ac:dyDescent="0.3">
      <c r="A108">
        <v>2625</v>
      </c>
      <c r="B108">
        <v>0.941062024535672</v>
      </c>
      <c r="C108">
        <v>1.03528332871869</v>
      </c>
      <c r="D108">
        <v>0.93881987306730996</v>
      </c>
    </row>
    <row r="109" spans="1:4" x14ac:dyDescent="0.3">
      <c r="A109">
        <v>2650</v>
      </c>
      <c r="B109">
        <v>1.00810549694784</v>
      </c>
      <c r="C109">
        <v>1.0308808952443</v>
      </c>
      <c r="D109">
        <v>0.75072636569364204</v>
      </c>
    </row>
    <row r="110" spans="1:4" x14ac:dyDescent="0.3">
      <c r="A110">
        <v>2675</v>
      </c>
      <c r="B110">
        <v>1.00811101277076</v>
      </c>
      <c r="C110">
        <v>1.0308808952443</v>
      </c>
      <c r="D110">
        <v>0.75320766393131</v>
      </c>
    </row>
    <row r="111" spans="1:4" x14ac:dyDescent="0.3">
      <c r="A111">
        <v>2700</v>
      </c>
      <c r="B111">
        <v>1.01260718658354</v>
      </c>
      <c r="C111">
        <v>1.0264796965684699</v>
      </c>
      <c r="D111">
        <v>0.75581799544530304</v>
      </c>
    </row>
    <row r="112" spans="1:4" x14ac:dyDescent="0.3">
      <c r="A112">
        <v>2725</v>
      </c>
      <c r="B112">
        <v>1.39160705670392</v>
      </c>
      <c r="C112">
        <v>1.0264796965684699</v>
      </c>
      <c r="D112">
        <v>0.75843537409023698</v>
      </c>
    </row>
    <row r="113" spans="1:4" x14ac:dyDescent="0.3">
      <c r="A113">
        <v>2750</v>
      </c>
      <c r="B113">
        <v>1.30078820759883</v>
      </c>
      <c r="C113">
        <v>1.0220797328662099</v>
      </c>
      <c r="D113">
        <v>0.76106940671415502</v>
      </c>
    </row>
    <row r="114" spans="1:4" x14ac:dyDescent="0.3">
      <c r="A114">
        <v>2775</v>
      </c>
      <c r="B114">
        <v>1.30078820759883</v>
      </c>
      <c r="C114">
        <v>1.0220797328662099</v>
      </c>
      <c r="D114">
        <v>1.1377390030114101</v>
      </c>
    </row>
    <row r="115" spans="1:4" x14ac:dyDescent="0.3">
      <c r="A115">
        <v>2800</v>
      </c>
      <c r="B115">
        <v>1.2227649866672801</v>
      </c>
      <c r="C115">
        <v>1.0176810043125299</v>
      </c>
      <c r="D115">
        <v>1.1363295503030599</v>
      </c>
    </row>
    <row r="116" spans="1:4" x14ac:dyDescent="0.3">
      <c r="A116">
        <v>2825</v>
      </c>
      <c r="B116">
        <v>1.2227649866672801</v>
      </c>
      <c r="C116">
        <v>1.0176810043125299</v>
      </c>
      <c r="D116">
        <v>1.1349149791661099</v>
      </c>
    </row>
    <row r="117" spans="1:4" x14ac:dyDescent="0.3">
      <c r="A117">
        <v>2850</v>
      </c>
      <c r="B117">
        <v>1.1343941163064299</v>
      </c>
      <c r="C117">
        <v>1.0132835110823899</v>
      </c>
      <c r="D117">
        <v>1.13356340349853</v>
      </c>
    </row>
    <row r="118" spans="1:4" x14ac:dyDescent="0.3">
      <c r="A118">
        <v>2875</v>
      </c>
      <c r="B118">
        <v>1.1343941163064299</v>
      </c>
      <c r="C118">
        <v>1.0132835110823899</v>
      </c>
      <c r="D118">
        <v>1.13227471297187</v>
      </c>
    </row>
    <row r="119" spans="1:4" x14ac:dyDescent="0.3">
      <c r="A119">
        <v>2900</v>
      </c>
      <c r="B119">
        <v>0.97362521471598595</v>
      </c>
      <c r="C119">
        <v>1.0088872534295401</v>
      </c>
      <c r="D119">
        <v>1.130983804085</v>
      </c>
    </row>
    <row r="120" spans="1:4" x14ac:dyDescent="0.3">
      <c r="A120">
        <v>2925</v>
      </c>
      <c r="B120">
        <v>0.97362521471598595</v>
      </c>
      <c r="C120">
        <v>1.0088872534295401</v>
      </c>
      <c r="D120">
        <v>1.1298211544966399</v>
      </c>
    </row>
    <row r="121" spans="1:4" x14ac:dyDescent="0.3">
      <c r="A121">
        <v>2950</v>
      </c>
      <c r="B121">
        <v>0.97344839367491798</v>
      </c>
      <c r="C121">
        <v>1.0044922314106699</v>
      </c>
      <c r="D121">
        <v>1.1287848693806499</v>
      </c>
    </row>
    <row r="122" spans="1:4" x14ac:dyDescent="0.3">
      <c r="A122">
        <v>2975</v>
      </c>
      <c r="B122">
        <v>0.97344839367491798</v>
      </c>
      <c r="C122">
        <v>1.0044922314106699</v>
      </c>
      <c r="D122">
        <v>1.12774664492529</v>
      </c>
    </row>
    <row r="123" spans="1:4" x14ac:dyDescent="0.3">
      <c r="A123">
        <v>3000</v>
      </c>
      <c r="B123">
        <v>0.97431734623218802</v>
      </c>
      <c r="C123">
        <v>1.00009844535822</v>
      </c>
      <c r="D123">
        <v>1.45753381676309</v>
      </c>
    </row>
    <row r="124" spans="1:4" x14ac:dyDescent="0.3">
      <c r="A124">
        <v>3025</v>
      </c>
      <c r="B124">
        <v>0.97431734623218802</v>
      </c>
      <c r="C124">
        <v>1.00009844535822</v>
      </c>
      <c r="D124">
        <v>1.45753381676309</v>
      </c>
    </row>
    <row r="125" spans="1:4" x14ac:dyDescent="0.3">
      <c r="A125">
        <v>3050</v>
      </c>
      <c r="B125">
        <v>1.2317376949429</v>
      </c>
      <c r="C125">
        <v>0.99570589532885301</v>
      </c>
      <c r="D125">
        <v>1.3420028676262401</v>
      </c>
    </row>
    <row r="126" spans="1:4" x14ac:dyDescent="0.3">
      <c r="A126">
        <v>3075</v>
      </c>
      <c r="B126">
        <v>0.86736891707226804</v>
      </c>
      <c r="C126">
        <v>0.99570589532885301</v>
      </c>
      <c r="D126">
        <v>1.3420028676262401</v>
      </c>
    </row>
    <row r="127" spans="1:4" x14ac:dyDescent="0.3">
      <c r="A127">
        <v>3100</v>
      </c>
      <c r="B127">
        <v>1.16035626810901</v>
      </c>
      <c r="C127">
        <v>0.99131458165483899</v>
      </c>
      <c r="D127">
        <v>1.2271982754733399</v>
      </c>
    </row>
    <row r="128" spans="1:4" x14ac:dyDescent="0.3">
      <c r="A128">
        <v>3125</v>
      </c>
      <c r="B128">
        <v>1.1600686822691</v>
      </c>
      <c r="C128">
        <v>0.99131458165483899</v>
      </c>
      <c r="D128">
        <v>1.2271982754733399</v>
      </c>
    </row>
    <row r="129" spans="1:4" x14ac:dyDescent="0.3">
      <c r="A129">
        <v>3150</v>
      </c>
      <c r="B129">
        <v>0.83062600995060198</v>
      </c>
      <c r="C129">
        <v>0.98692450443216995</v>
      </c>
      <c r="D129">
        <v>1.11326498419465</v>
      </c>
    </row>
    <row r="130" spans="1:4" x14ac:dyDescent="0.3">
      <c r="A130">
        <v>3175</v>
      </c>
      <c r="B130">
        <v>0.83062600995060198</v>
      </c>
      <c r="C130">
        <v>0.98692450443216995</v>
      </c>
      <c r="D130">
        <v>1.11326498419465</v>
      </c>
    </row>
    <row r="131" spans="1:4" x14ac:dyDescent="0.3">
      <c r="A131">
        <v>3200</v>
      </c>
      <c r="B131">
        <v>0.81944758988043898</v>
      </c>
      <c r="C131">
        <v>0.982535663835571</v>
      </c>
      <c r="D131">
        <v>1.00007330628941</v>
      </c>
    </row>
    <row r="132" spans="1:4" x14ac:dyDescent="0.3">
      <c r="A132">
        <v>3225</v>
      </c>
      <c r="B132">
        <v>0.81944758988043898</v>
      </c>
      <c r="C132">
        <v>0.982535663835571</v>
      </c>
      <c r="D132">
        <v>1.00007330628941</v>
      </c>
    </row>
    <row r="133" spans="1:4" x14ac:dyDescent="0.3">
      <c r="A133">
        <v>3250</v>
      </c>
      <c r="B133">
        <v>0.78655912526693605</v>
      </c>
      <c r="C133">
        <v>0.97814806011839095</v>
      </c>
      <c r="D133">
        <v>0.88769883514803904</v>
      </c>
    </row>
    <row r="134" spans="1:4" x14ac:dyDescent="0.3">
      <c r="A134">
        <v>3275</v>
      </c>
      <c r="B134">
        <v>0.78655912526693605</v>
      </c>
      <c r="C134">
        <v>0.97814806011839095</v>
      </c>
      <c r="D134">
        <v>0.88769883514803904</v>
      </c>
    </row>
    <row r="135" spans="1:4" x14ac:dyDescent="0.3">
      <c r="A135">
        <v>3300</v>
      </c>
      <c r="B135">
        <v>0.85317398640856901</v>
      </c>
      <c r="C135">
        <v>0.973761693415925</v>
      </c>
      <c r="D135">
        <v>0.77621507582398597</v>
      </c>
    </row>
    <row r="136" spans="1:4" x14ac:dyDescent="0.3">
      <c r="A136">
        <v>3325</v>
      </c>
      <c r="B136">
        <v>0.85317398640856901</v>
      </c>
      <c r="C136">
        <v>0.973761693415925</v>
      </c>
      <c r="D136">
        <v>0.77621507582398597</v>
      </c>
    </row>
    <row r="137" spans="1:4" x14ac:dyDescent="0.3">
      <c r="A137">
        <v>3350</v>
      </c>
      <c r="B137">
        <v>0.85061234702645705</v>
      </c>
      <c r="C137">
        <v>0.96937656398139205</v>
      </c>
      <c r="D137">
        <v>0.66542872984975898</v>
      </c>
    </row>
    <row r="138" spans="1:4" x14ac:dyDescent="0.3">
      <c r="A138">
        <v>3375</v>
      </c>
      <c r="B138">
        <v>0.85061234702645705</v>
      </c>
      <c r="C138">
        <v>0.96937656398139205</v>
      </c>
      <c r="D138">
        <v>0.66542872984975898</v>
      </c>
    </row>
    <row r="139" spans="1:4" x14ac:dyDescent="0.3">
      <c r="A139">
        <v>3400</v>
      </c>
      <c r="B139">
        <v>0.76661770005509899</v>
      </c>
      <c r="C139">
        <v>0.96499267191073301</v>
      </c>
      <c r="D139">
        <v>0.60738360014735404</v>
      </c>
    </row>
    <row r="140" spans="1:4" x14ac:dyDescent="0.3">
      <c r="A140">
        <v>3425</v>
      </c>
      <c r="B140">
        <v>0.76661770005509899</v>
      </c>
      <c r="C140">
        <v>0.96499267191073301</v>
      </c>
      <c r="D140">
        <v>0.60738360014735404</v>
      </c>
    </row>
    <row r="141" spans="1:4" x14ac:dyDescent="0.3">
      <c r="A141">
        <v>3450</v>
      </c>
      <c r="B141">
        <v>0.72597107511422598</v>
      </c>
      <c r="C141">
        <v>0.96061001745707397</v>
      </c>
      <c r="D141">
        <v>0.60731769767476995</v>
      </c>
    </row>
    <row r="142" spans="1:4" x14ac:dyDescent="0.3">
      <c r="A142">
        <v>3475</v>
      </c>
      <c r="B142">
        <v>0.72597107511422598</v>
      </c>
      <c r="C142">
        <v>0.96061001745707397</v>
      </c>
      <c r="D142">
        <v>0.60731769767476995</v>
      </c>
    </row>
    <row r="143" spans="1:4" x14ac:dyDescent="0.3">
      <c r="A143">
        <v>3500</v>
      </c>
      <c r="B143">
        <v>0.81227587471329099</v>
      </c>
      <c r="C143">
        <v>0.95622860079488803</v>
      </c>
      <c r="D143">
        <v>0.60731769767476695</v>
      </c>
    </row>
    <row r="144" spans="1:4" x14ac:dyDescent="0.3">
      <c r="A144">
        <v>3525</v>
      </c>
      <c r="B144">
        <v>0.49364658951206702</v>
      </c>
      <c r="C144">
        <v>0.95622860079488803</v>
      </c>
      <c r="D144">
        <v>0.60731769767476695</v>
      </c>
    </row>
    <row r="145" spans="1:4" x14ac:dyDescent="0.3">
      <c r="A145">
        <v>3550</v>
      </c>
      <c r="B145">
        <v>0.46485933002331398</v>
      </c>
      <c r="C145">
        <v>0.95184842209862397</v>
      </c>
      <c r="D145">
        <v>0.60731769767476995</v>
      </c>
    </row>
    <row r="146" spans="1:4" x14ac:dyDescent="0.3">
      <c r="A146">
        <v>3575</v>
      </c>
      <c r="B146">
        <v>0.46997763670166098</v>
      </c>
      <c r="C146">
        <v>0.95184842209862397</v>
      </c>
      <c r="D146">
        <v>0.60731769767476995</v>
      </c>
    </row>
    <row r="147" spans="1:4" x14ac:dyDescent="0.3">
      <c r="A147">
        <v>3600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defaultRowHeight="14" x14ac:dyDescent="0.3"/>
  <sheetData>
    <row r="1" spans="1:3" x14ac:dyDescent="0.3">
      <c r="A1" t="s">
        <v>10</v>
      </c>
    </row>
    <row r="2" spans="1:3" ht="409.5" x14ac:dyDescent="0.3">
      <c r="B2" t="s">
        <v>11</v>
      </c>
      <c r="C2" s="2" t="s">
        <v>12</v>
      </c>
    </row>
    <row r="3" spans="1:3" x14ac:dyDescent="0.3">
      <c r="B3" t="s">
        <v>13</v>
      </c>
      <c r="C3" t="s">
        <v>14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L147"/>
  <sheetViews>
    <sheetView topLeftCell="A31" zoomScaleNormal="100" workbookViewId="0">
      <selection activeCell="C3" sqref="C3"/>
    </sheetView>
  </sheetViews>
  <sheetFormatPr defaultRowHeight="14" x14ac:dyDescent="0.3"/>
  <sheetData>
    <row r="2" spans="1:12" x14ac:dyDescent="0.3">
      <c r="B2" t="s">
        <v>0</v>
      </c>
      <c r="C2" s="1" t="s">
        <v>1</v>
      </c>
      <c r="D2" s="1" t="s">
        <v>2</v>
      </c>
      <c r="E2" s="1" t="s">
        <v>3</v>
      </c>
      <c r="F2" t="s">
        <v>0</v>
      </c>
      <c r="G2" s="1" t="s">
        <v>1</v>
      </c>
      <c r="H2" s="1" t="s">
        <v>2</v>
      </c>
      <c r="I2" t="s">
        <v>8</v>
      </c>
      <c r="J2" s="1" t="s">
        <v>4</v>
      </c>
      <c r="K2" s="1" t="s">
        <v>5</v>
      </c>
      <c r="L2" s="1" t="s">
        <v>6</v>
      </c>
    </row>
    <row r="3" spans="1:12" x14ac:dyDescent="0.3">
      <c r="A3">
        <v>0</v>
      </c>
      <c r="B3">
        <v>25</v>
      </c>
      <c r="C3">
        <v>25</v>
      </c>
      <c r="D3">
        <v>25</v>
      </c>
      <c r="E3">
        <v>25.995999999999999</v>
      </c>
      <c r="F3">
        <v>25</v>
      </c>
      <c r="G3">
        <v>25</v>
      </c>
      <c r="H3">
        <v>25</v>
      </c>
      <c r="I3">
        <f>B3*3.6</f>
        <v>90</v>
      </c>
      <c r="J3">
        <f>C3*3.6</f>
        <v>90</v>
      </c>
      <c r="K3">
        <f t="shared" ref="J3:L18" si="0">D3*3.6</f>
        <v>90</v>
      </c>
      <c r="L3">
        <f>E3*3.6</f>
        <v>93.585599999999999</v>
      </c>
    </row>
    <row r="4" spans="1:12" x14ac:dyDescent="0.3">
      <c r="A4">
        <v>25</v>
      </c>
      <c r="B4">
        <v>25.312999999999999</v>
      </c>
      <c r="C4">
        <v>25</v>
      </c>
      <c r="D4">
        <v>25</v>
      </c>
      <c r="E4">
        <v>26.247900000000001</v>
      </c>
      <c r="F4">
        <v>25</v>
      </c>
      <c r="G4">
        <v>25</v>
      </c>
      <c r="H4">
        <v>25</v>
      </c>
      <c r="I4">
        <f t="shared" ref="I4:L67" si="1">B4*3.6</f>
        <v>91.126800000000003</v>
      </c>
      <c r="J4">
        <f t="shared" si="0"/>
        <v>90</v>
      </c>
      <c r="K4">
        <f t="shared" si="0"/>
        <v>90</v>
      </c>
      <c r="L4">
        <f t="shared" si="0"/>
        <v>94.492440000000002</v>
      </c>
    </row>
    <row r="5" spans="1:12" x14ac:dyDescent="0.3">
      <c r="A5">
        <v>50</v>
      </c>
      <c r="B5">
        <v>25.622299999999999</v>
      </c>
      <c r="C5">
        <v>25</v>
      </c>
      <c r="D5">
        <v>25</v>
      </c>
      <c r="E5">
        <v>26.609100000000002</v>
      </c>
      <c r="F5">
        <v>25</v>
      </c>
      <c r="G5">
        <v>25</v>
      </c>
      <c r="H5">
        <v>25</v>
      </c>
      <c r="I5">
        <f t="shared" si="1"/>
        <v>92.240279999999998</v>
      </c>
      <c r="J5">
        <f t="shared" si="0"/>
        <v>90</v>
      </c>
      <c r="K5">
        <f t="shared" si="0"/>
        <v>90</v>
      </c>
      <c r="L5">
        <f t="shared" si="0"/>
        <v>95.792760000000001</v>
      </c>
    </row>
    <row r="6" spans="1:12" x14ac:dyDescent="0.3">
      <c r="A6">
        <v>75</v>
      </c>
      <c r="B6">
        <v>25.927800000000001</v>
      </c>
      <c r="C6">
        <v>25.2</v>
      </c>
      <c r="D6">
        <v>25</v>
      </c>
      <c r="E6">
        <v>26.978899999999999</v>
      </c>
      <c r="F6">
        <v>25</v>
      </c>
      <c r="G6">
        <v>25</v>
      </c>
      <c r="H6">
        <v>25</v>
      </c>
      <c r="I6">
        <f t="shared" si="1"/>
        <v>93.34008</v>
      </c>
      <c r="J6">
        <f t="shared" si="0"/>
        <v>90.72</v>
      </c>
      <c r="K6">
        <f t="shared" si="0"/>
        <v>90</v>
      </c>
      <c r="L6">
        <f t="shared" si="0"/>
        <v>97.124039999999994</v>
      </c>
    </row>
    <row r="7" spans="1:12" x14ac:dyDescent="0.3">
      <c r="A7">
        <v>100</v>
      </c>
      <c r="B7">
        <v>26.229800000000001</v>
      </c>
      <c r="C7">
        <v>25.1</v>
      </c>
      <c r="D7">
        <v>25</v>
      </c>
      <c r="E7">
        <v>27.326899999999998</v>
      </c>
      <c r="F7">
        <v>25</v>
      </c>
      <c r="G7">
        <v>25</v>
      </c>
      <c r="H7">
        <v>25</v>
      </c>
      <c r="I7">
        <f t="shared" si="1"/>
        <v>94.42728000000001</v>
      </c>
      <c r="J7">
        <f t="shared" si="0"/>
        <v>90.360000000000014</v>
      </c>
      <c r="K7">
        <f t="shared" si="0"/>
        <v>90</v>
      </c>
      <c r="L7">
        <f t="shared" si="0"/>
        <v>98.376840000000001</v>
      </c>
    </row>
    <row r="8" spans="1:12" x14ac:dyDescent="0.3">
      <c r="A8">
        <v>125</v>
      </c>
      <c r="B8">
        <v>26.4</v>
      </c>
      <c r="C8">
        <v>25</v>
      </c>
      <c r="D8">
        <v>25</v>
      </c>
      <c r="E8">
        <v>27.335699999999999</v>
      </c>
      <c r="F8">
        <v>25</v>
      </c>
      <c r="G8">
        <v>25</v>
      </c>
      <c r="H8">
        <v>25</v>
      </c>
      <c r="I8">
        <f t="shared" si="1"/>
        <v>95.039999999999992</v>
      </c>
      <c r="J8">
        <f t="shared" si="0"/>
        <v>90</v>
      </c>
      <c r="K8">
        <f t="shared" si="0"/>
        <v>90</v>
      </c>
      <c r="L8">
        <f t="shared" si="0"/>
        <v>98.408519999999996</v>
      </c>
    </row>
    <row r="9" spans="1:12" x14ac:dyDescent="0.3">
      <c r="A9">
        <v>150</v>
      </c>
      <c r="B9">
        <v>26.5</v>
      </c>
      <c r="C9">
        <v>25.2</v>
      </c>
      <c r="D9">
        <v>25</v>
      </c>
      <c r="E9">
        <v>27.0625</v>
      </c>
      <c r="F9">
        <v>25</v>
      </c>
      <c r="G9">
        <v>25</v>
      </c>
      <c r="H9">
        <v>25</v>
      </c>
      <c r="I9">
        <f t="shared" si="1"/>
        <v>95.4</v>
      </c>
      <c r="J9">
        <f t="shared" si="0"/>
        <v>90.72</v>
      </c>
      <c r="K9">
        <f t="shared" si="0"/>
        <v>90</v>
      </c>
      <c r="L9">
        <f t="shared" si="0"/>
        <v>97.424999999999997</v>
      </c>
    </row>
    <row r="10" spans="1:12" x14ac:dyDescent="0.3">
      <c r="A10">
        <v>175</v>
      </c>
      <c r="B10">
        <v>26.3</v>
      </c>
      <c r="C10">
        <v>25.1</v>
      </c>
      <c r="D10">
        <v>25.3</v>
      </c>
      <c r="E10">
        <v>26.622</v>
      </c>
      <c r="F10">
        <v>25</v>
      </c>
      <c r="G10">
        <v>25</v>
      </c>
      <c r="H10">
        <v>25</v>
      </c>
      <c r="I10">
        <f t="shared" si="1"/>
        <v>94.68</v>
      </c>
      <c r="J10">
        <f t="shared" si="0"/>
        <v>90.360000000000014</v>
      </c>
      <c r="K10">
        <f t="shared" si="0"/>
        <v>91.08</v>
      </c>
      <c r="L10">
        <f t="shared" si="0"/>
        <v>95.839200000000005</v>
      </c>
    </row>
    <row r="11" spans="1:12" x14ac:dyDescent="0.3">
      <c r="A11">
        <v>200</v>
      </c>
      <c r="B11">
        <v>26.3</v>
      </c>
      <c r="C11">
        <v>25.3</v>
      </c>
      <c r="D11">
        <v>25</v>
      </c>
      <c r="E11">
        <v>26.305</v>
      </c>
      <c r="F11">
        <v>25</v>
      </c>
      <c r="G11">
        <v>25</v>
      </c>
      <c r="H11">
        <v>25</v>
      </c>
      <c r="I11">
        <f t="shared" si="1"/>
        <v>94.68</v>
      </c>
      <c r="J11">
        <f t="shared" si="0"/>
        <v>91.08</v>
      </c>
      <c r="K11">
        <f t="shared" si="0"/>
        <v>90</v>
      </c>
      <c r="L11">
        <f t="shared" si="0"/>
        <v>94.698000000000008</v>
      </c>
    </row>
    <row r="12" spans="1:12" x14ac:dyDescent="0.3">
      <c r="A12">
        <v>225</v>
      </c>
      <c r="B12">
        <v>26.4</v>
      </c>
      <c r="C12">
        <v>25.6</v>
      </c>
      <c r="D12">
        <v>25.3</v>
      </c>
      <c r="E12">
        <v>26.115400000000001</v>
      </c>
      <c r="F12">
        <v>25</v>
      </c>
      <c r="G12">
        <v>25</v>
      </c>
      <c r="H12">
        <v>25</v>
      </c>
      <c r="I12">
        <f t="shared" si="1"/>
        <v>95.039999999999992</v>
      </c>
      <c r="J12">
        <f t="shared" si="0"/>
        <v>92.160000000000011</v>
      </c>
      <c r="K12">
        <f t="shared" si="0"/>
        <v>91.08</v>
      </c>
      <c r="L12">
        <f t="shared" si="0"/>
        <v>94.015440000000012</v>
      </c>
    </row>
    <row r="13" spans="1:12" x14ac:dyDescent="0.3">
      <c r="A13">
        <v>250</v>
      </c>
      <c r="B13">
        <v>26.5</v>
      </c>
      <c r="C13">
        <v>25.9</v>
      </c>
      <c r="D13">
        <v>25.6</v>
      </c>
      <c r="E13">
        <v>26.292400000000001</v>
      </c>
      <c r="F13">
        <v>25</v>
      </c>
      <c r="G13">
        <v>25</v>
      </c>
      <c r="H13">
        <v>25</v>
      </c>
      <c r="I13">
        <f t="shared" si="1"/>
        <v>95.4</v>
      </c>
      <c r="J13">
        <f t="shared" si="0"/>
        <v>93.24</v>
      </c>
      <c r="K13">
        <f t="shared" si="0"/>
        <v>92.160000000000011</v>
      </c>
      <c r="L13">
        <f t="shared" si="0"/>
        <v>94.652640000000005</v>
      </c>
    </row>
    <row r="14" spans="1:12" x14ac:dyDescent="0.3">
      <c r="A14">
        <v>275</v>
      </c>
      <c r="B14">
        <v>26.6</v>
      </c>
      <c r="C14">
        <v>26.2</v>
      </c>
      <c r="D14">
        <v>25.4</v>
      </c>
      <c r="E14">
        <v>26.4345</v>
      </c>
      <c r="F14">
        <v>25</v>
      </c>
      <c r="G14">
        <v>25</v>
      </c>
      <c r="H14">
        <v>25</v>
      </c>
      <c r="I14">
        <f t="shared" si="1"/>
        <v>95.76</v>
      </c>
      <c r="J14">
        <f t="shared" si="0"/>
        <v>94.32</v>
      </c>
      <c r="K14">
        <f t="shared" si="0"/>
        <v>91.44</v>
      </c>
      <c r="L14">
        <f t="shared" si="0"/>
        <v>95.164200000000008</v>
      </c>
    </row>
    <row r="15" spans="1:12" x14ac:dyDescent="0.3">
      <c r="A15">
        <v>300</v>
      </c>
      <c r="B15">
        <v>26.7</v>
      </c>
      <c r="C15">
        <v>26.4</v>
      </c>
      <c r="D15">
        <v>25.2</v>
      </c>
      <c r="E15">
        <v>26.106200000000001</v>
      </c>
      <c r="F15">
        <v>25</v>
      </c>
      <c r="G15">
        <v>25</v>
      </c>
      <c r="H15">
        <v>25</v>
      </c>
      <c r="I15">
        <f t="shared" si="1"/>
        <v>96.12</v>
      </c>
      <c r="J15">
        <f t="shared" si="0"/>
        <v>95.039999999999992</v>
      </c>
      <c r="K15">
        <f t="shared" si="0"/>
        <v>90.72</v>
      </c>
      <c r="L15">
        <f t="shared" si="0"/>
        <v>93.982320000000001</v>
      </c>
    </row>
    <row r="16" spans="1:12" x14ac:dyDescent="0.3">
      <c r="A16">
        <v>325</v>
      </c>
      <c r="B16">
        <v>26.8</v>
      </c>
      <c r="C16">
        <v>26.5</v>
      </c>
      <c r="D16">
        <v>25.5</v>
      </c>
      <c r="E16">
        <v>25.740100000000002</v>
      </c>
      <c r="F16">
        <v>25</v>
      </c>
      <c r="G16">
        <v>25</v>
      </c>
      <c r="H16">
        <v>25.1</v>
      </c>
      <c r="I16">
        <f t="shared" si="1"/>
        <v>96.48</v>
      </c>
      <c r="J16">
        <f t="shared" si="0"/>
        <v>95.4</v>
      </c>
      <c r="K16">
        <f t="shared" si="0"/>
        <v>91.8</v>
      </c>
      <c r="L16">
        <f t="shared" si="0"/>
        <v>92.664360000000002</v>
      </c>
    </row>
    <row r="17" spans="1:12" x14ac:dyDescent="0.3">
      <c r="A17">
        <v>350</v>
      </c>
      <c r="B17">
        <v>26.9</v>
      </c>
      <c r="C17">
        <v>26.6</v>
      </c>
      <c r="D17">
        <v>25.5</v>
      </c>
      <c r="E17">
        <v>25.5748</v>
      </c>
      <c r="F17">
        <v>25</v>
      </c>
      <c r="G17">
        <v>25</v>
      </c>
      <c r="H17">
        <v>25.2</v>
      </c>
      <c r="I17">
        <f t="shared" si="1"/>
        <v>96.84</v>
      </c>
      <c r="J17">
        <f t="shared" si="0"/>
        <v>95.76</v>
      </c>
      <c r="K17">
        <f t="shared" si="0"/>
        <v>91.8</v>
      </c>
      <c r="L17">
        <f t="shared" si="0"/>
        <v>92.069280000000006</v>
      </c>
    </row>
    <row r="18" spans="1:12" x14ac:dyDescent="0.3">
      <c r="A18">
        <v>375</v>
      </c>
      <c r="B18">
        <v>27</v>
      </c>
      <c r="C18">
        <v>26.7</v>
      </c>
      <c r="D18">
        <v>25.3</v>
      </c>
      <c r="E18">
        <v>25.419499999999999</v>
      </c>
      <c r="F18">
        <v>25</v>
      </c>
      <c r="G18">
        <v>25</v>
      </c>
      <c r="H18">
        <v>25.3</v>
      </c>
      <c r="I18">
        <f t="shared" si="1"/>
        <v>97.2</v>
      </c>
      <c r="J18">
        <f t="shared" si="0"/>
        <v>96.12</v>
      </c>
      <c r="K18">
        <f t="shared" si="0"/>
        <v>91.08</v>
      </c>
      <c r="L18">
        <f t="shared" si="0"/>
        <v>91.510199999999998</v>
      </c>
    </row>
    <row r="19" spans="1:12" x14ac:dyDescent="0.3">
      <c r="A19">
        <v>400</v>
      </c>
      <c r="B19">
        <v>27.1</v>
      </c>
      <c r="C19">
        <v>26.8</v>
      </c>
      <c r="D19">
        <v>25.1</v>
      </c>
      <c r="E19">
        <v>25.1449</v>
      </c>
      <c r="F19">
        <v>25</v>
      </c>
      <c r="G19">
        <v>25</v>
      </c>
      <c r="H19">
        <v>25.4</v>
      </c>
      <c r="I19">
        <f t="shared" si="1"/>
        <v>97.56</v>
      </c>
      <c r="J19">
        <f t="shared" si="1"/>
        <v>96.48</v>
      </c>
      <c r="K19">
        <f t="shared" si="1"/>
        <v>90.360000000000014</v>
      </c>
      <c r="L19">
        <f t="shared" si="1"/>
        <v>90.521640000000005</v>
      </c>
    </row>
    <row r="20" spans="1:12" x14ac:dyDescent="0.3">
      <c r="A20">
        <v>425</v>
      </c>
      <c r="B20">
        <v>27.2</v>
      </c>
      <c r="C20">
        <v>26.9</v>
      </c>
      <c r="D20">
        <v>25</v>
      </c>
      <c r="E20">
        <v>25.026900000000001</v>
      </c>
      <c r="F20">
        <v>25</v>
      </c>
      <c r="G20">
        <v>25</v>
      </c>
      <c r="H20">
        <v>25.5</v>
      </c>
      <c r="I20">
        <f t="shared" si="1"/>
        <v>97.92</v>
      </c>
      <c r="J20">
        <f t="shared" si="1"/>
        <v>96.84</v>
      </c>
      <c r="K20">
        <f t="shared" si="1"/>
        <v>90</v>
      </c>
      <c r="L20">
        <f t="shared" si="1"/>
        <v>90.09684</v>
      </c>
    </row>
    <row r="21" spans="1:12" x14ac:dyDescent="0.3">
      <c r="A21">
        <v>450</v>
      </c>
      <c r="B21">
        <v>27</v>
      </c>
      <c r="C21">
        <v>27</v>
      </c>
      <c r="D21">
        <v>25.1</v>
      </c>
      <c r="E21">
        <v>24.679600000000001</v>
      </c>
      <c r="F21">
        <v>25</v>
      </c>
      <c r="G21">
        <v>25</v>
      </c>
      <c r="H21">
        <v>25.6</v>
      </c>
      <c r="I21">
        <f t="shared" si="1"/>
        <v>97.2</v>
      </c>
      <c r="J21">
        <f t="shared" si="1"/>
        <v>97.2</v>
      </c>
      <c r="K21">
        <f t="shared" si="1"/>
        <v>90.360000000000014</v>
      </c>
      <c r="L21">
        <f t="shared" si="1"/>
        <v>88.846560000000011</v>
      </c>
    </row>
    <row r="22" spans="1:12" x14ac:dyDescent="0.3">
      <c r="A22">
        <v>475</v>
      </c>
      <c r="B22">
        <v>27.1</v>
      </c>
      <c r="C22">
        <v>27.1</v>
      </c>
      <c r="D22">
        <v>25.1</v>
      </c>
      <c r="E22">
        <v>24.111699999999999</v>
      </c>
      <c r="F22">
        <v>25</v>
      </c>
      <c r="G22">
        <v>25</v>
      </c>
      <c r="H22">
        <v>25.8</v>
      </c>
      <c r="I22">
        <f t="shared" si="1"/>
        <v>97.56</v>
      </c>
      <c r="J22">
        <f t="shared" si="1"/>
        <v>97.56</v>
      </c>
      <c r="K22">
        <f t="shared" si="1"/>
        <v>90.360000000000014</v>
      </c>
      <c r="L22">
        <f t="shared" si="1"/>
        <v>86.802120000000002</v>
      </c>
    </row>
    <row r="23" spans="1:12" x14ac:dyDescent="0.3">
      <c r="A23">
        <v>500</v>
      </c>
      <c r="B23">
        <v>27.2</v>
      </c>
      <c r="C23">
        <v>27.2</v>
      </c>
      <c r="D23">
        <v>25.2</v>
      </c>
      <c r="E23">
        <v>23.842400000000001</v>
      </c>
      <c r="F23">
        <v>25</v>
      </c>
      <c r="G23">
        <v>25</v>
      </c>
      <c r="H23">
        <v>25.9</v>
      </c>
      <c r="I23">
        <f t="shared" si="1"/>
        <v>97.92</v>
      </c>
      <c r="J23">
        <f t="shared" si="1"/>
        <v>97.92</v>
      </c>
      <c r="K23">
        <f t="shared" si="1"/>
        <v>90.72</v>
      </c>
      <c r="L23">
        <f t="shared" si="1"/>
        <v>85.832640000000012</v>
      </c>
    </row>
    <row r="24" spans="1:12" x14ac:dyDescent="0.3">
      <c r="A24">
        <v>525</v>
      </c>
      <c r="B24">
        <v>27</v>
      </c>
      <c r="C24">
        <v>27</v>
      </c>
      <c r="D24">
        <v>25.1</v>
      </c>
      <c r="E24">
        <v>23.645800000000001</v>
      </c>
      <c r="F24">
        <v>25</v>
      </c>
      <c r="G24">
        <v>25</v>
      </c>
      <c r="H24">
        <v>26.1</v>
      </c>
      <c r="I24">
        <f t="shared" si="1"/>
        <v>97.2</v>
      </c>
      <c r="J24">
        <f t="shared" si="1"/>
        <v>97.2</v>
      </c>
      <c r="K24">
        <f t="shared" si="1"/>
        <v>90.360000000000014</v>
      </c>
      <c r="L24">
        <f t="shared" si="1"/>
        <v>85.124880000000005</v>
      </c>
    </row>
    <row r="25" spans="1:12" x14ac:dyDescent="0.3">
      <c r="A25">
        <v>550</v>
      </c>
      <c r="B25">
        <v>27.1</v>
      </c>
      <c r="C25">
        <v>27.1</v>
      </c>
      <c r="D25">
        <v>25</v>
      </c>
      <c r="E25">
        <v>23.4087</v>
      </c>
      <c r="F25">
        <v>25</v>
      </c>
      <c r="G25">
        <v>25</v>
      </c>
      <c r="H25">
        <v>26.3</v>
      </c>
      <c r="I25">
        <f t="shared" si="1"/>
        <v>97.56</v>
      </c>
      <c r="J25">
        <f t="shared" si="1"/>
        <v>97.56</v>
      </c>
      <c r="K25">
        <f t="shared" si="1"/>
        <v>90</v>
      </c>
      <c r="L25">
        <f t="shared" si="1"/>
        <v>84.271320000000003</v>
      </c>
    </row>
    <row r="26" spans="1:12" x14ac:dyDescent="0.3">
      <c r="A26">
        <v>575</v>
      </c>
      <c r="B26">
        <v>27.2</v>
      </c>
      <c r="C26">
        <v>27.2</v>
      </c>
      <c r="D26">
        <v>25</v>
      </c>
      <c r="E26">
        <v>23.295000000000002</v>
      </c>
      <c r="F26">
        <v>25.1</v>
      </c>
      <c r="G26">
        <v>25</v>
      </c>
      <c r="H26">
        <v>26.5</v>
      </c>
      <c r="I26">
        <f t="shared" si="1"/>
        <v>97.92</v>
      </c>
      <c r="J26">
        <f t="shared" si="1"/>
        <v>97.92</v>
      </c>
      <c r="K26">
        <f t="shared" si="1"/>
        <v>90</v>
      </c>
      <c r="L26">
        <f t="shared" si="1"/>
        <v>83.862000000000009</v>
      </c>
    </row>
    <row r="27" spans="1:12" x14ac:dyDescent="0.3">
      <c r="A27">
        <v>600</v>
      </c>
      <c r="B27">
        <v>27.3</v>
      </c>
      <c r="C27">
        <v>27</v>
      </c>
      <c r="D27">
        <v>25</v>
      </c>
      <c r="E27">
        <v>23.7074</v>
      </c>
      <c r="F27">
        <v>25.2</v>
      </c>
      <c r="G27">
        <v>25</v>
      </c>
      <c r="H27">
        <v>26.7</v>
      </c>
      <c r="I27">
        <f t="shared" si="1"/>
        <v>98.28</v>
      </c>
      <c r="J27">
        <f t="shared" si="1"/>
        <v>97.2</v>
      </c>
      <c r="K27">
        <f t="shared" si="1"/>
        <v>90</v>
      </c>
      <c r="L27">
        <f t="shared" si="1"/>
        <v>85.346640000000008</v>
      </c>
    </row>
    <row r="28" spans="1:12" x14ac:dyDescent="0.3">
      <c r="A28">
        <v>625</v>
      </c>
      <c r="B28">
        <v>27.2</v>
      </c>
      <c r="C28">
        <v>27.1</v>
      </c>
      <c r="D28">
        <v>25</v>
      </c>
      <c r="E28">
        <v>24.2225</v>
      </c>
      <c r="F28">
        <v>25.3</v>
      </c>
      <c r="G28">
        <v>25</v>
      </c>
      <c r="H28">
        <v>26.9</v>
      </c>
      <c r="I28">
        <f t="shared" si="1"/>
        <v>97.92</v>
      </c>
      <c r="J28">
        <f t="shared" si="1"/>
        <v>97.56</v>
      </c>
      <c r="K28">
        <f t="shared" si="1"/>
        <v>90</v>
      </c>
      <c r="L28">
        <f t="shared" si="1"/>
        <v>87.201000000000008</v>
      </c>
    </row>
    <row r="29" spans="1:12" x14ac:dyDescent="0.3">
      <c r="A29">
        <v>650</v>
      </c>
      <c r="B29">
        <v>27.1</v>
      </c>
      <c r="C29">
        <v>27.2</v>
      </c>
      <c r="D29">
        <v>25</v>
      </c>
      <c r="E29">
        <v>24.755700000000001</v>
      </c>
      <c r="F29">
        <v>25.4</v>
      </c>
      <c r="G29">
        <v>25</v>
      </c>
      <c r="H29">
        <v>27.1</v>
      </c>
      <c r="I29">
        <f t="shared" si="1"/>
        <v>97.56</v>
      </c>
      <c r="J29">
        <f t="shared" si="1"/>
        <v>97.92</v>
      </c>
      <c r="K29">
        <f t="shared" si="1"/>
        <v>90</v>
      </c>
      <c r="L29">
        <f t="shared" si="1"/>
        <v>89.120519999999999</v>
      </c>
    </row>
    <row r="30" spans="1:12" x14ac:dyDescent="0.3">
      <c r="A30">
        <v>675</v>
      </c>
      <c r="B30">
        <v>27.2</v>
      </c>
      <c r="C30">
        <v>27.3</v>
      </c>
      <c r="D30">
        <v>25</v>
      </c>
      <c r="E30">
        <v>25.367699999999999</v>
      </c>
      <c r="F30">
        <v>25.5</v>
      </c>
      <c r="G30">
        <v>25</v>
      </c>
      <c r="H30">
        <v>27.2</v>
      </c>
      <c r="I30">
        <f t="shared" si="1"/>
        <v>97.92</v>
      </c>
      <c r="J30">
        <f t="shared" si="1"/>
        <v>98.28</v>
      </c>
      <c r="K30">
        <f t="shared" si="1"/>
        <v>90</v>
      </c>
      <c r="L30">
        <f t="shared" si="1"/>
        <v>91.323719999999994</v>
      </c>
    </row>
    <row r="31" spans="1:12" x14ac:dyDescent="0.3">
      <c r="A31">
        <v>700</v>
      </c>
      <c r="B31">
        <v>27.4</v>
      </c>
      <c r="C31">
        <v>27.1</v>
      </c>
      <c r="D31">
        <v>25</v>
      </c>
      <c r="E31">
        <v>25.879000000000001</v>
      </c>
      <c r="F31">
        <v>25.6</v>
      </c>
      <c r="G31">
        <v>25</v>
      </c>
      <c r="H31">
        <v>27.3</v>
      </c>
      <c r="I31">
        <f t="shared" si="1"/>
        <v>98.64</v>
      </c>
      <c r="J31">
        <f t="shared" si="1"/>
        <v>97.56</v>
      </c>
      <c r="K31">
        <f t="shared" si="1"/>
        <v>90</v>
      </c>
      <c r="L31">
        <f t="shared" si="1"/>
        <v>93.164400000000001</v>
      </c>
    </row>
    <row r="32" spans="1:12" x14ac:dyDescent="0.3">
      <c r="A32">
        <v>725</v>
      </c>
      <c r="B32">
        <v>27.6</v>
      </c>
      <c r="C32">
        <v>27.2</v>
      </c>
      <c r="D32">
        <v>25</v>
      </c>
      <c r="E32">
        <v>25.638300000000001</v>
      </c>
      <c r="F32">
        <v>25.7</v>
      </c>
      <c r="G32">
        <v>25</v>
      </c>
      <c r="H32">
        <v>27.4</v>
      </c>
      <c r="I32">
        <f t="shared" si="1"/>
        <v>99.360000000000014</v>
      </c>
      <c r="J32">
        <f t="shared" si="1"/>
        <v>97.92</v>
      </c>
      <c r="K32">
        <f t="shared" si="1"/>
        <v>90</v>
      </c>
      <c r="L32">
        <f t="shared" si="1"/>
        <v>92.297880000000006</v>
      </c>
    </row>
    <row r="33" spans="1:12" x14ac:dyDescent="0.3">
      <c r="A33">
        <v>750</v>
      </c>
      <c r="B33">
        <v>27.78</v>
      </c>
      <c r="C33">
        <v>27.1</v>
      </c>
      <c r="D33">
        <v>25</v>
      </c>
      <c r="E33">
        <v>25.401399999999999</v>
      </c>
      <c r="F33">
        <v>25.8</v>
      </c>
      <c r="G33">
        <v>25</v>
      </c>
      <c r="H33">
        <v>27.5</v>
      </c>
      <c r="I33">
        <f t="shared" si="1"/>
        <v>100.00800000000001</v>
      </c>
      <c r="J33">
        <f t="shared" si="1"/>
        <v>97.56</v>
      </c>
      <c r="K33">
        <f t="shared" si="1"/>
        <v>90</v>
      </c>
      <c r="L33">
        <f t="shared" si="1"/>
        <v>91.445039999999992</v>
      </c>
    </row>
    <row r="34" spans="1:12" x14ac:dyDescent="0.3">
      <c r="A34">
        <v>775</v>
      </c>
      <c r="B34">
        <v>27.6</v>
      </c>
      <c r="C34">
        <v>27.2</v>
      </c>
      <c r="D34">
        <v>25</v>
      </c>
      <c r="E34">
        <v>25.510999999999999</v>
      </c>
      <c r="F34">
        <v>25.9</v>
      </c>
      <c r="G34">
        <v>25</v>
      </c>
      <c r="H34">
        <v>27.6</v>
      </c>
      <c r="I34">
        <f t="shared" si="1"/>
        <v>99.360000000000014</v>
      </c>
      <c r="J34">
        <f t="shared" si="1"/>
        <v>97.92</v>
      </c>
      <c r="K34">
        <f t="shared" si="1"/>
        <v>90</v>
      </c>
      <c r="L34">
        <f t="shared" si="1"/>
        <v>91.839600000000004</v>
      </c>
    </row>
    <row r="35" spans="1:12" x14ac:dyDescent="0.3">
      <c r="A35">
        <v>800</v>
      </c>
      <c r="B35">
        <v>27.4</v>
      </c>
      <c r="C35">
        <v>27.1</v>
      </c>
      <c r="D35">
        <v>25</v>
      </c>
      <c r="E35">
        <v>25.6007</v>
      </c>
      <c r="F35">
        <v>26</v>
      </c>
      <c r="G35">
        <v>25</v>
      </c>
      <c r="H35">
        <v>27.7</v>
      </c>
      <c r="I35">
        <f t="shared" si="1"/>
        <v>98.64</v>
      </c>
      <c r="J35">
        <f t="shared" si="1"/>
        <v>97.56</v>
      </c>
      <c r="K35">
        <f t="shared" si="1"/>
        <v>90</v>
      </c>
      <c r="L35">
        <f t="shared" si="1"/>
        <v>92.162520000000001</v>
      </c>
    </row>
    <row r="36" spans="1:12" x14ac:dyDescent="0.3">
      <c r="A36">
        <v>825</v>
      </c>
      <c r="B36">
        <v>27.2</v>
      </c>
      <c r="C36">
        <v>27.2</v>
      </c>
      <c r="D36">
        <v>25</v>
      </c>
      <c r="E36">
        <v>25.081600000000002</v>
      </c>
      <c r="F36">
        <v>26.2</v>
      </c>
      <c r="G36">
        <v>25</v>
      </c>
      <c r="H36">
        <v>27.78</v>
      </c>
      <c r="I36">
        <f t="shared" si="1"/>
        <v>97.92</v>
      </c>
      <c r="J36">
        <f t="shared" si="1"/>
        <v>97.92</v>
      </c>
      <c r="K36">
        <f t="shared" si="1"/>
        <v>90</v>
      </c>
      <c r="L36">
        <f t="shared" si="1"/>
        <v>90.293760000000006</v>
      </c>
    </row>
    <row r="37" spans="1:12" x14ac:dyDescent="0.3">
      <c r="A37">
        <v>850</v>
      </c>
      <c r="B37">
        <v>27</v>
      </c>
      <c r="C37">
        <v>27</v>
      </c>
      <c r="D37">
        <v>25</v>
      </c>
      <c r="E37">
        <v>24.657</v>
      </c>
      <c r="F37">
        <v>26.3</v>
      </c>
      <c r="G37">
        <v>25</v>
      </c>
      <c r="H37">
        <v>27.78</v>
      </c>
      <c r="I37">
        <f t="shared" si="1"/>
        <v>97.2</v>
      </c>
      <c r="J37">
        <f t="shared" si="1"/>
        <v>97.2</v>
      </c>
      <c r="K37">
        <f t="shared" si="1"/>
        <v>90</v>
      </c>
      <c r="L37">
        <f t="shared" si="1"/>
        <v>88.765200000000007</v>
      </c>
    </row>
    <row r="38" spans="1:12" x14ac:dyDescent="0.3">
      <c r="A38">
        <v>875</v>
      </c>
      <c r="B38">
        <v>27.1</v>
      </c>
      <c r="C38">
        <v>27.1</v>
      </c>
      <c r="D38">
        <v>25</v>
      </c>
      <c r="E38">
        <v>24.337700000000002</v>
      </c>
      <c r="F38">
        <v>26.5</v>
      </c>
      <c r="G38">
        <v>25</v>
      </c>
      <c r="H38">
        <v>27.78</v>
      </c>
      <c r="I38">
        <f t="shared" si="1"/>
        <v>97.56</v>
      </c>
      <c r="J38">
        <f t="shared" si="1"/>
        <v>97.56</v>
      </c>
      <c r="K38">
        <f t="shared" si="1"/>
        <v>90</v>
      </c>
      <c r="L38">
        <f t="shared" si="1"/>
        <v>87.61572000000001</v>
      </c>
    </row>
    <row r="39" spans="1:12" x14ac:dyDescent="0.3">
      <c r="A39">
        <v>900</v>
      </c>
      <c r="B39">
        <v>27.2</v>
      </c>
      <c r="C39">
        <v>27.2</v>
      </c>
      <c r="D39">
        <v>25</v>
      </c>
      <c r="E39">
        <v>23.87</v>
      </c>
      <c r="F39">
        <v>26.6</v>
      </c>
      <c r="G39">
        <v>25</v>
      </c>
      <c r="H39">
        <v>27.78</v>
      </c>
      <c r="I39">
        <f t="shared" si="1"/>
        <v>97.92</v>
      </c>
      <c r="J39">
        <f t="shared" si="1"/>
        <v>97.92</v>
      </c>
      <c r="K39">
        <f t="shared" si="1"/>
        <v>90</v>
      </c>
      <c r="L39">
        <f t="shared" si="1"/>
        <v>85.932000000000002</v>
      </c>
    </row>
    <row r="40" spans="1:12" x14ac:dyDescent="0.3">
      <c r="A40">
        <v>925</v>
      </c>
      <c r="B40">
        <v>27.3</v>
      </c>
      <c r="C40">
        <v>27.1</v>
      </c>
      <c r="D40">
        <v>25.2</v>
      </c>
      <c r="E40">
        <v>23.325199999999999</v>
      </c>
      <c r="F40">
        <v>26.7</v>
      </c>
      <c r="G40">
        <v>25</v>
      </c>
      <c r="H40">
        <v>27.78</v>
      </c>
      <c r="I40">
        <f t="shared" si="1"/>
        <v>98.28</v>
      </c>
      <c r="J40">
        <f t="shared" si="1"/>
        <v>97.56</v>
      </c>
      <c r="K40">
        <f t="shared" si="1"/>
        <v>90.72</v>
      </c>
      <c r="L40">
        <f t="shared" si="1"/>
        <v>83.97072</v>
      </c>
    </row>
    <row r="41" spans="1:12" x14ac:dyDescent="0.3">
      <c r="A41">
        <v>950</v>
      </c>
      <c r="B41">
        <v>27.4</v>
      </c>
      <c r="C41">
        <v>27.2</v>
      </c>
      <c r="D41">
        <v>25.3</v>
      </c>
      <c r="E41">
        <v>22.822700000000001</v>
      </c>
      <c r="F41">
        <v>26.8</v>
      </c>
      <c r="G41">
        <v>25</v>
      </c>
      <c r="H41">
        <v>27.78</v>
      </c>
      <c r="I41">
        <f t="shared" si="1"/>
        <v>98.64</v>
      </c>
      <c r="J41">
        <f t="shared" si="1"/>
        <v>97.92</v>
      </c>
      <c r="K41">
        <f t="shared" si="1"/>
        <v>91.08</v>
      </c>
      <c r="L41">
        <f t="shared" si="1"/>
        <v>82.161720000000003</v>
      </c>
    </row>
    <row r="42" spans="1:12" x14ac:dyDescent="0.3">
      <c r="A42">
        <v>975</v>
      </c>
      <c r="B42">
        <v>27.2</v>
      </c>
      <c r="C42">
        <v>27.1</v>
      </c>
      <c r="D42">
        <v>25.3</v>
      </c>
      <c r="E42">
        <v>22.228200000000001</v>
      </c>
      <c r="F42">
        <v>26.9</v>
      </c>
      <c r="G42">
        <v>25</v>
      </c>
      <c r="H42">
        <v>27.78</v>
      </c>
      <c r="I42">
        <f t="shared" si="1"/>
        <v>97.92</v>
      </c>
      <c r="J42">
        <f t="shared" si="1"/>
        <v>97.56</v>
      </c>
      <c r="K42">
        <f t="shared" si="1"/>
        <v>91.08</v>
      </c>
      <c r="L42">
        <f t="shared" si="1"/>
        <v>80.02152000000001</v>
      </c>
    </row>
    <row r="43" spans="1:12" x14ac:dyDescent="0.3">
      <c r="A43">
        <v>1000</v>
      </c>
      <c r="B43">
        <v>27</v>
      </c>
      <c r="C43">
        <v>27.2</v>
      </c>
      <c r="D43">
        <v>25.3</v>
      </c>
      <c r="E43">
        <v>21.794899999999998</v>
      </c>
      <c r="F43">
        <v>27</v>
      </c>
      <c r="G43">
        <v>25</v>
      </c>
      <c r="H43">
        <v>27.78</v>
      </c>
      <c r="I43">
        <f t="shared" si="1"/>
        <v>97.2</v>
      </c>
      <c r="J43">
        <f t="shared" si="1"/>
        <v>97.92</v>
      </c>
      <c r="K43">
        <f t="shared" si="1"/>
        <v>91.08</v>
      </c>
      <c r="L43">
        <f t="shared" si="1"/>
        <v>78.461640000000003</v>
      </c>
    </row>
    <row r="44" spans="1:12" x14ac:dyDescent="0.3">
      <c r="A44">
        <v>1025</v>
      </c>
      <c r="B44">
        <v>26.8</v>
      </c>
      <c r="C44">
        <v>27.1</v>
      </c>
      <c r="D44">
        <v>25.4</v>
      </c>
      <c r="E44">
        <v>21.5349</v>
      </c>
      <c r="F44">
        <v>27.1</v>
      </c>
      <c r="G44">
        <v>25</v>
      </c>
      <c r="H44">
        <v>27.78</v>
      </c>
      <c r="I44">
        <f t="shared" si="1"/>
        <v>96.48</v>
      </c>
      <c r="J44">
        <f t="shared" si="1"/>
        <v>97.56</v>
      </c>
      <c r="K44">
        <f t="shared" si="1"/>
        <v>91.44</v>
      </c>
      <c r="L44">
        <f t="shared" si="1"/>
        <v>77.52564000000001</v>
      </c>
    </row>
    <row r="45" spans="1:12" x14ac:dyDescent="0.3">
      <c r="A45">
        <v>1050</v>
      </c>
      <c r="B45">
        <v>26.6</v>
      </c>
      <c r="C45">
        <v>27.2</v>
      </c>
      <c r="D45">
        <v>25.7</v>
      </c>
      <c r="E45">
        <v>21.363800000000001</v>
      </c>
      <c r="F45">
        <v>27.2</v>
      </c>
      <c r="G45">
        <v>25</v>
      </c>
      <c r="H45">
        <v>27.78</v>
      </c>
      <c r="I45">
        <f t="shared" si="1"/>
        <v>95.76</v>
      </c>
      <c r="J45">
        <f t="shared" si="1"/>
        <v>97.92</v>
      </c>
      <c r="K45">
        <f t="shared" si="1"/>
        <v>92.52</v>
      </c>
      <c r="L45">
        <f t="shared" si="1"/>
        <v>76.909680000000009</v>
      </c>
    </row>
    <row r="46" spans="1:12" x14ac:dyDescent="0.3">
      <c r="A46">
        <v>1075</v>
      </c>
      <c r="B46">
        <v>26.4</v>
      </c>
      <c r="C46">
        <v>27.1</v>
      </c>
      <c r="D46">
        <v>25.8</v>
      </c>
      <c r="E46">
        <v>21.668099999999999</v>
      </c>
      <c r="F46">
        <v>27.3</v>
      </c>
      <c r="G46">
        <v>25</v>
      </c>
      <c r="H46">
        <v>27.7</v>
      </c>
      <c r="I46">
        <f t="shared" si="1"/>
        <v>95.039999999999992</v>
      </c>
      <c r="J46">
        <f t="shared" si="1"/>
        <v>97.56</v>
      </c>
      <c r="K46">
        <f t="shared" si="1"/>
        <v>92.88000000000001</v>
      </c>
      <c r="L46">
        <f t="shared" si="1"/>
        <v>78.005160000000004</v>
      </c>
    </row>
    <row r="47" spans="1:12" x14ac:dyDescent="0.3">
      <c r="A47">
        <v>1100</v>
      </c>
      <c r="B47">
        <v>26.2</v>
      </c>
      <c r="C47">
        <v>27.2</v>
      </c>
      <c r="D47">
        <v>25.9</v>
      </c>
      <c r="E47">
        <v>21.930800000000001</v>
      </c>
      <c r="F47">
        <v>27.4</v>
      </c>
      <c r="G47">
        <v>25.1</v>
      </c>
      <c r="H47">
        <v>27.6</v>
      </c>
      <c r="I47">
        <f t="shared" si="1"/>
        <v>94.32</v>
      </c>
      <c r="J47">
        <f t="shared" si="1"/>
        <v>97.92</v>
      </c>
      <c r="K47">
        <f t="shared" si="1"/>
        <v>93.24</v>
      </c>
      <c r="L47">
        <f t="shared" si="1"/>
        <v>78.950880000000012</v>
      </c>
    </row>
    <row r="48" spans="1:12" x14ac:dyDescent="0.3">
      <c r="A48">
        <v>1125</v>
      </c>
      <c r="B48">
        <v>26</v>
      </c>
      <c r="C48">
        <v>27.1</v>
      </c>
      <c r="D48">
        <v>26.2</v>
      </c>
      <c r="E48">
        <v>22.420200000000001</v>
      </c>
      <c r="F48">
        <v>27.5</v>
      </c>
      <c r="G48">
        <v>25.2</v>
      </c>
      <c r="H48">
        <v>27.5</v>
      </c>
      <c r="I48">
        <f t="shared" si="1"/>
        <v>93.600000000000009</v>
      </c>
      <c r="J48">
        <f t="shared" si="1"/>
        <v>97.56</v>
      </c>
      <c r="K48">
        <f t="shared" si="1"/>
        <v>94.32</v>
      </c>
      <c r="L48">
        <f t="shared" si="1"/>
        <v>80.712720000000004</v>
      </c>
    </row>
    <row r="49" spans="1:12" x14ac:dyDescent="0.3">
      <c r="A49">
        <v>1150</v>
      </c>
      <c r="B49">
        <v>25.8</v>
      </c>
      <c r="C49">
        <v>27.2</v>
      </c>
      <c r="D49">
        <v>26.4</v>
      </c>
      <c r="E49">
        <v>23.0274</v>
      </c>
      <c r="F49">
        <v>27.6</v>
      </c>
      <c r="G49">
        <v>25.3</v>
      </c>
      <c r="H49">
        <v>27.4</v>
      </c>
      <c r="I49">
        <f t="shared" si="1"/>
        <v>92.88000000000001</v>
      </c>
      <c r="J49">
        <f t="shared" si="1"/>
        <v>97.92</v>
      </c>
      <c r="K49">
        <f t="shared" si="1"/>
        <v>95.039999999999992</v>
      </c>
      <c r="L49">
        <f t="shared" si="1"/>
        <v>82.89864</v>
      </c>
    </row>
    <row r="50" spans="1:12" x14ac:dyDescent="0.3">
      <c r="A50">
        <v>1175</v>
      </c>
      <c r="B50">
        <v>25.6</v>
      </c>
      <c r="C50">
        <v>27.4</v>
      </c>
      <c r="D50">
        <v>26.5</v>
      </c>
      <c r="E50">
        <v>22.8812</v>
      </c>
      <c r="F50">
        <v>27.7</v>
      </c>
      <c r="G50">
        <v>25.4</v>
      </c>
      <c r="H50">
        <v>27.3</v>
      </c>
      <c r="I50">
        <f t="shared" si="1"/>
        <v>92.160000000000011</v>
      </c>
      <c r="J50">
        <f t="shared" si="1"/>
        <v>98.64</v>
      </c>
      <c r="K50">
        <f t="shared" si="1"/>
        <v>95.4</v>
      </c>
      <c r="L50">
        <f t="shared" si="1"/>
        <v>82.372320000000002</v>
      </c>
    </row>
    <row r="51" spans="1:12" x14ac:dyDescent="0.3">
      <c r="A51">
        <v>1200</v>
      </c>
      <c r="B51">
        <v>25.4</v>
      </c>
      <c r="C51">
        <v>27.3</v>
      </c>
      <c r="D51">
        <v>26.6</v>
      </c>
      <c r="E51">
        <v>22.619299999999999</v>
      </c>
      <c r="F51">
        <v>27.78</v>
      </c>
      <c r="G51">
        <v>25.5</v>
      </c>
      <c r="H51">
        <v>27.2</v>
      </c>
      <c r="I51">
        <f t="shared" si="1"/>
        <v>91.44</v>
      </c>
      <c r="J51">
        <f t="shared" si="1"/>
        <v>98.28</v>
      </c>
      <c r="K51">
        <f t="shared" si="1"/>
        <v>95.76</v>
      </c>
      <c r="L51">
        <f t="shared" si="1"/>
        <v>81.429479999999998</v>
      </c>
    </row>
    <row r="52" spans="1:12" x14ac:dyDescent="0.3">
      <c r="A52">
        <v>1225</v>
      </c>
      <c r="B52">
        <v>25.2</v>
      </c>
      <c r="C52">
        <v>27.5</v>
      </c>
      <c r="D52">
        <v>26.4</v>
      </c>
      <c r="E52">
        <v>22.8628</v>
      </c>
      <c r="F52">
        <v>27.78</v>
      </c>
      <c r="G52">
        <v>25.6</v>
      </c>
      <c r="H52">
        <v>27.1</v>
      </c>
      <c r="I52">
        <f t="shared" si="1"/>
        <v>90.72</v>
      </c>
      <c r="J52">
        <f t="shared" si="1"/>
        <v>99</v>
      </c>
      <c r="K52">
        <f t="shared" si="1"/>
        <v>95.039999999999992</v>
      </c>
      <c r="L52">
        <f t="shared" si="1"/>
        <v>82.306080000000009</v>
      </c>
    </row>
    <row r="53" spans="1:12" x14ac:dyDescent="0.3">
      <c r="A53">
        <v>1250</v>
      </c>
      <c r="B53">
        <v>25</v>
      </c>
      <c r="C53">
        <v>27.7</v>
      </c>
      <c r="D53">
        <v>26.4</v>
      </c>
      <c r="E53">
        <v>22.694199999999999</v>
      </c>
      <c r="F53">
        <v>27.78</v>
      </c>
      <c r="G53">
        <v>25.7</v>
      </c>
      <c r="H53">
        <v>27</v>
      </c>
      <c r="I53">
        <f t="shared" si="1"/>
        <v>90</v>
      </c>
      <c r="J53">
        <f t="shared" si="1"/>
        <v>99.72</v>
      </c>
      <c r="K53">
        <f t="shared" si="1"/>
        <v>95.039999999999992</v>
      </c>
      <c r="L53">
        <f t="shared" si="1"/>
        <v>81.699119999999994</v>
      </c>
    </row>
    <row r="54" spans="1:12" x14ac:dyDescent="0.3">
      <c r="A54">
        <v>1275</v>
      </c>
      <c r="B54">
        <v>25.2</v>
      </c>
      <c r="C54">
        <v>27.5</v>
      </c>
      <c r="D54">
        <v>26.6</v>
      </c>
      <c r="E54">
        <v>23.102799999999998</v>
      </c>
      <c r="F54">
        <v>27.78</v>
      </c>
      <c r="G54">
        <v>25.8</v>
      </c>
      <c r="H54">
        <v>26.8</v>
      </c>
      <c r="I54">
        <f t="shared" si="1"/>
        <v>90.72</v>
      </c>
      <c r="J54">
        <f t="shared" si="1"/>
        <v>99</v>
      </c>
      <c r="K54">
        <f t="shared" si="1"/>
        <v>95.76</v>
      </c>
      <c r="L54">
        <f t="shared" si="1"/>
        <v>83.170079999999999</v>
      </c>
    </row>
    <row r="55" spans="1:12" x14ac:dyDescent="0.3">
      <c r="A55">
        <v>1300</v>
      </c>
      <c r="B55">
        <v>25</v>
      </c>
      <c r="C55">
        <v>27.3</v>
      </c>
      <c r="D55">
        <v>26.7</v>
      </c>
      <c r="E55">
        <v>23.748100000000001</v>
      </c>
      <c r="F55">
        <v>27.78</v>
      </c>
      <c r="G55">
        <v>25.9</v>
      </c>
      <c r="H55">
        <v>26.6</v>
      </c>
      <c r="I55">
        <f t="shared" si="1"/>
        <v>90</v>
      </c>
      <c r="J55">
        <f t="shared" si="1"/>
        <v>98.28</v>
      </c>
      <c r="K55">
        <f t="shared" si="1"/>
        <v>96.12</v>
      </c>
      <c r="L55">
        <f t="shared" si="1"/>
        <v>85.493160000000003</v>
      </c>
    </row>
    <row r="56" spans="1:12" x14ac:dyDescent="0.3">
      <c r="A56">
        <v>1325</v>
      </c>
      <c r="B56">
        <v>25</v>
      </c>
      <c r="C56">
        <v>27.5</v>
      </c>
      <c r="D56">
        <v>26.9</v>
      </c>
      <c r="E56">
        <v>24.0242</v>
      </c>
      <c r="F56">
        <v>27.78</v>
      </c>
      <c r="G56">
        <v>26</v>
      </c>
      <c r="H56">
        <v>26.4</v>
      </c>
      <c r="I56">
        <f t="shared" si="1"/>
        <v>90</v>
      </c>
      <c r="J56">
        <f t="shared" si="1"/>
        <v>99</v>
      </c>
      <c r="K56">
        <f t="shared" si="1"/>
        <v>96.84</v>
      </c>
      <c r="L56">
        <f t="shared" si="1"/>
        <v>86.487120000000004</v>
      </c>
    </row>
    <row r="57" spans="1:12" x14ac:dyDescent="0.3">
      <c r="A57">
        <v>1350</v>
      </c>
      <c r="B57">
        <v>25</v>
      </c>
      <c r="C57">
        <v>27.3</v>
      </c>
      <c r="D57">
        <v>27.1</v>
      </c>
      <c r="E57">
        <v>23.962599999999998</v>
      </c>
      <c r="F57">
        <v>27.78</v>
      </c>
      <c r="G57">
        <v>26.1</v>
      </c>
      <c r="H57">
        <v>26.2</v>
      </c>
      <c r="I57">
        <f t="shared" si="1"/>
        <v>90</v>
      </c>
      <c r="J57">
        <f t="shared" si="1"/>
        <v>98.28</v>
      </c>
      <c r="K57">
        <f t="shared" si="1"/>
        <v>97.56</v>
      </c>
      <c r="L57">
        <f t="shared" si="1"/>
        <v>86.265360000000001</v>
      </c>
    </row>
    <row r="58" spans="1:12" x14ac:dyDescent="0.3">
      <c r="A58">
        <v>1375</v>
      </c>
      <c r="B58">
        <v>25</v>
      </c>
      <c r="C58">
        <v>27.5</v>
      </c>
      <c r="D58">
        <v>26.9</v>
      </c>
      <c r="E58">
        <v>23.855499999999999</v>
      </c>
      <c r="F58">
        <v>27.78</v>
      </c>
      <c r="G58">
        <v>26.2</v>
      </c>
      <c r="H58">
        <v>26.1</v>
      </c>
      <c r="I58">
        <f t="shared" si="1"/>
        <v>90</v>
      </c>
      <c r="J58">
        <f t="shared" si="1"/>
        <v>99</v>
      </c>
      <c r="K58">
        <f t="shared" si="1"/>
        <v>96.84</v>
      </c>
      <c r="L58">
        <f t="shared" si="1"/>
        <v>85.879800000000003</v>
      </c>
    </row>
    <row r="59" spans="1:12" x14ac:dyDescent="0.3">
      <c r="A59">
        <v>1400</v>
      </c>
      <c r="B59">
        <v>25</v>
      </c>
      <c r="C59">
        <v>27.3</v>
      </c>
      <c r="D59">
        <v>26.7</v>
      </c>
      <c r="E59">
        <v>24.129200000000001</v>
      </c>
      <c r="F59">
        <v>27.78</v>
      </c>
      <c r="G59">
        <v>26.3</v>
      </c>
      <c r="H59">
        <v>26</v>
      </c>
      <c r="I59">
        <f t="shared" si="1"/>
        <v>90</v>
      </c>
      <c r="J59">
        <f t="shared" si="1"/>
        <v>98.28</v>
      </c>
      <c r="K59">
        <f t="shared" si="1"/>
        <v>96.12</v>
      </c>
      <c r="L59">
        <f t="shared" si="1"/>
        <v>86.865120000000005</v>
      </c>
    </row>
    <row r="60" spans="1:12" x14ac:dyDescent="0.3">
      <c r="A60">
        <v>1425</v>
      </c>
      <c r="B60">
        <v>25</v>
      </c>
      <c r="C60">
        <v>27.5</v>
      </c>
      <c r="D60">
        <v>26.5</v>
      </c>
      <c r="E60">
        <v>24.544599999999999</v>
      </c>
      <c r="F60">
        <v>27.78</v>
      </c>
      <c r="G60">
        <v>26.4</v>
      </c>
      <c r="H60">
        <v>25.9</v>
      </c>
      <c r="I60">
        <f t="shared" si="1"/>
        <v>90</v>
      </c>
      <c r="J60">
        <f t="shared" si="1"/>
        <v>99</v>
      </c>
      <c r="K60">
        <f t="shared" si="1"/>
        <v>95.4</v>
      </c>
      <c r="L60">
        <f t="shared" si="1"/>
        <v>88.360559999999992</v>
      </c>
    </row>
    <row r="61" spans="1:12" x14ac:dyDescent="0.3">
      <c r="A61">
        <v>1450</v>
      </c>
      <c r="B61">
        <v>25</v>
      </c>
      <c r="C61">
        <v>27.3</v>
      </c>
      <c r="D61">
        <v>26.3</v>
      </c>
      <c r="E61">
        <v>25.037299999999998</v>
      </c>
      <c r="F61">
        <v>27.7</v>
      </c>
      <c r="G61">
        <v>26.5</v>
      </c>
      <c r="H61">
        <v>25.8</v>
      </c>
      <c r="I61">
        <f t="shared" si="1"/>
        <v>90</v>
      </c>
      <c r="J61">
        <f t="shared" si="1"/>
        <v>98.28</v>
      </c>
      <c r="K61">
        <f t="shared" si="1"/>
        <v>94.68</v>
      </c>
      <c r="L61">
        <f t="shared" si="1"/>
        <v>90.13427999999999</v>
      </c>
    </row>
    <row r="62" spans="1:12" x14ac:dyDescent="0.3">
      <c r="A62">
        <v>1475</v>
      </c>
      <c r="B62">
        <v>25</v>
      </c>
      <c r="C62">
        <v>27.3</v>
      </c>
      <c r="D62">
        <v>26.1</v>
      </c>
      <c r="E62">
        <v>25.041699999999999</v>
      </c>
      <c r="F62">
        <v>27.7</v>
      </c>
      <c r="G62">
        <v>26.6</v>
      </c>
      <c r="H62">
        <v>25.7</v>
      </c>
      <c r="I62">
        <f t="shared" si="1"/>
        <v>90</v>
      </c>
      <c r="J62">
        <f t="shared" si="1"/>
        <v>98.28</v>
      </c>
      <c r="K62">
        <f t="shared" si="1"/>
        <v>93.960000000000008</v>
      </c>
      <c r="L62">
        <f t="shared" si="1"/>
        <v>90.150120000000001</v>
      </c>
    </row>
    <row r="63" spans="1:12" x14ac:dyDescent="0.3">
      <c r="A63">
        <v>1500</v>
      </c>
      <c r="B63">
        <v>25.3</v>
      </c>
      <c r="C63">
        <v>27.3</v>
      </c>
      <c r="D63">
        <v>25.9</v>
      </c>
      <c r="E63">
        <v>24.810300000000002</v>
      </c>
      <c r="F63">
        <v>27.7</v>
      </c>
      <c r="G63">
        <v>26.7</v>
      </c>
      <c r="H63">
        <v>25.6</v>
      </c>
      <c r="I63">
        <f t="shared" si="1"/>
        <v>91.08</v>
      </c>
      <c r="J63">
        <f t="shared" si="1"/>
        <v>98.28</v>
      </c>
      <c r="K63">
        <f t="shared" si="1"/>
        <v>93.24</v>
      </c>
      <c r="L63">
        <f t="shared" si="1"/>
        <v>89.317080000000004</v>
      </c>
    </row>
    <row r="64" spans="1:12" x14ac:dyDescent="0.3">
      <c r="A64">
        <v>1525</v>
      </c>
      <c r="B64">
        <v>25.4</v>
      </c>
      <c r="C64">
        <v>27.5</v>
      </c>
      <c r="D64">
        <v>25.6</v>
      </c>
      <c r="E64">
        <v>24.5215</v>
      </c>
      <c r="F64">
        <v>27.6</v>
      </c>
      <c r="G64">
        <v>26.8</v>
      </c>
      <c r="H64">
        <v>25.5</v>
      </c>
      <c r="I64">
        <f t="shared" si="1"/>
        <v>91.44</v>
      </c>
      <c r="J64">
        <f t="shared" si="1"/>
        <v>99</v>
      </c>
      <c r="K64">
        <f t="shared" si="1"/>
        <v>92.160000000000011</v>
      </c>
      <c r="L64">
        <f t="shared" si="1"/>
        <v>88.2774</v>
      </c>
    </row>
    <row r="65" spans="1:12" x14ac:dyDescent="0.3">
      <c r="A65">
        <v>1550</v>
      </c>
      <c r="B65">
        <v>25.3</v>
      </c>
      <c r="C65">
        <v>27.5</v>
      </c>
      <c r="D65">
        <v>25.4</v>
      </c>
      <c r="E65">
        <v>24.2958</v>
      </c>
      <c r="F65">
        <v>27.5</v>
      </c>
      <c r="G65">
        <v>26.9</v>
      </c>
      <c r="H65">
        <v>25.4</v>
      </c>
      <c r="I65">
        <f t="shared" si="1"/>
        <v>91.08</v>
      </c>
      <c r="J65">
        <f t="shared" si="1"/>
        <v>99</v>
      </c>
      <c r="K65">
        <f t="shared" si="1"/>
        <v>91.44</v>
      </c>
      <c r="L65">
        <f t="shared" si="1"/>
        <v>87.464880000000008</v>
      </c>
    </row>
    <row r="66" spans="1:12" x14ac:dyDescent="0.3">
      <c r="A66">
        <v>1575</v>
      </c>
      <c r="B66">
        <v>25.3</v>
      </c>
      <c r="C66">
        <v>27.4</v>
      </c>
      <c r="D66">
        <v>25.2</v>
      </c>
      <c r="E66">
        <v>24.392099999999999</v>
      </c>
      <c r="F66">
        <v>27.4</v>
      </c>
      <c r="G66">
        <v>27</v>
      </c>
      <c r="H66">
        <v>25.3</v>
      </c>
      <c r="I66">
        <f t="shared" si="1"/>
        <v>91.08</v>
      </c>
      <c r="J66">
        <f t="shared" si="1"/>
        <v>98.64</v>
      </c>
      <c r="K66">
        <f t="shared" si="1"/>
        <v>90.72</v>
      </c>
      <c r="L66">
        <f t="shared" si="1"/>
        <v>87.81156</v>
      </c>
    </row>
    <row r="67" spans="1:12" x14ac:dyDescent="0.3">
      <c r="A67">
        <v>1600</v>
      </c>
      <c r="B67">
        <v>25.3</v>
      </c>
      <c r="C67">
        <v>27.3</v>
      </c>
      <c r="D67">
        <v>25</v>
      </c>
      <c r="E67">
        <v>24.715399999999999</v>
      </c>
      <c r="F67">
        <v>27.3</v>
      </c>
      <c r="G67">
        <v>27.1</v>
      </c>
      <c r="H67">
        <v>25.2</v>
      </c>
      <c r="I67">
        <f t="shared" si="1"/>
        <v>91.08</v>
      </c>
      <c r="J67">
        <f t="shared" si="1"/>
        <v>98.28</v>
      </c>
      <c r="K67">
        <f t="shared" si="1"/>
        <v>90</v>
      </c>
      <c r="L67">
        <f t="shared" si="1"/>
        <v>88.975439999999992</v>
      </c>
    </row>
    <row r="68" spans="1:12" x14ac:dyDescent="0.3">
      <c r="A68">
        <v>1625</v>
      </c>
      <c r="B68">
        <v>25.3</v>
      </c>
      <c r="C68">
        <v>27.5</v>
      </c>
      <c r="D68">
        <v>25</v>
      </c>
      <c r="E68">
        <v>25.017700000000001</v>
      </c>
      <c r="F68">
        <v>27.2</v>
      </c>
      <c r="G68">
        <v>27.2</v>
      </c>
      <c r="H68">
        <v>25.2</v>
      </c>
      <c r="I68">
        <f t="shared" ref="I68:L131" si="2">B68*3.6</f>
        <v>91.08</v>
      </c>
      <c r="J68">
        <f t="shared" si="2"/>
        <v>99</v>
      </c>
      <c r="K68">
        <f t="shared" si="2"/>
        <v>90</v>
      </c>
      <c r="L68">
        <f t="shared" si="2"/>
        <v>90.063720000000004</v>
      </c>
    </row>
    <row r="69" spans="1:12" x14ac:dyDescent="0.3">
      <c r="A69">
        <v>1650</v>
      </c>
      <c r="B69">
        <v>25.3</v>
      </c>
      <c r="C69">
        <v>27.7</v>
      </c>
      <c r="D69">
        <v>25.2</v>
      </c>
      <c r="E69">
        <v>25.214700000000001</v>
      </c>
      <c r="F69">
        <v>27.1</v>
      </c>
      <c r="G69">
        <v>27.3</v>
      </c>
      <c r="H69">
        <v>25.2</v>
      </c>
      <c r="I69">
        <f t="shared" si="2"/>
        <v>91.08</v>
      </c>
      <c r="J69">
        <f t="shared" si="2"/>
        <v>99.72</v>
      </c>
      <c r="K69">
        <f t="shared" si="2"/>
        <v>90.72</v>
      </c>
      <c r="L69">
        <f t="shared" si="2"/>
        <v>90.772919999999999</v>
      </c>
    </row>
    <row r="70" spans="1:12" x14ac:dyDescent="0.3">
      <c r="A70">
        <v>1675</v>
      </c>
      <c r="B70">
        <v>25.3</v>
      </c>
      <c r="C70">
        <v>27.6</v>
      </c>
      <c r="D70">
        <v>25</v>
      </c>
      <c r="E70">
        <v>25.0519</v>
      </c>
      <c r="F70">
        <v>27</v>
      </c>
      <c r="G70">
        <v>27.4</v>
      </c>
      <c r="H70">
        <v>25.2</v>
      </c>
      <c r="I70">
        <f t="shared" si="2"/>
        <v>91.08</v>
      </c>
      <c r="J70">
        <f t="shared" si="2"/>
        <v>99.360000000000014</v>
      </c>
      <c r="K70">
        <f t="shared" si="2"/>
        <v>90</v>
      </c>
      <c r="L70">
        <f t="shared" si="2"/>
        <v>90.186840000000004</v>
      </c>
    </row>
    <row r="71" spans="1:12" x14ac:dyDescent="0.3">
      <c r="A71">
        <v>1700</v>
      </c>
      <c r="B71">
        <v>25.3</v>
      </c>
      <c r="C71">
        <v>27.5</v>
      </c>
      <c r="D71">
        <v>25.2</v>
      </c>
      <c r="E71">
        <v>25.0884</v>
      </c>
      <c r="F71">
        <v>26.9</v>
      </c>
      <c r="G71">
        <v>27.5</v>
      </c>
      <c r="H71">
        <v>25.2</v>
      </c>
      <c r="I71">
        <f t="shared" si="2"/>
        <v>91.08</v>
      </c>
      <c r="J71">
        <f t="shared" si="2"/>
        <v>99</v>
      </c>
      <c r="K71">
        <f t="shared" si="2"/>
        <v>90.72</v>
      </c>
      <c r="L71">
        <f t="shared" si="2"/>
        <v>90.318240000000003</v>
      </c>
    </row>
    <row r="72" spans="1:12" x14ac:dyDescent="0.3">
      <c r="A72">
        <v>1725</v>
      </c>
      <c r="B72">
        <v>25.3</v>
      </c>
      <c r="C72">
        <v>27.4</v>
      </c>
      <c r="D72">
        <v>25.1</v>
      </c>
      <c r="E72">
        <v>25.44</v>
      </c>
      <c r="F72">
        <v>26.8</v>
      </c>
      <c r="G72">
        <v>27.6</v>
      </c>
      <c r="H72">
        <v>25.3</v>
      </c>
      <c r="I72">
        <f t="shared" si="2"/>
        <v>91.08</v>
      </c>
      <c r="J72">
        <f t="shared" si="2"/>
        <v>98.64</v>
      </c>
      <c r="K72">
        <f t="shared" si="2"/>
        <v>90.360000000000014</v>
      </c>
      <c r="L72">
        <f t="shared" si="2"/>
        <v>91.584000000000003</v>
      </c>
    </row>
    <row r="73" spans="1:12" x14ac:dyDescent="0.3">
      <c r="A73">
        <v>1750</v>
      </c>
      <c r="B73">
        <v>25.3</v>
      </c>
      <c r="C73">
        <v>27.3</v>
      </c>
      <c r="D73">
        <v>25</v>
      </c>
      <c r="E73">
        <v>25.513000000000002</v>
      </c>
      <c r="F73">
        <v>26.7</v>
      </c>
      <c r="G73">
        <v>27.7</v>
      </c>
      <c r="H73">
        <v>25.4</v>
      </c>
      <c r="I73">
        <f t="shared" si="2"/>
        <v>91.08</v>
      </c>
      <c r="J73">
        <f t="shared" si="2"/>
        <v>98.28</v>
      </c>
      <c r="K73">
        <f t="shared" si="2"/>
        <v>90</v>
      </c>
      <c r="L73">
        <f t="shared" si="2"/>
        <v>91.846800000000002</v>
      </c>
    </row>
    <row r="74" spans="1:12" x14ac:dyDescent="0.3">
      <c r="A74">
        <v>1775</v>
      </c>
      <c r="B74">
        <v>25.3</v>
      </c>
      <c r="C74">
        <v>27.2</v>
      </c>
      <c r="D74">
        <v>25</v>
      </c>
      <c r="E74">
        <v>25.263500000000001</v>
      </c>
      <c r="F74">
        <v>26.6</v>
      </c>
      <c r="G74">
        <v>27.78</v>
      </c>
      <c r="H74">
        <v>25.5</v>
      </c>
      <c r="I74">
        <f t="shared" si="2"/>
        <v>91.08</v>
      </c>
      <c r="J74">
        <f t="shared" si="2"/>
        <v>97.92</v>
      </c>
      <c r="K74">
        <f t="shared" si="2"/>
        <v>90</v>
      </c>
      <c r="L74">
        <f t="shared" si="2"/>
        <v>90.948599999999999</v>
      </c>
    </row>
    <row r="75" spans="1:12" x14ac:dyDescent="0.3">
      <c r="A75">
        <v>1800</v>
      </c>
      <c r="B75">
        <v>25.3</v>
      </c>
      <c r="C75">
        <v>27.1</v>
      </c>
      <c r="D75">
        <v>25</v>
      </c>
      <c r="E75">
        <v>25.047799999999999</v>
      </c>
      <c r="F75">
        <v>26.5</v>
      </c>
      <c r="G75">
        <v>27.78</v>
      </c>
      <c r="H75">
        <v>25.6</v>
      </c>
      <c r="I75">
        <f t="shared" si="2"/>
        <v>91.08</v>
      </c>
      <c r="J75">
        <f t="shared" si="2"/>
        <v>97.56</v>
      </c>
      <c r="K75">
        <f t="shared" si="2"/>
        <v>90</v>
      </c>
      <c r="L75">
        <f t="shared" si="2"/>
        <v>90.172079999999994</v>
      </c>
    </row>
    <row r="76" spans="1:12" x14ac:dyDescent="0.3">
      <c r="A76">
        <v>1825</v>
      </c>
      <c r="B76">
        <v>25.3</v>
      </c>
      <c r="C76">
        <v>27</v>
      </c>
      <c r="D76">
        <v>25.1</v>
      </c>
      <c r="E76">
        <v>25.049800000000001</v>
      </c>
      <c r="F76">
        <v>26.4</v>
      </c>
      <c r="G76">
        <v>27.78</v>
      </c>
      <c r="H76">
        <v>25.7</v>
      </c>
      <c r="I76">
        <f t="shared" si="2"/>
        <v>91.08</v>
      </c>
      <c r="J76">
        <f t="shared" si="2"/>
        <v>97.2</v>
      </c>
      <c r="K76">
        <f t="shared" si="2"/>
        <v>90.360000000000014</v>
      </c>
      <c r="L76">
        <f t="shared" si="2"/>
        <v>90.179280000000006</v>
      </c>
    </row>
    <row r="77" spans="1:12" x14ac:dyDescent="0.3">
      <c r="A77">
        <v>1850</v>
      </c>
      <c r="B77">
        <v>25.3</v>
      </c>
      <c r="C77">
        <v>26.8</v>
      </c>
      <c r="D77">
        <v>25.2</v>
      </c>
      <c r="E77">
        <v>24.902699999999999</v>
      </c>
      <c r="F77">
        <v>26.3</v>
      </c>
      <c r="G77">
        <v>27.78</v>
      </c>
      <c r="H77">
        <v>25.8</v>
      </c>
      <c r="I77">
        <f t="shared" si="2"/>
        <v>91.08</v>
      </c>
      <c r="J77">
        <f t="shared" si="2"/>
        <v>96.48</v>
      </c>
      <c r="K77">
        <f t="shared" si="2"/>
        <v>90.72</v>
      </c>
      <c r="L77">
        <f t="shared" si="2"/>
        <v>89.649720000000002</v>
      </c>
    </row>
    <row r="78" spans="1:12" x14ac:dyDescent="0.3">
      <c r="A78">
        <v>1875</v>
      </c>
      <c r="B78">
        <v>25.3</v>
      </c>
      <c r="C78">
        <v>26.7</v>
      </c>
      <c r="D78">
        <v>25.1</v>
      </c>
      <c r="E78">
        <v>24.6661</v>
      </c>
      <c r="F78">
        <v>26.2</v>
      </c>
      <c r="G78">
        <v>27.78</v>
      </c>
      <c r="H78">
        <v>25.9</v>
      </c>
      <c r="I78">
        <f t="shared" si="2"/>
        <v>91.08</v>
      </c>
      <c r="J78">
        <f t="shared" si="2"/>
        <v>96.12</v>
      </c>
      <c r="K78">
        <f t="shared" si="2"/>
        <v>90.360000000000014</v>
      </c>
      <c r="L78">
        <f t="shared" si="2"/>
        <v>88.797960000000003</v>
      </c>
    </row>
    <row r="79" spans="1:12" x14ac:dyDescent="0.3">
      <c r="A79">
        <v>1900</v>
      </c>
      <c r="B79">
        <v>25.3</v>
      </c>
      <c r="C79">
        <v>26.6</v>
      </c>
      <c r="D79">
        <v>25</v>
      </c>
      <c r="E79">
        <v>24.439599999999999</v>
      </c>
      <c r="F79">
        <v>26.1</v>
      </c>
      <c r="G79">
        <v>27.78</v>
      </c>
      <c r="H79">
        <v>26</v>
      </c>
      <c r="I79">
        <f t="shared" si="2"/>
        <v>91.08</v>
      </c>
      <c r="J79">
        <f t="shared" si="2"/>
        <v>95.76</v>
      </c>
      <c r="K79">
        <f t="shared" si="2"/>
        <v>90</v>
      </c>
      <c r="L79">
        <f t="shared" si="2"/>
        <v>87.982559999999992</v>
      </c>
    </row>
    <row r="80" spans="1:12" x14ac:dyDescent="0.3">
      <c r="A80">
        <v>1925</v>
      </c>
      <c r="B80">
        <v>25.3</v>
      </c>
      <c r="C80">
        <v>26.5</v>
      </c>
      <c r="D80">
        <v>25</v>
      </c>
      <c r="E80">
        <v>24.415900000000001</v>
      </c>
      <c r="F80">
        <v>26.1</v>
      </c>
      <c r="G80">
        <v>27.78</v>
      </c>
      <c r="H80">
        <v>26.2</v>
      </c>
      <c r="I80">
        <f t="shared" si="2"/>
        <v>91.08</v>
      </c>
      <c r="J80">
        <f t="shared" si="2"/>
        <v>95.4</v>
      </c>
      <c r="K80">
        <f t="shared" si="2"/>
        <v>90</v>
      </c>
      <c r="L80">
        <f t="shared" si="2"/>
        <v>87.897240000000011</v>
      </c>
    </row>
    <row r="81" spans="1:12" x14ac:dyDescent="0.3">
      <c r="A81">
        <v>1950</v>
      </c>
      <c r="B81">
        <v>25.3</v>
      </c>
      <c r="C81">
        <v>26.4</v>
      </c>
      <c r="D81">
        <v>25</v>
      </c>
      <c r="E81">
        <v>24.253699999999998</v>
      </c>
      <c r="F81">
        <v>26.1</v>
      </c>
      <c r="G81">
        <v>27.78</v>
      </c>
      <c r="H81">
        <v>26.4</v>
      </c>
      <c r="I81">
        <f t="shared" si="2"/>
        <v>91.08</v>
      </c>
      <c r="J81">
        <f t="shared" si="2"/>
        <v>95.039999999999992</v>
      </c>
      <c r="K81">
        <f t="shared" si="2"/>
        <v>90</v>
      </c>
      <c r="L81">
        <f t="shared" si="2"/>
        <v>87.31331999999999</v>
      </c>
    </row>
    <row r="82" spans="1:12" x14ac:dyDescent="0.3">
      <c r="A82">
        <v>1975</v>
      </c>
      <c r="B82">
        <v>25.4</v>
      </c>
      <c r="C82">
        <v>26.3</v>
      </c>
      <c r="D82">
        <v>25</v>
      </c>
      <c r="E82">
        <v>24.069400000000002</v>
      </c>
      <c r="F82">
        <v>26.1</v>
      </c>
      <c r="G82">
        <v>27.78</v>
      </c>
      <c r="H82">
        <v>26.6</v>
      </c>
      <c r="I82">
        <f t="shared" si="2"/>
        <v>91.44</v>
      </c>
      <c r="J82">
        <f t="shared" si="2"/>
        <v>94.68</v>
      </c>
      <c r="K82">
        <f t="shared" si="2"/>
        <v>90</v>
      </c>
      <c r="L82">
        <f t="shared" si="2"/>
        <v>86.649840000000012</v>
      </c>
    </row>
    <row r="83" spans="1:12" x14ac:dyDescent="0.3">
      <c r="A83">
        <v>2000</v>
      </c>
      <c r="B83">
        <v>25.3</v>
      </c>
      <c r="C83">
        <v>26.2</v>
      </c>
      <c r="D83">
        <v>25</v>
      </c>
      <c r="E83">
        <v>24.350999999999999</v>
      </c>
      <c r="F83">
        <v>26.1</v>
      </c>
      <c r="G83">
        <v>27.78</v>
      </c>
      <c r="H83">
        <v>26.8</v>
      </c>
      <c r="I83">
        <f t="shared" si="2"/>
        <v>91.08</v>
      </c>
      <c r="J83">
        <f t="shared" si="2"/>
        <v>94.32</v>
      </c>
      <c r="K83">
        <f t="shared" si="2"/>
        <v>90</v>
      </c>
      <c r="L83">
        <f t="shared" si="2"/>
        <v>87.663600000000002</v>
      </c>
    </row>
    <row r="84" spans="1:12" x14ac:dyDescent="0.3">
      <c r="A84">
        <v>2025</v>
      </c>
      <c r="B84">
        <v>25.1</v>
      </c>
      <c r="C84">
        <v>26.1</v>
      </c>
      <c r="D84">
        <v>25</v>
      </c>
      <c r="E84">
        <v>24.574200000000001</v>
      </c>
      <c r="F84">
        <v>26.1</v>
      </c>
      <c r="G84">
        <v>27.78</v>
      </c>
      <c r="H84">
        <v>27</v>
      </c>
      <c r="I84">
        <f t="shared" si="2"/>
        <v>90.360000000000014</v>
      </c>
      <c r="J84">
        <f t="shared" si="2"/>
        <v>93.960000000000008</v>
      </c>
      <c r="K84">
        <f t="shared" si="2"/>
        <v>90</v>
      </c>
      <c r="L84">
        <f t="shared" si="2"/>
        <v>88.467120000000008</v>
      </c>
    </row>
    <row r="85" spans="1:12" x14ac:dyDescent="0.3">
      <c r="A85">
        <v>2050</v>
      </c>
      <c r="B85">
        <v>25</v>
      </c>
      <c r="C85">
        <v>25.9</v>
      </c>
      <c r="D85">
        <v>25</v>
      </c>
      <c r="E85">
        <v>24.843299999999999</v>
      </c>
      <c r="F85">
        <v>26.1</v>
      </c>
      <c r="G85">
        <v>27.78</v>
      </c>
      <c r="H85">
        <v>27.1</v>
      </c>
      <c r="I85">
        <f t="shared" si="2"/>
        <v>90</v>
      </c>
      <c r="J85">
        <f t="shared" si="2"/>
        <v>93.24</v>
      </c>
      <c r="K85">
        <f t="shared" si="2"/>
        <v>90</v>
      </c>
      <c r="L85">
        <f t="shared" si="2"/>
        <v>89.435879999999997</v>
      </c>
    </row>
    <row r="86" spans="1:12" x14ac:dyDescent="0.3">
      <c r="A86">
        <v>2075</v>
      </c>
      <c r="B86">
        <v>25</v>
      </c>
      <c r="C86">
        <v>25.6</v>
      </c>
      <c r="D86">
        <v>25</v>
      </c>
      <c r="E86">
        <v>24.874400000000001</v>
      </c>
      <c r="F86">
        <v>26.1</v>
      </c>
      <c r="G86">
        <v>27.78</v>
      </c>
      <c r="H86">
        <v>27.2</v>
      </c>
      <c r="I86">
        <f t="shared" si="2"/>
        <v>90</v>
      </c>
      <c r="J86">
        <f t="shared" si="2"/>
        <v>92.160000000000011</v>
      </c>
      <c r="K86">
        <f t="shared" si="2"/>
        <v>90</v>
      </c>
      <c r="L86">
        <f t="shared" si="2"/>
        <v>89.547840000000008</v>
      </c>
    </row>
    <row r="87" spans="1:12" x14ac:dyDescent="0.3">
      <c r="A87">
        <v>2100</v>
      </c>
      <c r="B87">
        <v>25</v>
      </c>
      <c r="C87">
        <v>25.3</v>
      </c>
      <c r="D87">
        <v>25</v>
      </c>
      <c r="E87">
        <v>24.962</v>
      </c>
      <c r="F87">
        <v>26.1</v>
      </c>
      <c r="G87">
        <v>27.78</v>
      </c>
      <c r="H87">
        <v>27.3</v>
      </c>
      <c r="I87">
        <f t="shared" si="2"/>
        <v>90</v>
      </c>
      <c r="J87">
        <f t="shared" si="2"/>
        <v>91.08</v>
      </c>
      <c r="K87">
        <f t="shared" si="2"/>
        <v>90</v>
      </c>
      <c r="L87">
        <f t="shared" si="2"/>
        <v>89.863200000000006</v>
      </c>
    </row>
    <row r="88" spans="1:12" x14ac:dyDescent="0.3">
      <c r="A88">
        <v>2125</v>
      </c>
      <c r="B88">
        <v>25</v>
      </c>
      <c r="C88">
        <v>25</v>
      </c>
      <c r="D88">
        <v>25</v>
      </c>
      <c r="E88">
        <v>25.016500000000001</v>
      </c>
      <c r="F88">
        <v>26.2</v>
      </c>
      <c r="G88">
        <v>27.78</v>
      </c>
      <c r="H88">
        <v>27.4</v>
      </c>
      <c r="I88">
        <f t="shared" si="2"/>
        <v>90</v>
      </c>
      <c r="J88">
        <f t="shared" si="2"/>
        <v>90</v>
      </c>
      <c r="K88">
        <f t="shared" si="2"/>
        <v>90</v>
      </c>
      <c r="L88">
        <f t="shared" si="2"/>
        <v>90.059400000000011</v>
      </c>
    </row>
    <row r="89" spans="1:12" x14ac:dyDescent="0.3">
      <c r="A89">
        <v>2150</v>
      </c>
      <c r="B89">
        <v>25</v>
      </c>
      <c r="C89">
        <v>25</v>
      </c>
      <c r="D89">
        <v>25</v>
      </c>
      <c r="E89">
        <v>24.992000000000001</v>
      </c>
      <c r="F89">
        <v>26.3</v>
      </c>
      <c r="G89">
        <v>27.78</v>
      </c>
      <c r="H89">
        <v>27.5</v>
      </c>
      <c r="I89">
        <f t="shared" si="2"/>
        <v>90</v>
      </c>
      <c r="J89">
        <f t="shared" si="2"/>
        <v>90</v>
      </c>
      <c r="K89">
        <f t="shared" si="2"/>
        <v>90</v>
      </c>
      <c r="L89">
        <f t="shared" si="2"/>
        <v>89.97120000000001</v>
      </c>
    </row>
    <row r="90" spans="1:12" x14ac:dyDescent="0.3">
      <c r="A90">
        <v>2175</v>
      </c>
      <c r="B90">
        <v>25</v>
      </c>
      <c r="C90">
        <v>25</v>
      </c>
      <c r="D90">
        <v>25</v>
      </c>
      <c r="E90">
        <v>25.046399999999998</v>
      </c>
      <c r="F90">
        <v>26.4</v>
      </c>
      <c r="G90">
        <v>27.78</v>
      </c>
      <c r="H90">
        <v>27.6</v>
      </c>
      <c r="I90">
        <f t="shared" si="2"/>
        <v>90</v>
      </c>
      <c r="J90">
        <f t="shared" si="2"/>
        <v>90</v>
      </c>
      <c r="K90">
        <f t="shared" si="2"/>
        <v>90</v>
      </c>
      <c r="L90">
        <f t="shared" si="2"/>
        <v>90.16704</v>
      </c>
    </row>
    <row r="91" spans="1:12" x14ac:dyDescent="0.3">
      <c r="A91">
        <v>2200</v>
      </c>
      <c r="B91">
        <v>25</v>
      </c>
      <c r="C91">
        <v>25</v>
      </c>
      <c r="D91">
        <v>25</v>
      </c>
      <c r="E91">
        <v>25.418500000000002</v>
      </c>
      <c r="F91">
        <v>26.5</v>
      </c>
      <c r="G91">
        <v>27.78</v>
      </c>
      <c r="H91">
        <v>27.7</v>
      </c>
      <c r="I91">
        <f t="shared" si="2"/>
        <v>90</v>
      </c>
      <c r="J91">
        <f t="shared" si="2"/>
        <v>90</v>
      </c>
      <c r="K91">
        <f t="shared" si="2"/>
        <v>90</v>
      </c>
      <c r="L91">
        <f t="shared" si="2"/>
        <v>91.506600000000006</v>
      </c>
    </row>
    <row r="92" spans="1:12" x14ac:dyDescent="0.3">
      <c r="A92">
        <v>2225</v>
      </c>
      <c r="B92">
        <v>25</v>
      </c>
      <c r="C92">
        <v>25</v>
      </c>
      <c r="D92">
        <v>25</v>
      </c>
      <c r="E92">
        <v>25.5915</v>
      </c>
      <c r="F92">
        <v>26.6</v>
      </c>
      <c r="G92">
        <v>27.78</v>
      </c>
      <c r="H92">
        <v>27.78</v>
      </c>
      <c r="I92">
        <f t="shared" si="2"/>
        <v>90</v>
      </c>
      <c r="J92">
        <f t="shared" si="2"/>
        <v>90</v>
      </c>
      <c r="K92">
        <f t="shared" si="2"/>
        <v>90</v>
      </c>
      <c r="L92">
        <f t="shared" si="2"/>
        <v>92.129400000000004</v>
      </c>
    </row>
    <row r="93" spans="1:12" x14ac:dyDescent="0.3">
      <c r="A93">
        <v>2250</v>
      </c>
      <c r="B93">
        <v>25</v>
      </c>
      <c r="C93">
        <v>25</v>
      </c>
      <c r="D93">
        <v>25</v>
      </c>
      <c r="E93">
        <v>25.3093</v>
      </c>
      <c r="F93">
        <v>26.7</v>
      </c>
      <c r="G93">
        <v>27.78</v>
      </c>
      <c r="H93">
        <v>27.78</v>
      </c>
      <c r="I93">
        <f t="shared" si="2"/>
        <v>90</v>
      </c>
      <c r="J93">
        <f t="shared" si="2"/>
        <v>90</v>
      </c>
      <c r="K93">
        <f t="shared" si="2"/>
        <v>90</v>
      </c>
      <c r="L93">
        <f t="shared" si="2"/>
        <v>91.11348000000001</v>
      </c>
    </row>
    <row r="94" spans="1:12" x14ac:dyDescent="0.3">
      <c r="A94">
        <v>2275</v>
      </c>
      <c r="B94">
        <v>25</v>
      </c>
      <c r="C94">
        <v>25</v>
      </c>
      <c r="D94">
        <v>25</v>
      </c>
      <c r="E94">
        <v>24.9146</v>
      </c>
      <c r="F94">
        <v>26.8</v>
      </c>
      <c r="G94">
        <v>27.78</v>
      </c>
      <c r="H94">
        <v>27.78</v>
      </c>
      <c r="I94">
        <f t="shared" si="2"/>
        <v>90</v>
      </c>
      <c r="J94">
        <f t="shared" si="2"/>
        <v>90</v>
      </c>
      <c r="K94">
        <f t="shared" si="2"/>
        <v>90</v>
      </c>
      <c r="L94">
        <f t="shared" si="2"/>
        <v>89.69256</v>
      </c>
    </row>
    <row r="95" spans="1:12" x14ac:dyDescent="0.3">
      <c r="A95">
        <v>2300</v>
      </c>
      <c r="B95">
        <v>25.2</v>
      </c>
      <c r="C95">
        <v>25</v>
      </c>
      <c r="D95">
        <v>25</v>
      </c>
      <c r="E95">
        <v>24.522400000000001</v>
      </c>
      <c r="F95">
        <v>26.9</v>
      </c>
      <c r="G95">
        <v>27.78</v>
      </c>
      <c r="H95">
        <v>27.78</v>
      </c>
      <c r="I95">
        <f t="shared" si="2"/>
        <v>90.72</v>
      </c>
      <c r="J95">
        <f t="shared" si="2"/>
        <v>90</v>
      </c>
      <c r="K95">
        <f t="shared" si="2"/>
        <v>90</v>
      </c>
      <c r="L95">
        <f t="shared" si="2"/>
        <v>88.280640000000005</v>
      </c>
    </row>
    <row r="96" spans="1:12" x14ac:dyDescent="0.3">
      <c r="A96">
        <v>2325</v>
      </c>
      <c r="B96">
        <v>25</v>
      </c>
      <c r="C96">
        <v>25</v>
      </c>
      <c r="D96">
        <v>25.2</v>
      </c>
      <c r="E96">
        <v>24.328499999999998</v>
      </c>
      <c r="F96">
        <v>27</v>
      </c>
      <c r="G96">
        <v>27.78</v>
      </c>
      <c r="H96">
        <v>27.78</v>
      </c>
      <c r="I96">
        <f t="shared" si="2"/>
        <v>90</v>
      </c>
      <c r="J96">
        <f t="shared" si="2"/>
        <v>90</v>
      </c>
      <c r="K96">
        <f t="shared" si="2"/>
        <v>90.72</v>
      </c>
      <c r="L96">
        <f t="shared" si="2"/>
        <v>87.582599999999999</v>
      </c>
    </row>
    <row r="97" spans="1:12" x14ac:dyDescent="0.3">
      <c r="A97">
        <v>2350</v>
      </c>
      <c r="B97">
        <v>25.2</v>
      </c>
      <c r="C97">
        <v>25</v>
      </c>
      <c r="D97">
        <v>25.3</v>
      </c>
      <c r="E97">
        <v>24.680399999999999</v>
      </c>
      <c r="F97">
        <v>27.1</v>
      </c>
      <c r="G97">
        <v>27.78</v>
      </c>
      <c r="H97">
        <v>27.78</v>
      </c>
      <c r="I97">
        <f t="shared" si="2"/>
        <v>90.72</v>
      </c>
      <c r="J97">
        <f t="shared" si="2"/>
        <v>90</v>
      </c>
      <c r="K97">
        <f t="shared" si="2"/>
        <v>91.08</v>
      </c>
      <c r="L97">
        <f t="shared" si="2"/>
        <v>88.849440000000001</v>
      </c>
    </row>
    <row r="98" spans="1:12" x14ac:dyDescent="0.3">
      <c r="A98">
        <v>2375</v>
      </c>
      <c r="B98">
        <v>25.2</v>
      </c>
      <c r="C98">
        <v>25</v>
      </c>
      <c r="D98">
        <v>25.3</v>
      </c>
      <c r="E98">
        <v>25.232800000000001</v>
      </c>
      <c r="F98">
        <v>27.2</v>
      </c>
      <c r="G98">
        <v>27.78</v>
      </c>
      <c r="H98">
        <v>27.78</v>
      </c>
      <c r="I98">
        <f t="shared" si="2"/>
        <v>90.72</v>
      </c>
      <c r="J98">
        <f t="shared" si="2"/>
        <v>90</v>
      </c>
      <c r="K98">
        <f t="shared" si="2"/>
        <v>91.08</v>
      </c>
      <c r="L98">
        <f t="shared" si="2"/>
        <v>90.838080000000005</v>
      </c>
    </row>
    <row r="99" spans="1:12" x14ac:dyDescent="0.3">
      <c r="A99">
        <v>2400</v>
      </c>
      <c r="B99">
        <v>25</v>
      </c>
      <c r="C99">
        <v>25</v>
      </c>
      <c r="D99">
        <v>25.3</v>
      </c>
      <c r="E99">
        <v>25.676500000000001</v>
      </c>
      <c r="F99">
        <v>27.3</v>
      </c>
      <c r="G99">
        <v>27.78</v>
      </c>
      <c r="H99">
        <v>27.78</v>
      </c>
      <c r="I99">
        <f t="shared" si="2"/>
        <v>90</v>
      </c>
      <c r="J99">
        <f t="shared" si="2"/>
        <v>90</v>
      </c>
      <c r="K99">
        <f t="shared" si="2"/>
        <v>91.08</v>
      </c>
      <c r="L99">
        <f t="shared" si="2"/>
        <v>92.435400000000001</v>
      </c>
    </row>
    <row r="100" spans="1:12" x14ac:dyDescent="0.3">
      <c r="A100">
        <v>2425</v>
      </c>
      <c r="B100">
        <v>25</v>
      </c>
      <c r="C100">
        <v>25</v>
      </c>
      <c r="D100">
        <v>25.4</v>
      </c>
      <c r="E100">
        <v>26.153400000000001</v>
      </c>
      <c r="F100">
        <v>27.4</v>
      </c>
      <c r="G100">
        <v>27.78</v>
      </c>
      <c r="H100">
        <v>27.78</v>
      </c>
      <c r="I100">
        <f t="shared" si="2"/>
        <v>90</v>
      </c>
      <c r="J100">
        <f t="shared" si="2"/>
        <v>90</v>
      </c>
      <c r="K100">
        <f t="shared" si="2"/>
        <v>91.44</v>
      </c>
      <c r="L100">
        <f t="shared" si="2"/>
        <v>94.152240000000006</v>
      </c>
    </row>
    <row r="101" spans="1:12" x14ac:dyDescent="0.3">
      <c r="A101">
        <v>2450</v>
      </c>
      <c r="B101">
        <v>25.2</v>
      </c>
      <c r="C101">
        <v>25</v>
      </c>
      <c r="D101">
        <v>25.7</v>
      </c>
      <c r="E101">
        <v>26.112500000000001</v>
      </c>
      <c r="F101">
        <v>27.5</v>
      </c>
      <c r="G101">
        <v>27.78</v>
      </c>
      <c r="H101">
        <v>27.78</v>
      </c>
      <c r="I101">
        <f t="shared" si="2"/>
        <v>90.72</v>
      </c>
      <c r="J101">
        <f t="shared" si="2"/>
        <v>90</v>
      </c>
      <c r="K101">
        <f t="shared" si="2"/>
        <v>92.52</v>
      </c>
      <c r="L101">
        <f t="shared" si="2"/>
        <v>94.00500000000001</v>
      </c>
    </row>
    <row r="102" spans="1:12" x14ac:dyDescent="0.3">
      <c r="A102">
        <v>2475</v>
      </c>
      <c r="B102">
        <v>25.2</v>
      </c>
      <c r="C102">
        <v>25</v>
      </c>
      <c r="D102">
        <v>25.8</v>
      </c>
      <c r="E102">
        <v>26.3003</v>
      </c>
      <c r="F102">
        <v>27.6</v>
      </c>
      <c r="G102">
        <v>27.78</v>
      </c>
      <c r="H102">
        <v>27.7</v>
      </c>
      <c r="I102">
        <f t="shared" si="2"/>
        <v>90.72</v>
      </c>
      <c r="J102">
        <f t="shared" si="2"/>
        <v>90</v>
      </c>
      <c r="K102">
        <f t="shared" si="2"/>
        <v>92.88000000000001</v>
      </c>
      <c r="L102">
        <f t="shared" si="2"/>
        <v>94.681080000000009</v>
      </c>
    </row>
    <row r="103" spans="1:12" x14ac:dyDescent="0.3">
      <c r="A103">
        <v>2500</v>
      </c>
      <c r="B103">
        <v>25.2</v>
      </c>
      <c r="C103">
        <v>25</v>
      </c>
      <c r="D103">
        <v>25.9</v>
      </c>
      <c r="E103">
        <v>26.550899999999999</v>
      </c>
      <c r="F103">
        <v>27.7</v>
      </c>
      <c r="G103">
        <v>27.78</v>
      </c>
      <c r="H103">
        <v>27.6</v>
      </c>
      <c r="I103">
        <f t="shared" si="2"/>
        <v>90.72</v>
      </c>
      <c r="J103">
        <f t="shared" si="2"/>
        <v>90</v>
      </c>
      <c r="K103">
        <f t="shared" si="2"/>
        <v>93.24</v>
      </c>
      <c r="L103">
        <f t="shared" si="2"/>
        <v>95.583240000000004</v>
      </c>
    </row>
    <row r="104" spans="1:12" x14ac:dyDescent="0.3">
      <c r="A104">
        <v>2525</v>
      </c>
      <c r="B104">
        <v>25.5</v>
      </c>
      <c r="C104">
        <v>25</v>
      </c>
      <c r="D104">
        <v>26.2</v>
      </c>
      <c r="E104">
        <v>26.611499999999999</v>
      </c>
      <c r="F104">
        <v>27.78</v>
      </c>
      <c r="G104">
        <v>27.78</v>
      </c>
      <c r="H104">
        <v>27.5</v>
      </c>
      <c r="I104">
        <f t="shared" si="2"/>
        <v>91.8</v>
      </c>
      <c r="J104">
        <f t="shared" si="2"/>
        <v>90</v>
      </c>
      <c r="K104">
        <f t="shared" si="2"/>
        <v>94.32</v>
      </c>
      <c r="L104">
        <f t="shared" si="2"/>
        <v>95.801400000000001</v>
      </c>
    </row>
    <row r="105" spans="1:12" x14ac:dyDescent="0.3">
      <c r="A105">
        <v>2550</v>
      </c>
      <c r="B105">
        <v>25.8</v>
      </c>
      <c r="C105">
        <v>25</v>
      </c>
      <c r="D105">
        <v>26.4</v>
      </c>
      <c r="E105">
        <v>26.506900000000002</v>
      </c>
      <c r="F105">
        <v>27.78</v>
      </c>
      <c r="G105">
        <v>27.78</v>
      </c>
      <c r="H105">
        <v>27.4</v>
      </c>
      <c r="I105">
        <f t="shared" si="2"/>
        <v>92.88000000000001</v>
      </c>
      <c r="J105">
        <f t="shared" si="2"/>
        <v>90</v>
      </c>
      <c r="K105">
        <f t="shared" si="2"/>
        <v>95.039999999999992</v>
      </c>
      <c r="L105">
        <f t="shared" si="2"/>
        <v>95.424840000000003</v>
      </c>
    </row>
    <row r="106" spans="1:12" x14ac:dyDescent="0.3">
      <c r="A106">
        <v>2575</v>
      </c>
      <c r="B106">
        <v>25.8</v>
      </c>
      <c r="C106">
        <v>25</v>
      </c>
      <c r="D106">
        <v>26.5</v>
      </c>
      <c r="E106">
        <v>26.545999999999999</v>
      </c>
      <c r="F106">
        <v>27.78</v>
      </c>
      <c r="G106">
        <v>27.78</v>
      </c>
      <c r="H106">
        <v>27.3</v>
      </c>
      <c r="I106">
        <f t="shared" si="2"/>
        <v>92.88000000000001</v>
      </c>
      <c r="J106">
        <f t="shared" si="2"/>
        <v>90</v>
      </c>
      <c r="K106">
        <f t="shared" si="2"/>
        <v>95.4</v>
      </c>
      <c r="L106">
        <f t="shared" si="2"/>
        <v>95.565600000000003</v>
      </c>
    </row>
    <row r="107" spans="1:12" x14ac:dyDescent="0.3">
      <c r="A107">
        <v>2600</v>
      </c>
      <c r="B107">
        <v>25.6</v>
      </c>
      <c r="C107">
        <v>25</v>
      </c>
      <c r="D107">
        <v>26.6</v>
      </c>
      <c r="E107">
        <v>26.638000000000002</v>
      </c>
      <c r="F107">
        <v>27.78</v>
      </c>
      <c r="G107">
        <v>27.78</v>
      </c>
      <c r="H107">
        <v>27.2</v>
      </c>
      <c r="I107">
        <f t="shared" si="2"/>
        <v>92.160000000000011</v>
      </c>
      <c r="J107">
        <f t="shared" si="2"/>
        <v>90</v>
      </c>
      <c r="K107">
        <f t="shared" si="2"/>
        <v>95.76</v>
      </c>
      <c r="L107">
        <f t="shared" si="2"/>
        <v>95.896800000000013</v>
      </c>
    </row>
    <row r="108" spans="1:12" x14ac:dyDescent="0.3">
      <c r="A108">
        <v>2625</v>
      </c>
      <c r="B108">
        <v>25.4</v>
      </c>
      <c r="C108">
        <v>25</v>
      </c>
      <c r="D108">
        <v>26.4</v>
      </c>
      <c r="E108">
        <v>26.421700000000001</v>
      </c>
      <c r="F108">
        <v>27.78</v>
      </c>
      <c r="G108">
        <v>27.78</v>
      </c>
      <c r="H108">
        <v>27</v>
      </c>
      <c r="I108">
        <f t="shared" si="2"/>
        <v>91.44</v>
      </c>
      <c r="J108">
        <f t="shared" si="2"/>
        <v>90</v>
      </c>
      <c r="K108">
        <f t="shared" si="2"/>
        <v>95.039999999999992</v>
      </c>
      <c r="L108">
        <f t="shared" si="2"/>
        <v>95.118120000000005</v>
      </c>
    </row>
    <row r="109" spans="1:12" x14ac:dyDescent="0.3">
      <c r="A109">
        <v>2650</v>
      </c>
      <c r="B109">
        <v>25.2</v>
      </c>
      <c r="C109">
        <v>25</v>
      </c>
      <c r="D109">
        <v>26.4</v>
      </c>
      <c r="E109">
        <v>26.679300000000001</v>
      </c>
      <c r="F109">
        <v>27.78</v>
      </c>
      <c r="G109">
        <v>27.78</v>
      </c>
      <c r="H109">
        <v>26.8</v>
      </c>
      <c r="I109">
        <f t="shared" si="2"/>
        <v>90.72</v>
      </c>
      <c r="J109">
        <f t="shared" si="2"/>
        <v>90</v>
      </c>
      <c r="K109">
        <f t="shared" si="2"/>
        <v>95.039999999999992</v>
      </c>
      <c r="L109">
        <f t="shared" si="2"/>
        <v>96.045480000000012</v>
      </c>
    </row>
    <row r="110" spans="1:12" x14ac:dyDescent="0.3">
      <c r="A110">
        <v>2675</v>
      </c>
      <c r="B110">
        <v>25.5</v>
      </c>
      <c r="C110">
        <v>25</v>
      </c>
      <c r="D110">
        <v>26.6</v>
      </c>
      <c r="E110">
        <v>26.9207</v>
      </c>
      <c r="F110">
        <v>27.78</v>
      </c>
      <c r="G110">
        <v>27.78</v>
      </c>
      <c r="H110">
        <v>26.6</v>
      </c>
      <c r="I110">
        <f t="shared" si="2"/>
        <v>91.8</v>
      </c>
      <c r="J110">
        <f t="shared" si="2"/>
        <v>90</v>
      </c>
      <c r="K110">
        <f t="shared" si="2"/>
        <v>95.76</v>
      </c>
      <c r="L110">
        <f t="shared" si="2"/>
        <v>96.914519999999996</v>
      </c>
    </row>
    <row r="111" spans="1:12" x14ac:dyDescent="0.3">
      <c r="A111">
        <v>2700</v>
      </c>
      <c r="B111">
        <v>25.8</v>
      </c>
      <c r="C111">
        <v>25</v>
      </c>
      <c r="D111">
        <v>26.8</v>
      </c>
      <c r="E111">
        <v>26.627800000000001</v>
      </c>
      <c r="F111">
        <v>27.78</v>
      </c>
      <c r="G111">
        <v>27.78</v>
      </c>
      <c r="H111">
        <v>26.4</v>
      </c>
      <c r="I111">
        <f t="shared" si="2"/>
        <v>92.88000000000001</v>
      </c>
      <c r="J111">
        <f t="shared" si="2"/>
        <v>90</v>
      </c>
      <c r="K111">
        <f t="shared" si="2"/>
        <v>96.48</v>
      </c>
      <c r="L111">
        <f t="shared" si="2"/>
        <v>95.860080000000011</v>
      </c>
    </row>
    <row r="112" spans="1:12" x14ac:dyDescent="0.3">
      <c r="A112">
        <v>2725</v>
      </c>
      <c r="B112">
        <v>25.6</v>
      </c>
      <c r="C112">
        <v>25</v>
      </c>
      <c r="D112">
        <v>27</v>
      </c>
      <c r="E112">
        <v>26.196400000000001</v>
      </c>
      <c r="F112">
        <v>27.78</v>
      </c>
      <c r="G112">
        <v>27.78</v>
      </c>
      <c r="H112">
        <v>26.2</v>
      </c>
      <c r="I112">
        <f t="shared" si="2"/>
        <v>92.160000000000011</v>
      </c>
      <c r="J112">
        <f t="shared" si="2"/>
        <v>90</v>
      </c>
      <c r="K112">
        <f t="shared" si="2"/>
        <v>97.2</v>
      </c>
      <c r="L112">
        <f t="shared" si="2"/>
        <v>94.307040000000001</v>
      </c>
    </row>
    <row r="113" spans="1:12" x14ac:dyDescent="0.3">
      <c r="A113">
        <v>2750</v>
      </c>
      <c r="B113">
        <v>25.4</v>
      </c>
      <c r="C113">
        <v>25</v>
      </c>
      <c r="D113">
        <v>27.2</v>
      </c>
      <c r="E113">
        <v>25.747299999999999</v>
      </c>
      <c r="F113">
        <v>27.78</v>
      </c>
      <c r="G113">
        <v>27.78</v>
      </c>
      <c r="H113">
        <v>26</v>
      </c>
      <c r="I113">
        <f t="shared" si="2"/>
        <v>91.44</v>
      </c>
      <c r="J113">
        <f t="shared" si="2"/>
        <v>90</v>
      </c>
      <c r="K113">
        <f t="shared" si="2"/>
        <v>97.92</v>
      </c>
      <c r="L113">
        <f t="shared" si="2"/>
        <v>92.690280000000001</v>
      </c>
    </row>
    <row r="114" spans="1:12" x14ac:dyDescent="0.3">
      <c r="A114">
        <v>2775</v>
      </c>
      <c r="B114">
        <v>25.2</v>
      </c>
      <c r="C114">
        <v>25</v>
      </c>
      <c r="D114">
        <v>27</v>
      </c>
      <c r="E114">
        <v>25.1723</v>
      </c>
      <c r="F114">
        <v>27.78</v>
      </c>
      <c r="G114">
        <v>27.78</v>
      </c>
      <c r="H114">
        <v>25.8</v>
      </c>
      <c r="I114">
        <f t="shared" si="2"/>
        <v>90.72</v>
      </c>
      <c r="J114">
        <f t="shared" si="2"/>
        <v>90</v>
      </c>
      <c r="K114">
        <f t="shared" si="2"/>
        <v>97.2</v>
      </c>
      <c r="L114">
        <f t="shared" si="2"/>
        <v>90.620280000000008</v>
      </c>
    </row>
    <row r="115" spans="1:12" x14ac:dyDescent="0.3">
      <c r="A115">
        <v>2800</v>
      </c>
      <c r="B115">
        <v>25</v>
      </c>
      <c r="C115">
        <v>25</v>
      </c>
      <c r="D115">
        <v>27.2</v>
      </c>
      <c r="E115">
        <v>24.857900000000001</v>
      </c>
      <c r="F115">
        <v>27.78</v>
      </c>
      <c r="G115">
        <v>27.78</v>
      </c>
      <c r="H115">
        <v>25.7</v>
      </c>
      <c r="I115">
        <f t="shared" si="2"/>
        <v>90</v>
      </c>
      <c r="J115">
        <f t="shared" si="2"/>
        <v>90</v>
      </c>
      <c r="K115">
        <f t="shared" si="2"/>
        <v>97.92</v>
      </c>
      <c r="L115">
        <f t="shared" si="2"/>
        <v>89.488440000000011</v>
      </c>
    </row>
    <row r="116" spans="1:12" x14ac:dyDescent="0.3">
      <c r="A116">
        <v>2825</v>
      </c>
      <c r="B116">
        <v>25.3</v>
      </c>
      <c r="C116">
        <v>25</v>
      </c>
      <c r="D116">
        <v>27</v>
      </c>
      <c r="E116">
        <v>24.95</v>
      </c>
      <c r="F116">
        <v>27.78</v>
      </c>
      <c r="G116">
        <v>27.78</v>
      </c>
      <c r="H116">
        <v>25.6</v>
      </c>
      <c r="I116">
        <f t="shared" si="2"/>
        <v>91.08</v>
      </c>
      <c r="J116">
        <f t="shared" si="2"/>
        <v>90</v>
      </c>
      <c r="K116">
        <f t="shared" si="2"/>
        <v>97.2</v>
      </c>
      <c r="L116">
        <f t="shared" si="2"/>
        <v>89.82</v>
      </c>
    </row>
    <row r="117" spans="1:12" x14ac:dyDescent="0.3">
      <c r="A117">
        <v>2850</v>
      </c>
      <c r="B117">
        <v>25.6</v>
      </c>
      <c r="C117">
        <v>25</v>
      </c>
      <c r="D117">
        <v>27.2</v>
      </c>
      <c r="E117">
        <v>24.980699999999999</v>
      </c>
      <c r="F117">
        <v>27.78</v>
      </c>
      <c r="G117">
        <v>27.78</v>
      </c>
      <c r="H117">
        <v>25.5</v>
      </c>
      <c r="I117">
        <f t="shared" si="2"/>
        <v>92.160000000000011</v>
      </c>
      <c r="J117">
        <f t="shared" si="2"/>
        <v>90</v>
      </c>
      <c r="K117">
        <f t="shared" si="2"/>
        <v>97.92</v>
      </c>
      <c r="L117">
        <f t="shared" si="2"/>
        <v>89.930520000000001</v>
      </c>
    </row>
    <row r="118" spans="1:12" x14ac:dyDescent="0.3">
      <c r="A118">
        <v>2875</v>
      </c>
      <c r="B118">
        <v>25.3</v>
      </c>
      <c r="C118">
        <v>25</v>
      </c>
      <c r="D118">
        <v>27</v>
      </c>
      <c r="E118">
        <v>24.8855</v>
      </c>
      <c r="F118">
        <v>27.78</v>
      </c>
      <c r="G118">
        <v>27.78</v>
      </c>
      <c r="H118">
        <v>25.4</v>
      </c>
      <c r="I118">
        <f t="shared" si="2"/>
        <v>91.08</v>
      </c>
      <c r="J118">
        <f t="shared" si="2"/>
        <v>90</v>
      </c>
      <c r="K118">
        <f t="shared" si="2"/>
        <v>97.2</v>
      </c>
      <c r="L118">
        <f t="shared" si="2"/>
        <v>89.587800000000001</v>
      </c>
    </row>
    <row r="119" spans="1:12" x14ac:dyDescent="0.3">
      <c r="A119">
        <v>2900</v>
      </c>
      <c r="B119">
        <v>25.1</v>
      </c>
      <c r="C119">
        <v>25</v>
      </c>
      <c r="D119">
        <v>27.2</v>
      </c>
      <c r="E119">
        <v>24.749500000000001</v>
      </c>
      <c r="F119">
        <v>27.78</v>
      </c>
      <c r="G119">
        <v>27.78</v>
      </c>
      <c r="H119">
        <v>25.3</v>
      </c>
      <c r="I119">
        <f t="shared" si="2"/>
        <v>90.360000000000014</v>
      </c>
      <c r="J119">
        <f t="shared" si="2"/>
        <v>90</v>
      </c>
      <c r="K119">
        <f t="shared" si="2"/>
        <v>97.92</v>
      </c>
      <c r="L119">
        <f t="shared" si="2"/>
        <v>89.098200000000006</v>
      </c>
    </row>
    <row r="120" spans="1:12" x14ac:dyDescent="0.3">
      <c r="A120">
        <v>2925</v>
      </c>
      <c r="B120">
        <v>25</v>
      </c>
      <c r="C120">
        <v>25</v>
      </c>
      <c r="D120">
        <v>27</v>
      </c>
      <c r="E120">
        <v>24.946999999999999</v>
      </c>
      <c r="F120">
        <v>27.78</v>
      </c>
      <c r="G120">
        <v>27.78</v>
      </c>
      <c r="H120">
        <v>25.2</v>
      </c>
      <c r="I120">
        <f t="shared" si="2"/>
        <v>90</v>
      </c>
      <c r="J120">
        <f t="shared" si="2"/>
        <v>90</v>
      </c>
      <c r="K120">
        <f t="shared" si="2"/>
        <v>97.2</v>
      </c>
      <c r="L120">
        <f t="shared" si="2"/>
        <v>89.809200000000004</v>
      </c>
    </row>
    <row r="121" spans="1:12" x14ac:dyDescent="0.3">
      <c r="A121">
        <v>2950</v>
      </c>
      <c r="B121">
        <v>25</v>
      </c>
      <c r="C121">
        <v>25</v>
      </c>
      <c r="D121">
        <v>27.2</v>
      </c>
      <c r="E121">
        <v>24.838000000000001</v>
      </c>
      <c r="F121">
        <v>27.78</v>
      </c>
      <c r="G121">
        <v>27.78</v>
      </c>
      <c r="H121">
        <v>25.1</v>
      </c>
      <c r="I121">
        <f t="shared" si="2"/>
        <v>90</v>
      </c>
      <c r="J121">
        <f t="shared" si="2"/>
        <v>90</v>
      </c>
      <c r="K121">
        <f t="shared" si="2"/>
        <v>97.92</v>
      </c>
      <c r="L121">
        <f t="shared" si="2"/>
        <v>89.416800000000009</v>
      </c>
    </row>
    <row r="122" spans="1:12" x14ac:dyDescent="0.3">
      <c r="A122">
        <v>2975</v>
      </c>
      <c r="B122">
        <v>25</v>
      </c>
      <c r="C122">
        <v>25</v>
      </c>
      <c r="D122">
        <v>27</v>
      </c>
      <c r="E122">
        <v>24.628900000000002</v>
      </c>
      <c r="F122">
        <v>27.7</v>
      </c>
      <c r="G122">
        <v>27.78</v>
      </c>
      <c r="H122">
        <v>25</v>
      </c>
      <c r="I122">
        <f t="shared" si="2"/>
        <v>90</v>
      </c>
      <c r="J122">
        <f t="shared" si="2"/>
        <v>90</v>
      </c>
      <c r="K122">
        <f t="shared" si="2"/>
        <v>97.2</v>
      </c>
      <c r="L122">
        <f t="shared" si="2"/>
        <v>88.664040000000014</v>
      </c>
    </row>
    <row r="123" spans="1:12" x14ac:dyDescent="0.3">
      <c r="A123">
        <v>3000</v>
      </c>
      <c r="B123">
        <v>25</v>
      </c>
      <c r="C123">
        <v>25</v>
      </c>
      <c r="D123">
        <v>26.8</v>
      </c>
      <c r="E123">
        <v>24.3813</v>
      </c>
      <c r="F123">
        <v>27.6</v>
      </c>
      <c r="G123">
        <v>27.7</v>
      </c>
      <c r="H123">
        <v>25</v>
      </c>
      <c r="I123">
        <f t="shared" si="2"/>
        <v>90</v>
      </c>
      <c r="J123">
        <f t="shared" si="2"/>
        <v>90</v>
      </c>
      <c r="K123">
        <f t="shared" si="2"/>
        <v>96.48</v>
      </c>
      <c r="L123">
        <f t="shared" si="2"/>
        <v>87.772679999999994</v>
      </c>
    </row>
    <row r="124" spans="1:12" x14ac:dyDescent="0.3">
      <c r="A124">
        <v>3025</v>
      </c>
      <c r="B124">
        <v>25</v>
      </c>
      <c r="C124">
        <v>25</v>
      </c>
      <c r="D124">
        <v>26.6</v>
      </c>
      <c r="E124">
        <v>23.816700000000001</v>
      </c>
      <c r="F124">
        <v>27.6</v>
      </c>
      <c r="G124">
        <v>27.6</v>
      </c>
      <c r="H124">
        <v>25</v>
      </c>
      <c r="I124">
        <f t="shared" si="2"/>
        <v>90</v>
      </c>
      <c r="J124">
        <f t="shared" si="2"/>
        <v>90</v>
      </c>
      <c r="K124">
        <f t="shared" si="2"/>
        <v>95.76</v>
      </c>
      <c r="L124">
        <f t="shared" si="2"/>
        <v>85.740120000000005</v>
      </c>
    </row>
    <row r="125" spans="1:12" x14ac:dyDescent="0.3">
      <c r="A125">
        <v>3050</v>
      </c>
      <c r="B125">
        <v>25.3</v>
      </c>
      <c r="C125">
        <v>25</v>
      </c>
      <c r="D125">
        <v>26.4</v>
      </c>
      <c r="E125">
        <v>23.330500000000001</v>
      </c>
      <c r="F125">
        <v>27.6</v>
      </c>
      <c r="G125">
        <v>27.5</v>
      </c>
      <c r="H125">
        <v>25</v>
      </c>
      <c r="I125">
        <f t="shared" si="2"/>
        <v>91.08</v>
      </c>
      <c r="J125">
        <f t="shared" si="2"/>
        <v>90</v>
      </c>
      <c r="K125">
        <f t="shared" si="2"/>
        <v>95.039999999999992</v>
      </c>
      <c r="L125">
        <f t="shared" si="2"/>
        <v>83.989800000000002</v>
      </c>
    </row>
    <row r="126" spans="1:12" x14ac:dyDescent="0.3">
      <c r="A126">
        <v>3075</v>
      </c>
      <c r="B126">
        <v>25.3</v>
      </c>
      <c r="C126">
        <v>25</v>
      </c>
      <c r="D126">
        <v>26.2</v>
      </c>
      <c r="E126">
        <v>23.223400000000002</v>
      </c>
      <c r="F126">
        <v>27.5</v>
      </c>
      <c r="G126">
        <v>27.4</v>
      </c>
      <c r="H126">
        <v>25</v>
      </c>
      <c r="I126">
        <f t="shared" si="2"/>
        <v>91.08</v>
      </c>
      <c r="J126">
        <f t="shared" si="2"/>
        <v>90</v>
      </c>
      <c r="K126">
        <f t="shared" si="2"/>
        <v>94.32</v>
      </c>
      <c r="L126">
        <f t="shared" si="2"/>
        <v>83.604240000000004</v>
      </c>
    </row>
    <row r="127" spans="1:12" x14ac:dyDescent="0.3">
      <c r="A127">
        <v>3100</v>
      </c>
      <c r="B127">
        <v>25.3</v>
      </c>
      <c r="C127">
        <v>25</v>
      </c>
      <c r="D127">
        <v>26</v>
      </c>
      <c r="E127">
        <v>23.625599999999999</v>
      </c>
      <c r="F127">
        <v>27.4</v>
      </c>
      <c r="G127">
        <v>27.3</v>
      </c>
      <c r="H127">
        <v>25</v>
      </c>
      <c r="I127">
        <f t="shared" si="2"/>
        <v>91.08</v>
      </c>
      <c r="J127">
        <f t="shared" si="2"/>
        <v>90</v>
      </c>
      <c r="K127">
        <f t="shared" si="2"/>
        <v>93.600000000000009</v>
      </c>
      <c r="L127">
        <f t="shared" si="2"/>
        <v>85.052160000000001</v>
      </c>
    </row>
    <row r="128" spans="1:12" x14ac:dyDescent="0.3">
      <c r="A128">
        <v>3125</v>
      </c>
      <c r="B128">
        <v>25.3</v>
      </c>
      <c r="C128">
        <v>25</v>
      </c>
      <c r="D128">
        <v>25.8</v>
      </c>
      <c r="E128">
        <v>24.179600000000001</v>
      </c>
      <c r="F128">
        <v>27.3</v>
      </c>
      <c r="G128">
        <v>27.2</v>
      </c>
      <c r="H128">
        <v>25</v>
      </c>
      <c r="I128">
        <f t="shared" si="2"/>
        <v>91.08</v>
      </c>
      <c r="J128">
        <f t="shared" si="2"/>
        <v>90</v>
      </c>
      <c r="K128">
        <f t="shared" si="2"/>
        <v>92.88000000000001</v>
      </c>
      <c r="L128">
        <f t="shared" si="2"/>
        <v>87.046559999999999</v>
      </c>
    </row>
    <row r="129" spans="1:12" x14ac:dyDescent="0.3">
      <c r="A129">
        <v>3150</v>
      </c>
      <c r="B129">
        <v>25.3</v>
      </c>
      <c r="C129">
        <v>25</v>
      </c>
      <c r="D129">
        <v>25.6</v>
      </c>
      <c r="E129">
        <v>24.323599999999999</v>
      </c>
      <c r="F129">
        <v>27.2</v>
      </c>
      <c r="G129">
        <v>27.1</v>
      </c>
      <c r="H129">
        <v>25</v>
      </c>
      <c r="I129">
        <f t="shared" si="2"/>
        <v>91.08</v>
      </c>
      <c r="J129">
        <f t="shared" si="2"/>
        <v>90</v>
      </c>
      <c r="K129">
        <f t="shared" si="2"/>
        <v>92.160000000000011</v>
      </c>
      <c r="L129">
        <f t="shared" si="2"/>
        <v>87.564959999999999</v>
      </c>
    </row>
    <row r="130" spans="1:12" x14ac:dyDescent="0.3">
      <c r="A130">
        <v>3175</v>
      </c>
      <c r="B130">
        <v>25.3</v>
      </c>
      <c r="C130">
        <v>25</v>
      </c>
      <c r="D130">
        <v>25.3</v>
      </c>
      <c r="E130">
        <v>24.380199999999999</v>
      </c>
      <c r="F130">
        <v>27.1</v>
      </c>
      <c r="G130">
        <v>27</v>
      </c>
      <c r="H130">
        <v>25</v>
      </c>
      <c r="I130">
        <f t="shared" si="2"/>
        <v>91.08</v>
      </c>
      <c r="J130">
        <f t="shared" si="2"/>
        <v>90</v>
      </c>
      <c r="K130">
        <f t="shared" si="2"/>
        <v>91.08</v>
      </c>
      <c r="L130">
        <f t="shared" si="2"/>
        <v>87.768720000000002</v>
      </c>
    </row>
    <row r="131" spans="1:12" x14ac:dyDescent="0.3">
      <c r="A131">
        <v>3200</v>
      </c>
      <c r="B131">
        <v>25.3</v>
      </c>
      <c r="C131">
        <v>25</v>
      </c>
      <c r="D131">
        <v>25</v>
      </c>
      <c r="E131">
        <v>24.394600000000001</v>
      </c>
      <c r="F131">
        <v>27</v>
      </c>
      <c r="G131">
        <v>26.9</v>
      </c>
      <c r="H131">
        <v>25</v>
      </c>
      <c r="I131">
        <f t="shared" si="2"/>
        <v>91.08</v>
      </c>
      <c r="J131">
        <f t="shared" si="2"/>
        <v>90</v>
      </c>
      <c r="K131">
        <f t="shared" si="2"/>
        <v>90</v>
      </c>
      <c r="L131">
        <f t="shared" ref="L131:L147" si="3">E131*3.6</f>
        <v>87.82056</v>
      </c>
    </row>
    <row r="132" spans="1:12" x14ac:dyDescent="0.3">
      <c r="A132">
        <v>3225</v>
      </c>
      <c r="B132">
        <v>25.3</v>
      </c>
      <c r="C132">
        <v>25</v>
      </c>
      <c r="D132">
        <v>25</v>
      </c>
      <c r="E132">
        <v>23.6965</v>
      </c>
      <c r="F132">
        <v>26.9</v>
      </c>
      <c r="G132">
        <v>26.8</v>
      </c>
      <c r="H132">
        <v>25</v>
      </c>
      <c r="I132">
        <f t="shared" ref="I132:K147" si="4">B132*3.6</f>
        <v>91.08</v>
      </c>
      <c r="J132">
        <f t="shared" si="4"/>
        <v>90</v>
      </c>
      <c r="K132">
        <f t="shared" si="4"/>
        <v>90</v>
      </c>
      <c r="L132">
        <f t="shared" si="3"/>
        <v>85.307400000000001</v>
      </c>
    </row>
    <row r="133" spans="1:12" x14ac:dyDescent="0.3">
      <c r="A133">
        <v>3250</v>
      </c>
      <c r="B133">
        <v>25.3</v>
      </c>
      <c r="C133">
        <v>25</v>
      </c>
      <c r="D133">
        <v>25</v>
      </c>
      <c r="E133">
        <v>23.307400000000001</v>
      </c>
      <c r="F133">
        <v>26.8</v>
      </c>
      <c r="G133">
        <v>26.7</v>
      </c>
      <c r="H133">
        <v>25</v>
      </c>
      <c r="I133">
        <f t="shared" si="4"/>
        <v>91.08</v>
      </c>
      <c r="J133">
        <f t="shared" si="4"/>
        <v>90</v>
      </c>
      <c r="K133">
        <f t="shared" si="4"/>
        <v>90</v>
      </c>
      <c r="L133">
        <f t="shared" si="3"/>
        <v>83.90664000000001</v>
      </c>
    </row>
    <row r="134" spans="1:12" x14ac:dyDescent="0.3">
      <c r="A134">
        <v>3275</v>
      </c>
      <c r="B134">
        <v>25.3</v>
      </c>
      <c r="C134">
        <v>25</v>
      </c>
      <c r="D134">
        <v>25.1</v>
      </c>
      <c r="E134">
        <v>23.182300000000001</v>
      </c>
      <c r="F134">
        <v>26.7</v>
      </c>
      <c r="G134">
        <v>26.6</v>
      </c>
      <c r="H134">
        <v>25</v>
      </c>
      <c r="I134">
        <f t="shared" si="4"/>
        <v>91.08</v>
      </c>
      <c r="J134">
        <f t="shared" si="4"/>
        <v>90</v>
      </c>
      <c r="K134">
        <f t="shared" si="4"/>
        <v>90.360000000000014</v>
      </c>
      <c r="L134">
        <f t="shared" si="3"/>
        <v>83.456280000000007</v>
      </c>
    </row>
    <row r="135" spans="1:12" x14ac:dyDescent="0.3">
      <c r="A135">
        <v>3300</v>
      </c>
      <c r="B135">
        <v>25.3</v>
      </c>
      <c r="C135">
        <v>25</v>
      </c>
      <c r="D135">
        <v>25</v>
      </c>
      <c r="E135">
        <v>23.500299999999999</v>
      </c>
      <c r="F135">
        <v>26.6</v>
      </c>
      <c r="G135">
        <v>26.5</v>
      </c>
      <c r="H135">
        <v>25</v>
      </c>
      <c r="I135">
        <f t="shared" si="4"/>
        <v>91.08</v>
      </c>
      <c r="J135">
        <f t="shared" si="4"/>
        <v>90</v>
      </c>
      <c r="K135">
        <f t="shared" si="4"/>
        <v>90</v>
      </c>
      <c r="L135">
        <f t="shared" si="3"/>
        <v>84.601079999999996</v>
      </c>
    </row>
    <row r="136" spans="1:12" x14ac:dyDescent="0.3">
      <c r="A136">
        <v>3325</v>
      </c>
      <c r="B136">
        <v>25.3</v>
      </c>
      <c r="C136">
        <v>25.2</v>
      </c>
      <c r="D136">
        <v>25</v>
      </c>
      <c r="E136">
        <v>23.3857</v>
      </c>
      <c r="F136">
        <v>26.5</v>
      </c>
      <c r="G136">
        <v>26.4</v>
      </c>
      <c r="H136">
        <v>25</v>
      </c>
      <c r="I136">
        <f t="shared" si="4"/>
        <v>91.08</v>
      </c>
      <c r="J136">
        <f t="shared" si="4"/>
        <v>90.72</v>
      </c>
      <c r="K136">
        <f t="shared" si="4"/>
        <v>90</v>
      </c>
      <c r="L136">
        <f t="shared" si="3"/>
        <v>84.188519999999997</v>
      </c>
    </row>
    <row r="137" spans="1:12" x14ac:dyDescent="0.3">
      <c r="A137">
        <v>3350</v>
      </c>
      <c r="B137">
        <v>25.3</v>
      </c>
      <c r="C137">
        <v>25.5</v>
      </c>
      <c r="D137">
        <v>25</v>
      </c>
      <c r="E137">
        <v>23.492899999999999</v>
      </c>
      <c r="F137">
        <v>26.4</v>
      </c>
      <c r="G137">
        <v>26.3</v>
      </c>
      <c r="H137">
        <v>25</v>
      </c>
      <c r="I137">
        <f t="shared" si="4"/>
        <v>91.08</v>
      </c>
      <c r="J137">
        <f t="shared" si="4"/>
        <v>91.8</v>
      </c>
      <c r="K137">
        <f t="shared" si="4"/>
        <v>90</v>
      </c>
      <c r="L137">
        <f t="shared" si="3"/>
        <v>84.574439999999996</v>
      </c>
    </row>
    <row r="138" spans="1:12" x14ac:dyDescent="0.3">
      <c r="A138">
        <v>3375</v>
      </c>
      <c r="B138">
        <v>25.3</v>
      </c>
      <c r="C138">
        <v>25.7</v>
      </c>
      <c r="D138">
        <v>25</v>
      </c>
      <c r="E138">
        <v>23.674900000000001</v>
      </c>
      <c r="F138">
        <v>26.3</v>
      </c>
      <c r="G138">
        <v>26.2</v>
      </c>
      <c r="H138">
        <v>25</v>
      </c>
      <c r="I138">
        <f t="shared" si="4"/>
        <v>91.08</v>
      </c>
      <c r="J138">
        <f t="shared" si="4"/>
        <v>92.52</v>
      </c>
      <c r="K138">
        <f t="shared" si="4"/>
        <v>90</v>
      </c>
      <c r="L138">
        <f t="shared" si="3"/>
        <v>85.229640000000003</v>
      </c>
    </row>
    <row r="139" spans="1:12" x14ac:dyDescent="0.3">
      <c r="A139">
        <v>3400</v>
      </c>
      <c r="B139">
        <v>25.3</v>
      </c>
      <c r="C139">
        <v>25.9</v>
      </c>
      <c r="D139">
        <v>25</v>
      </c>
      <c r="E139">
        <v>23.5139</v>
      </c>
      <c r="F139">
        <v>26.2</v>
      </c>
      <c r="G139">
        <v>26.1</v>
      </c>
      <c r="H139">
        <v>25</v>
      </c>
      <c r="I139">
        <f t="shared" si="4"/>
        <v>91.08</v>
      </c>
      <c r="J139">
        <f t="shared" si="4"/>
        <v>93.24</v>
      </c>
      <c r="K139">
        <f t="shared" si="4"/>
        <v>90</v>
      </c>
      <c r="L139">
        <f t="shared" si="3"/>
        <v>84.650040000000004</v>
      </c>
    </row>
    <row r="140" spans="1:12" x14ac:dyDescent="0.3">
      <c r="A140">
        <v>3425</v>
      </c>
      <c r="B140">
        <v>25.3</v>
      </c>
      <c r="C140">
        <v>25.8</v>
      </c>
      <c r="D140">
        <v>25</v>
      </c>
      <c r="E140">
        <v>23.4055</v>
      </c>
      <c r="F140">
        <v>26.1</v>
      </c>
      <c r="G140">
        <v>26</v>
      </c>
      <c r="H140">
        <v>25</v>
      </c>
      <c r="I140">
        <f t="shared" si="4"/>
        <v>91.08</v>
      </c>
      <c r="J140">
        <f t="shared" si="4"/>
        <v>92.88000000000001</v>
      </c>
      <c r="K140">
        <f t="shared" si="4"/>
        <v>90</v>
      </c>
      <c r="L140">
        <f t="shared" si="3"/>
        <v>84.259799999999998</v>
      </c>
    </row>
    <row r="141" spans="1:12" x14ac:dyDescent="0.3">
      <c r="A141">
        <v>3450</v>
      </c>
      <c r="B141">
        <v>25.3</v>
      </c>
      <c r="C141">
        <v>25.7</v>
      </c>
      <c r="D141">
        <v>25</v>
      </c>
      <c r="E141">
        <v>23.827000000000002</v>
      </c>
      <c r="F141">
        <v>26</v>
      </c>
      <c r="G141">
        <v>25.9</v>
      </c>
      <c r="H141">
        <v>25</v>
      </c>
      <c r="I141">
        <f t="shared" si="4"/>
        <v>91.08</v>
      </c>
      <c r="J141">
        <f t="shared" si="4"/>
        <v>92.52</v>
      </c>
      <c r="K141">
        <f t="shared" si="4"/>
        <v>90</v>
      </c>
      <c r="L141">
        <f t="shared" si="3"/>
        <v>85.777200000000008</v>
      </c>
    </row>
    <row r="142" spans="1:12" x14ac:dyDescent="0.3">
      <c r="A142">
        <v>3475</v>
      </c>
      <c r="B142">
        <v>25.2</v>
      </c>
      <c r="C142">
        <v>25.6</v>
      </c>
      <c r="D142">
        <v>25</v>
      </c>
      <c r="E142">
        <v>24.383700000000001</v>
      </c>
      <c r="F142">
        <v>25.9</v>
      </c>
      <c r="G142">
        <v>25.8</v>
      </c>
      <c r="H142">
        <v>25</v>
      </c>
      <c r="I142">
        <f t="shared" si="4"/>
        <v>90.72</v>
      </c>
      <c r="J142">
        <f t="shared" si="4"/>
        <v>92.160000000000011</v>
      </c>
      <c r="K142">
        <f t="shared" si="4"/>
        <v>90</v>
      </c>
      <c r="L142">
        <f t="shared" si="3"/>
        <v>87.781320000000008</v>
      </c>
    </row>
    <row r="143" spans="1:12" x14ac:dyDescent="0.3">
      <c r="A143">
        <v>3500</v>
      </c>
      <c r="B143">
        <v>25.2</v>
      </c>
      <c r="C143">
        <v>25.5</v>
      </c>
      <c r="D143">
        <v>25</v>
      </c>
      <c r="E143">
        <v>24.996300000000002</v>
      </c>
      <c r="F143">
        <v>25.8</v>
      </c>
      <c r="G143">
        <v>25.7</v>
      </c>
      <c r="H143">
        <v>25</v>
      </c>
      <c r="I143">
        <f t="shared" si="4"/>
        <v>90.72</v>
      </c>
      <c r="J143">
        <f t="shared" si="4"/>
        <v>91.8</v>
      </c>
      <c r="K143">
        <f t="shared" si="4"/>
        <v>90</v>
      </c>
      <c r="L143">
        <f t="shared" si="3"/>
        <v>89.986680000000007</v>
      </c>
    </row>
    <row r="144" spans="1:12" x14ac:dyDescent="0.3">
      <c r="A144">
        <v>3525</v>
      </c>
      <c r="B144">
        <v>25.1</v>
      </c>
      <c r="C144">
        <v>25.3</v>
      </c>
      <c r="D144">
        <v>25</v>
      </c>
      <c r="E144">
        <v>25.571400000000001</v>
      </c>
      <c r="F144">
        <v>25.6</v>
      </c>
      <c r="G144">
        <v>25.6</v>
      </c>
      <c r="H144">
        <v>25</v>
      </c>
      <c r="I144">
        <f t="shared" si="4"/>
        <v>90.360000000000014</v>
      </c>
      <c r="J144">
        <f t="shared" si="4"/>
        <v>91.08</v>
      </c>
      <c r="K144">
        <f t="shared" si="4"/>
        <v>90</v>
      </c>
      <c r="L144">
        <f t="shared" si="3"/>
        <v>92.057040000000001</v>
      </c>
    </row>
    <row r="145" spans="1:12" x14ac:dyDescent="0.3">
      <c r="A145">
        <v>3550</v>
      </c>
      <c r="B145">
        <v>25</v>
      </c>
      <c r="C145">
        <v>25.2</v>
      </c>
      <c r="D145">
        <v>25</v>
      </c>
      <c r="E145">
        <v>26.1053</v>
      </c>
      <c r="F145">
        <v>25.4</v>
      </c>
      <c r="G145">
        <v>25.4</v>
      </c>
      <c r="H145">
        <v>25</v>
      </c>
      <c r="I145">
        <f t="shared" si="4"/>
        <v>90</v>
      </c>
      <c r="J145">
        <f t="shared" si="4"/>
        <v>90.72</v>
      </c>
      <c r="K145">
        <f t="shared" si="4"/>
        <v>90</v>
      </c>
      <c r="L145">
        <f t="shared" si="3"/>
        <v>93.979079999999996</v>
      </c>
    </row>
    <row r="146" spans="1:12" x14ac:dyDescent="0.3">
      <c r="A146">
        <v>3575</v>
      </c>
      <c r="B146">
        <v>25</v>
      </c>
      <c r="C146">
        <v>25.1</v>
      </c>
      <c r="D146">
        <v>25</v>
      </c>
      <c r="E146">
        <v>26.2529</v>
      </c>
      <c r="F146">
        <v>25.2</v>
      </c>
      <c r="G146">
        <v>25.2</v>
      </c>
      <c r="H146">
        <v>25</v>
      </c>
      <c r="I146">
        <f t="shared" si="4"/>
        <v>90</v>
      </c>
      <c r="J146">
        <f t="shared" si="4"/>
        <v>90.360000000000014</v>
      </c>
      <c r="K146">
        <f t="shared" si="4"/>
        <v>90</v>
      </c>
      <c r="L146">
        <f t="shared" si="3"/>
        <v>94.510440000000003</v>
      </c>
    </row>
    <row r="147" spans="1:12" x14ac:dyDescent="0.3">
      <c r="A147">
        <v>3600</v>
      </c>
      <c r="B147">
        <v>25</v>
      </c>
      <c r="C147">
        <v>25</v>
      </c>
      <c r="D147">
        <v>25</v>
      </c>
      <c r="E147">
        <v>26.347000000000001</v>
      </c>
      <c r="F147">
        <v>25</v>
      </c>
      <c r="G147">
        <v>25</v>
      </c>
      <c r="H147">
        <v>25</v>
      </c>
      <c r="I147">
        <f t="shared" si="4"/>
        <v>90</v>
      </c>
      <c r="J147">
        <f t="shared" si="4"/>
        <v>90</v>
      </c>
      <c r="K147">
        <f t="shared" si="4"/>
        <v>90</v>
      </c>
      <c r="L147">
        <f t="shared" si="3"/>
        <v>94.84920000000001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147"/>
  <sheetViews>
    <sheetView tabSelected="1" workbookViewId="0">
      <selection activeCell="R22" sqref="R22"/>
    </sheetView>
  </sheetViews>
  <sheetFormatPr defaultRowHeight="14" x14ac:dyDescent="0.3"/>
  <sheetData>
    <row r="2" spans="1:8" x14ac:dyDescent="0.3">
      <c r="B2" t="s">
        <v>0</v>
      </c>
      <c r="C2" s="1" t="s">
        <v>1</v>
      </c>
      <c r="D2" s="1" t="s">
        <v>2</v>
      </c>
      <c r="E2" t="s">
        <v>7</v>
      </c>
      <c r="F2" t="s">
        <v>16</v>
      </c>
      <c r="G2" s="1" t="s">
        <v>15</v>
      </c>
    </row>
    <row r="3" spans="1:8" x14ac:dyDescent="0.3">
      <c r="A3">
        <v>0</v>
      </c>
      <c r="B3">
        <v>2.28959</v>
      </c>
      <c r="C3">
        <v>2.28959</v>
      </c>
      <c r="D3">
        <v>1.6112299999999999</v>
      </c>
      <c r="E3">
        <f>D3-B3</f>
        <v>-0.67836000000000007</v>
      </c>
      <c r="F3">
        <f>B3</f>
        <v>2.28959</v>
      </c>
      <c r="G3">
        <f>D3</f>
        <v>1.6112299999999999</v>
      </c>
      <c r="H3">
        <f>G3-F3</f>
        <v>-0.67836000000000007</v>
      </c>
    </row>
    <row r="4" spans="1:8" x14ac:dyDescent="0.3">
      <c r="A4">
        <v>25</v>
      </c>
      <c r="B4">
        <v>2.3180999999999998</v>
      </c>
      <c r="C4">
        <v>2.3180999999999998</v>
      </c>
      <c r="D4">
        <v>1.6112299999999999</v>
      </c>
      <c r="E4">
        <f t="shared" ref="E4:E67" si="0">D4-B4</f>
        <v>-0.70686999999999989</v>
      </c>
      <c r="F4">
        <f>F3+B4</f>
        <v>4.6076899999999998</v>
      </c>
      <c r="G4">
        <f>G3+D4</f>
        <v>3.2224599999999999</v>
      </c>
      <c r="H4">
        <f t="shared" ref="H4:H67" si="1">G4-F4</f>
        <v>-1.38523</v>
      </c>
    </row>
    <row r="5" spans="1:8" x14ac:dyDescent="0.3">
      <c r="A5">
        <v>50</v>
      </c>
      <c r="B5">
        <v>2.2807200000000001</v>
      </c>
      <c r="C5">
        <v>2.2807200000000001</v>
      </c>
      <c r="D5">
        <v>1.6112299999999999</v>
      </c>
      <c r="E5">
        <f t="shared" si="0"/>
        <v>-0.66949000000000014</v>
      </c>
      <c r="F5">
        <f t="shared" ref="F5:F68" si="2">F4+B5</f>
        <v>6.8884100000000004</v>
      </c>
      <c r="G5">
        <f t="shared" ref="G5:G68" si="3">G4+D5</f>
        <v>4.8336899999999998</v>
      </c>
      <c r="H5">
        <f t="shared" si="1"/>
        <v>-2.0547200000000005</v>
      </c>
    </row>
    <row r="6" spans="1:8" x14ac:dyDescent="0.3">
      <c r="A6">
        <v>75</v>
      </c>
      <c r="B6">
        <v>2.2066699999999999</v>
      </c>
      <c r="C6">
        <v>2.2066699999999999</v>
      </c>
      <c r="D6">
        <v>1.6112299999999999</v>
      </c>
      <c r="E6">
        <f t="shared" si="0"/>
        <v>-0.59543999999999997</v>
      </c>
      <c r="F6">
        <f t="shared" si="2"/>
        <v>9.0950799999999994</v>
      </c>
      <c r="G6">
        <f t="shared" si="3"/>
        <v>6.4449199999999998</v>
      </c>
      <c r="H6">
        <f t="shared" si="1"/>
        <v>-2.6501599999999996</v>
      </c>
    </row>
    <row r="7" spans="1:8" x14ac:dyDescent="0.3">
      <c r="A7">
        <v>100</v>
      </c>
      <c r="B7">
        <v>1.97522</v>
      </c>
      <c r="C7">
        <v>1.97522</v>
      </c>
      <c r="D7">
        <v>1.6106199999999999</v>
      </c>
      <c r="E7">
        <f t="shared" si="0"/>
        <v>-0.36460000000000004</v>
      </c>
      <c r="F7">
        <f t="shared" si="2"/>
        <v>11.0703</v>
      </c>
      <c r="G7">
        <f t="shared" si="3"/>
        <v>8.0555400000000006</v>
      </c>
      <c r="H7">
        <f t="shared" si="1"/>
        <v>-3.014759999999999</v>
      </c>
    </row>
    <row r="8" spans="1:8" x14ac:dyDescent="0.3">
      <c r="A8">
        <v>125</v>
      </c>
      <c r="B8">
        <v>1.5873200000000001</v>
      </c>
      <c r="C8">
        <v>1.5873200000000001</v>
      </c>
      <c r="D8">
        <v>1.6106199999999999</v>
      </c>
      <c r="E8">
        <f t="shared" si="0"/>
        <v>2.3299999999999876E-2</v>
      </c>
      <c r="F8">
        <f t="shared" si="2"/>
        <v>12.65762</v>
      </c>
      <c r="G8">
        <f t="shared" si="3"/>
        <v>9.6661600000000014</v>
      </c>
      <c r="H8">
        <f t="shared" si="1"/>
        <v>-2.9914599999999982</v>
      </c>
    </row>
    <row r="9" spans="1:8" x14ac:dyDescent="0.3">
      <c r="A9">
        <v>150</v>
      </c>
      <c r="B9">
        <v>0.49736799999999998</v>
      </c>
      <c r="C9">
        <v>0.49736799999999998</v>
      </c>
      <c r="D9">
        <v>2.5857600000000001</v>
      </c>
      <c r="E9">
        <f t="shared" si="0"/>
        <v>2.0883920000000002</v>
      </c>
      <c r="F9">
        <f t="shared" si="2"/>
        <v>13.154987999999999</v>
      </c>
      <c r="G9">
        <f t="shared" si="3"/>
        <v>12.251920000000002</v>
      </c>
      <c r="H9">
        <f t="shared" si="1"/>
        <v>-0.90306799999999754</v>
      </c>
    </row>
    <row r="10" spans="1:8" x14ac:dyDescent="0.3">
      <c r="A10">
        <v>175</v>
      </c>
      <c r="B10">
        <v>1.2803500000000001</v>
      </c>
      <c r="C10">
        <v>1.2803500000000001</v>
      </c>
      <c r="D10">
        <v>0.36979899999999999</v>
      </c>
      <c r="E10">
        <f t="shared" si="0"/>
        <v>-0.91055100000000011</v>
      </c>
      <c r="F10">
        <f t="shared" si="2"/>
        <v>14.435338</v>
      </c>
      <c r="G10">
        <f t="shared" si="3"/>
        <v>12.621719000000002</v>
      </c>
      <c r="H10">
        <f t="shared" si="1"/>
        <v>-1.8136189999999974</v>
      </c>
    </row>
    <row r="11" spans="1:8" x14ac:dyDescent="0.3">
      <c r="A11">
        <v>200</v>
      </c>
      <c r="B11">
        <v>1.6204799999999999</v>
      </c>
      <c r="C11">
        <v>1.6204799999999999</v>
      </c>
      <c r="D11">
        <v>2.4036400000000002</v>
      </c>
      <c r="E11">
        <f t="shared" si="0"/>
        <v>0.7831600000000003</v>
      </c>
      <c r="F11">
        <f t="shared" si="2"/>
        <v>16.055817999999999</v>
      </c>
      <c r="G11">
        <f t="shared" si="3"/>
        <v>15.025359000000002</v>
      </c>
      <c r="H11">
        <f t="shared" si="1"/>
        <v>-1.0304589999999969</v>
      </c>
    </row>
    <row r="12" spans="1:8" x14ac:dyDescent="0.3">
      <c r="A12">
        <v>225</v>
      </c>
      <c r="B12">
        <v>1.60215</v>
      </c>
      <c r="C12">
        <v>1.60215</v>
      </c>
      <c r="D12">
        <v>2.4237500000000001</v>
      </c>
      <c r="E12">
        <f t="shared" si="0"/>
        <v>0.82160000000000011</v>
      </c>
      <c r="F12">
        <f t="shared" si="2"/>
        <v>17.657967999999997</v>
      </c>
      <c r="G12">
        <f t="shared" si="3"/>
        <v>17.449109</v>
      </c>
      <c r="H12">
        <f t="shared" si="1"/>
        <v>-0.2088589999999968</v>
      </c>
    </row>
    <row r="13" spans="1:8" x14ac:dyDescent="0.3">
      <c r="A13">
        <v>250</v>
      </c>
      <c r="B13">
        <v>1.5218700000000001</v>
      </c>
      <c r="C13">
        <v>1.5218700000000001</v>
      </c>
      <c r="D13">
        <v>0.72526400000000002</v>
      </c>
      <c r="E13">
        <f t="shared" si="0"/>
        <v>-0.79660600000000004</v>
      </c>
      <c r="F13">
        <f t="shared" si="2"/>
        <v>19.179837999999997</v>
      </c>
      <c r="G13">
        <f t="shared" si="3"/>
        <v>18.174372999999999</v>
      </c>
      <c r="H13">
        <f t="shared" si="1"/>
        <v>-1.0054649999999974</v>
      </c>
    </row>
    <row r="14" spans="1:8" x14ac:dyDescent="0.3">
      <c r="A14">
        <v>275</v>
      </c>
      <c r="B14">
        <v>1.5219100000000001</v>
      </c>
      <c r="C14">
        <v>1.5219100000000001</v>
      </c>
      <c r="D14">
        <v>0.65889699999999995</v>
      </c>
      <c r="E14">
        <f t="shared" si="0"/>
        <v>-0.86301300000000014</v>
      </c>
      <c r="F14">
        <f t="shared" si="2"/>
        <v>20.701747999999995</v>
      </c>
      <c r="G14">
        <f t="shared" si="3"/>
        <v>18.833269999999999</v>
      </c>
      <c r="H14">
        <f t="shared" si="1"/>
        <v>-1.8684779999999961</v>
      </c>
    </row>
    <row r="15" spans="1:8" x14ac:dyDescent="0.3">
      <c r="A15">
        <v>300</v>
      </c>
      <c r="B15">
        <v>1.51414</v>
      </c>
      <c r="C15">
        <v>1.51414</v>
      </c>
      <c r="D15">
        <v>2.6362000000000001</v>
      </c>
      <c r="E15">
        <f t="shared" si="0"/>
        <v>1.1220600000000001</v>
      </c>
      <c r="F15">
        <f t="shared" si="2"/>
        <v>22.215887999999996</v>
      </c>
      <c r="G15">
        <f t="shared" si="3"/>
        <v>21.469469999999998</v>
      </c>
      <c r="H15">
        <f t="shared" si="1"/>
        <v>-0.74641799999999847</v>
      </c>
    </row>
    <row r="16" spans="1:8" x14ac:dyDescent="0.3">
      <c r="A16">
        <v>325</v>
      </c>
      <c r="B16">
        <v>1.5150600000000001</v>
      </c>
      <c r="C16">
        <v>1.5150600000000001</v>
      </c>
      <c r="D16">
        <v>1.4374100000000001</v>
      </c>
      <c r="E16">
        <f t="shared" si="0"/>
        <v>-7.7649999999999997E-2</v>
      </c>
      <c r="F16">
        <f t="shared" si="2"/>
        <v>23.730947999999998</v>
      </c>
      <c r="G16">
        <f t="shared" si="3"/>
        <v>22.906879999999997</v>
      </c>
      <c r="H16">
        <f t="shared" si="1"/>
        <v>-0.82406800000000047</v>
      </c>
    </row>
    <row r="17" spans="1:8" x14ac:dyDescent="0.3">
      <c r="A17">
        <v>350</v>
      </c>
      <c r="B17">
        <v>1.48844</v>
      </c>
      <c r="C17">
        <v>1.48844</v>
      </c>
      <c r="D17">
        <v>0.45880300000000002</v>
      </c>
      <c r="E17">
        <f t="shared" si="0"/>
        <v>-1.0296369999999999</v>
      </c>
      <c r="F17">
        <f t="shared" si="2"/>
        <v>25.219387999999999</v>
      </c>
      <c r="G17">
        <f t="shared" si="3"/>
        <v>23.365682999999997</v>
      </c>
      <c r="H17">
        <f t="shared" si="1"/>
        <v>-1.8537050000000015</v>
      </c>
    </row>
    <row r="18" spans="1:8" x14ac:dyDescent="0.3">
      <c r="A18">
        <v>375</v>
      </c>
      <c r="B18">
        <v>1.4767399999999999</v>
      </c>
      <c r="C18">
        <v>1.4767399999999999</v>
      </c>
      <c r="D18">
        <v>0.48085800000000001</v>
      </c>
      <c r="E18">
        <f t="shared" si="0"/>
        <v>-0.99588199999999993</v>
      </c>
      <c r="F18">
        <f t="shared" si="2"/>
        <v>26.696127999999998</v>
      </c>
      <c r="G18">
        <f t="shared" si="3"/>
        <v>23.846540999999998</v>
      </c>
      <c r="H18">
        <f t="shared" si="1"/>
        <v>-2.8495869999999996</v>
      </c>
    </row>
    <row r="19" spans="1:8" x14ac:dyDescent="0.3">
      <c r="A19">
        <v>400</v>
      </c>
      <c r="B19">
        <v>1.5111600000000001</v>
      </c>
      <c r="C19">
        <v>1.5111600000000001</v>
      </c>
      <c r="D19">
        <v>0.90751800000000005</v>
      </c>
      <c r="E19">
        <f t="shared" si="0"/>
        <v>-0.60364200000000001</v>
      </c>
      <c r="F19">
        <f t="shared" si="2"/>
        <v>28.207287999999998</v>
      </c>
      <c r="G19">
        <f t="shared" si="3"/>
        <v>24.754058999999998</v>
      </c>
      <c r="H19">
        <f t="shared" si="1"/>
        <v>-3.4532290000000003</v>
      </c>
    </row>
    <row r="20" spans="1:8" x14ac:dyDescent="0.3">
      <c r="A20">
        <v>425</v>
      </c>
      <c r="B20">
        <v>0.48130000000000001</v>
      </c>
      <c r="C20">
        <v>0.48130000000000001</v>
      </c>
      <c r="D20">
        <v>1.49868</v>
      </c>
      <c r="E20">
        <f t="shared" si="0"/>
        <v>1.01738</v>
      </c>
      <c r="F20">
        <f t="shared" si="2"/>
        <v>28.688587999999999</v>
      </c>
      <c r="G20">
        <f t="shared" si="3"/>
        <v>26.252738999999998</v>
      </c>
      <c r="H20">
        <f t="shared" si="1"/>
        <v>-2.435849000000001</v>
      </c>
    </row>
    <row r="21" spans="1:8" x14ac:dyDescent="0.3">
      <c r="A21">
        <v>450</v>
      </c>
      <c r="B21">
        <v>1.5571900000000001</v>
      </c>
      <c r="C21">
        <v>1.5571900000000001</v>
      </c>
      <c r="D21">
        <v>1.01047</v>
      </c>
      <c r="E21">
        <f t="shared" si="0"/>
        <v>-0.54672000000000009</v>
      </c>
      <c r="F21">
        <f t="shared" si="2"/>
        <v>30.245777999999998</v>
      </c>
      <c r="G21">
        <f t="shared" si="3"/>
        <v>27.263209</v>
      </c>
      <c r="H21">
        <f t="shared" si="1"/>
        <v>-2.982568999999998</v>
      </c>
    </row>
    <row r="22" spans="1:8" x14ac:dyDescent="0.3">
      <c r="A22">
        <v>475</v>
      </c>
      <c r="B22">
        <v>1.4860599999999999</v>
      </c>
      <c r="C22">
        <v>1.4860599999999999</v>
      </c>
      <c r="D22">
        <v>1.4534400000000001</v>
      </c>
      <c r="E22">
        <f t="shared" si="0"/>
        <v>-3.2619999999999871E-2</v>
      </c>
      <c r="F22">
        <f t="shared" si="2"/>
        <v>31.731837999999996</v>
      </c>
      <c r="G22">
        <f t="shared" si="3"/>
        <v>28.716649</v>
      </c>
      <c r="H22">
        <f t="shared" si="1"/>
        <v>-3.0151889999999959</v>
      </c>
    </row>
    <row r="23" spans="1:8" x14ac:dyDescent="0.3">
      <c r="A23">
        <v>500</v>
      </c>
      <c r="B23">
        <v>0.45401900000000001</v>
      </c>
      <c r="C23">
        <v>0.45401900000000001</v>
      </c>
      <c r="D23">
        <v>0.51751599999999998</v>
      </c>
      <c r="E23">
        <f t="shared" si="0"/>
        <v>6.349699999999997E-2</v>
      </c>
      <c r="F23">
        <f t="shared" si="2"/>
        <v>32.185856999999999</v>
      </c>
      <c r="G23">
        <f t="shared" si="3"/>
        <v>29.234165000000001</v>
      </c>
      <c r="H23">
        <f t="shared" si="1"/>
        <v>-2.9516919999999978</v>
      </c>
    </row>
    <row r="24" spans="1:8" x14ac:dyDescent="0.3">
      <c r="A24">
        <v>525</v>
      </c>
      <c r="B24">
        <v>1.5473399999999999</v>
      </c>
      <c r="C24">
        <v>1.5473399999999999</v>
      </c>
      <c r="D24">
        <v>0.50532200000000005</v>
      </c>
      <c r="E24">
        <f t="shared" si="0"/>
        <v>-1.0420179999999999</v>
      </c>
      <c r="F24">
        <f t="shared" si="2"/>
        <v>33.733196999999997</v>
      </c>
      <c r="G24">
        <f t="shared" si="3"/>
        <v>29.739487</v>
      </c>
      <c r="H24">
        <f t="shared" si="1"/>
        <v>-3.9937099999999965</v>
      </c>
    </row>
    <row r="25" spans="1:8" x14ac:dyDescent="0.3">
      <c r="A25">
        <v>550</v>
      </c>
      <c r="B25">
        <v>1.4639899999999999</v>
      </c>
      <c r="C25">
        <v>1.4639899999999999</v>
      </c>
      <c r="D25">
        <v>0.72272199999999998</v>
      </c>
      <c r="E25">
        <f t="shared" si="0"/>
        <v>-0.74126799999999993</v>
      </c>
      <c r="F25">
        <f t="shared" si="2"/>
        <v>35.197187</v>
      </c>
      <c r="G25">
        <f t="shared" si="3"/>
        <v>30.462209000000001</v>
      </c>
      <c r="H25">
        <f t="shared" si="1"/>
        <v>-4.7349779999999981</v>
      </c>
    </row>
    <row r="26" spans="1:8" x14ac:dyDescent="0.3">
      <c r="A26">
        <v>575</v>
      </c>
      <c r="B26">
        <v>1.5270699999999999</v>
      </c>
      <c r="C26">
        <v>1.5270699999999999</v>
      </c>
      <c r="D26">
        <v>0.72272199999999998</v>
      </c>
      <c r="E26">
        <f t="shared" si="0"/>
        <v>-0.80434799999999995</v>
      </c>
      <c r="F26">
        <f t="shared" si="2"/>
        <v>36.724257000000001</v>
      </c>
      <c r="G26">
        <f t="shared" si="3"/>
        <v>31.184931000000002</v>
      </c>
      <c r="H26">
        <f t="shared" si="1"/>
        <v>-5.5393259999999991</v>
      </c>
    </row>
    <row r="27" spans="1:8" x14ac:dyDescent="0.3">
      <c r="A27">
        <v>600</v>
      </c>
      <c r="B27">
        <v>0.71038000000000001</v>
      </c>
      <c r="C27">
        <v>0.71038000000000001</v>
      </c>
      <c r="D27">
        <v>0.68254999999999999</v>
      </c>
      <c r="E27">
        <f t="shared" si="0"/>
        <v>-2.7830000000000021E-2</v>
      </c>
      <c r="F27">
        <f t="shared" si="2"/>
        <v>37.434637000000002</v>
      </c>
      <c r="G27">
        <f t="shared" si="3"/>
        <v>31.867481000000002</v>
      </c>
      <c r="H27">
        <f t="shared" si="1"/>
        <v>-5.5671560000000007</v>
      </c>
    </row>
    <row r="28" spans="1:8" x14ac:dyDescent="0.3">
      <c r="A28">
        <v>625</v>
      </c>
      <c r="B28">
        <v>0.71604599999999996</v>
      </c>
      <c r="C28">
        <v>0.71604599999999996</v>
      </c>
      <c r="D28">
        <v>0.68254999999999999</v>
      </c>
      <c r="E28">
        <f t="shared" si="0"/>
        <v>-3.349599999999997E-2</v>
      </c>
      <c r="F28">
        <f t="shared" si="2"/>
        <v>38.150683000000001</v>
      </c>
      <c r="G28">
        <f t="shared" si="3"/>
        <v>32.550031000000004</v>
      </c>
      <c r="H28">
        <f t="shared" si="1"/>
        <v>-5.6006519999999966</v>
      </c>
    </row>
    <row r="29" spans="1:8" x14ac:dyDescent="0.3">
      <c r="A29">
        <v>650</v>
      </c>
      <c r="B29">
        <v>1.48167</v>
      </c>
      <c r="C29">
        <v>1.48167</v>
      </c>
      <c r="D29">
        <v>0.39573999999999998</v>
      </c>
      <c r="E29">
        <f t="shared" si="0"/>
        <v>-1.0859300000000001</v>
      </c>
      <c r="F29">
        <f t="shared" si="2"/>
        <v>39.632353000000002</v>
      </c>
      <c r="G29">
        <f t="shared" si="3"/>
        <v>32.945771000000008</v>
      </c>
      <c r="H29">
        <f t="shared" si="1"/>
        <v>-6.6865819999999943</v>
      </c>
    </row>
    <row r="30" spans="1:8" x14ac:dyDescent="0.3">
      <c r="A30">
        <v>675</v>
      </c>
      <c r="B30">
        <v>1.97783</v>
      </c>
      <c r="C30">
        <v>1.97783</v>
      </c>
      <c r="D30">
        <v>0.39573999999999998</v>
      </c>
      <c r="E30">
        <f t="shared" si="0"/>
        <v>-1.58209</v>
      </c>
      <c r="F30">
        <f t="shared" si="2"/>
        <v>41.610182999999999</v>
      </c>
      <c r="G30">
        <f t="shared" si="3"/>
        <v>33.341511000000011</v>
      </c>
      <c r="H30">
        <f t="shared" si="1"/>
        <v>-8.268671999999988</v>
      </c>
    </row>
    <row r="31" spans="1:8" x14ac:dyDescent="0.3">
      <c r="A31">
        <v>700</v>
      </c>
      <c r="B31">
        <v>1.9720899999999999</v>
      </c>
      <c r="C31">
        <v>1.9720899999999999</v>
      </c>
      <c r="D31">
        <v>0.39587899999999998</v>
      </c>
      <c r="E31">
        <f t="shared" si="0"/>
        <v>-1.5762109999999998</v>
      </c>
      <c r="F31">
        <f t="shared" si="2"/>
        <v>43.582273000000001</v>
      </c>
      <c r="G31">
        <f t="shared" si="3"/>
        <v>33.737390000000012</v>
      </c>
      <c r="H31">
        <f t="shared" si="1"/>
        <v>-9.8448829999999887</v>
      </c>
    </row>
    <row r="32" spans="1:8" x14ac:dyDescent="0.3">
      <c r="A32">
        <v>725</v>
      </c>
      <c r="B32">
        <v>1.9137500000000001</v>
      </c>
      <c r="C32">
        <v>1.9137500000000001</v>
      </c>
      <c r="D32">
        <v>0.39587899999999998</v>
      </c>
      <c r="E32">
        <f t="shared" si="0"/>
        <v>-1.517871</v>
      </c>
      <c r="F32">
        <f t="shared" si="2"/>
        <v>45.496023000000001</v>
      </c>
      <c r="G32">
        <f t="shared" si="3"/>
        <v>34.133269000000013</v>
      </c>
      <c r="H32">
        <f t="shared" si="1"/>
        <v>-11.362753999999988</v>
      </c>
    </row>
    <row r="33" spans="1:8" x14ac:dyDescent="0.3">
      <c r="A33">
        <v>750</v>
      </c>
      <c r="B33">
        <v>0.52772200000000002</v>
      </c>
      <c r="C33">
        <v>0.52772200000000002</v>
      </c>
      <c r="D33">
        <v>0.39587899999999998</v>
      </c>
      <c r="E33">
        <f t="shared" si="0"/>
        <v>-0.13184300000000004</v>
      </c>
      <c r="F33">
        <f t="shared" si="2"/>
        <v>46.023744999999998</v>
      </c>
      <c r="G33">
        <f t="shared" si="3"/>
        <v>34.529148000000013</v>
      </c>
      <c r="H33">
        <f t="shared" si="1"/>
        <v>-11.494596999999985</v>
      </c>
    </row>
    <row r="34" spans="1:8" x14ac:dyDescent="0.3">
      <c r="A34">
        <v>775</v>
      </c>
      <c r="B34">
        <v>0.46573900000000001</v>
      </c>
      <c r="C34">
        <v>0.46573900000000001</v>
      </c>
      <c r="D34">
        <v>0.39587899999999998</v>
      </c>
      <c r="E34">
        <f t="shared" si="0"/>
        <v>-6.9860000000000033E-2</v>
      </c>
      <c r="F34">
        <f t="shared" si="2"/>
        <v>46.489483999999997</v>
      </c>
      <c r="G34">
        <f t="shared" si="3"/>
        <v>34.925027000000014</v>
      </c>
      <c r="H34">
        <f t="shared" si="1"/>
        <v>-11.564456999999983</v>
      </c>
    </row>
    <row r="35" spans="1:8" x14ac:dyDescent="0.3">
      <c r="A35">
        <v>800</v>
      </c>
      <c r="B35">
        <v>0.46680500000000003</v>
      </c>
      <c r="C35">
        <v>0.46680500000000003</v>
      </c>
      <c r="D35">
        <v>0.39587899999999998</v>
      </c>
      <c r="E35">
        <f t="shared" si="0"/>
        <v>-7.0926000000000045E-2</v>
      </c>
      <c r="F35">
        <f t="shared" si="2"/>
        <v>46.956288999999998</v>
      </c>
      <c r="G35">
        <f t="shared" si="3"/>
        <v>35.320906000000015</v>
      </c>
      <c r="H35">
        <f t="shared" si="1"/>
        <v>-11.635382999999983</v>
      </c>
    </row>
    <row r="36" spans="1:8" x14ac:dyDescent="0.3">
      <c r="A36">
        <v>825</v>
      </c>
      <c r="B36">
        <v>0.49054300000000001</v>
      </c>
      <c r="C36">
        <v>0.49054300000000001</v>
      </c>
      <c r="D36">
        <v>0.39587899999999998</v>
      </c>
      <c r="E36">
        <f t="shared" si="0"/>
        <v>-9.4664000000000026E-2</v>
      </c>
      <c r="F36">
        <f t="shared" si="2"/>
        <v>47.446832000000001</v>
      </c>
      <c r="G36">
        <f t="shared" si="3"/>
        <v>35.716785000000016</v>
      </c>
      <c r="H36">
        <f t="shared" si="1"/>
        <v>-11.730046999999985</v>
      </c>
    </row>
    <row r="37" spans="1:8" x14ac:dyDescent="0.3">
      <c r="A37">
        <v>850</v>
      </c>
      <c r="B37">
        <v>1.615</v>
      </c>
      <c r="C37">
        <v>1.615</v>
      </c>
      <c r="D37">
        <v>0.39587899999999998</v>
      </c>
      <c r="E37">
        <f t="shared" si="0"/>
        <v>-1.2191209999999999</v>
      </c>
      <c r="F37">
        <f t="shared" si="2"/>
        <v>49.061832000000003</v>
      </c>
      <c r="G37">
        <f t="shared" si="3"/>
        <v>36.112664000000017</v>
      </c>
      <c r="H37">
        <f t="shared" si="1"/>
        <v>-12.949167999999986</v>
      </c>
    </row>
    <row r="38" spans="1:8" x14ac:dyDescent="0.3">
      <c r="A38">
        <v>875</v>
      </c>
      <c r="B38">
        <v>1.5920300000000001</v>
      </c>
      <c r="C38">
        <v>1.5920300000000001</v>
      </c>
      <c r="D38">
        <v>0.39587899999999998</v>
      </c>
      <c r="E38">
        <f t="shared" si="0"/>
        <v>-1.196151</v>
      </c>
      <c r="F38">
        <f t="shared" si="2"/>
        <v>50.653862000000004</v>
      </c>
      <c r="G38">
        <f t="shared" si="3"/>
        <v>36.508543000000017</v>
      </c>
      <c r="H38">
        <f t="shared" si="1"/>
        <v>-14.145318999999986</v>
      </c>
    </row>
    <row r="39" spans="1:8" x14ac:dyDescent="0.3">
      <c r="A39">
        <v>900</v>
      </c>
      <c r="B39">
        <v>1.7176499999999999</v>
      </c>
      <c r="C39">
        <v>1.7176499999999999</v>
      </c>
      <c r="D39">
        <v>1.3092999999999999</v>
      </c>
      <c r="E39">
        <f t="shared" si="0"/>
        <v>-0.40834999999999999</v>
      </c>
      <c r="F39">
        <f t="shared" si="2"/>
        <v>52.371512000000003</v>
      </c>
      <c r="G39">
        <f t="shared" si="3"/>
        <v>37.817843000000018</v>
      </c>
      <c r="H39">
        <f t="shared" si="1"/>
        <v>-14.553668999999985</v>
      </c>
    </row>
    <row r="40" spans="1:8" x14ac:dyDescent="0.3">
      <c r="A40">
        <v>925</v>
      </c>
      <c r="B40">
        <v>1.7395499999999999</v>
      </c>
      <c r="C40">
        <v>1.7395499999999999</v>
      </c>
      <c r="D40">
        <v>0.97681099999999998</v>
      </c>
      <c r="E40">
        <f t="shared" si="0"/>
        <v>-0.76273899999999994</v>
      </c>
      <c r="F40">
        <f t="shared" si="2"/>
        <v>54.111062000000004</v>
      </c>
      <c r="G40">
        <f t="shared" si="3"/>
        <v>38.794654000000016</v>
      </c>
      <c r="H40">
        <f t="shared" si="1"/>
        <v>-15.316407999999988</v>
      </c>
    </row>
    <row r="41" spans="1:8" x14ac:dyDescent="0.3">
      <c r="A41">
        <v>950</v>
      </c>
      <c r="B41">
        <v>0.463343</v>
      </c>
      <c r="C41">
        <v>0.463343</v>
      </c>
      <c r="D41">
        <v>0.73630300000000004</v>
      </c>
      <c r="E41">
        <f t="shared" si="0"/>
        <v>0.27296000000000004</v>
      </c>
      <c r="F41">
        <f t="shared" si="2"/>
        <v>54.574405000000006</v>
      </c>
      <c r="G41">
        <f t="shared" si="3"/>
        <v>39.530957000000015</v>
      </c>
      <c r="H41">
        <f t="shared" si="1"/>
        <v>-15.043447999999991</v>
      </c>
    </row>
    <row r="42" spans="1:8" x14ac:dyDescent="0.3">
      <c r="A42">
        <v>975</v>
      </c>
      <c r="B42">
        <v>0.46443000000000001</v>
      </c>
      <c r="C42">
        <v>0.46443000000000001</v>
      </c>
      <c r="D42">
        <v>0.73630300000000004</v>
      </c>
      <c r="E42">
        <f t="shared" si="0"/>
        <v>0.27187300000000003</v>
      </c>
      <c r="F42">
        <f t="shared" si="2"/>
        <v>55.038835000000006</v>
      </c>
      <c r="G42">
        <f t="shared" si="3"/>
        <v>40.267260000000014</v>
      </c>
      <c r="H42">
        <f t="shared" si="1"/>
        <v>-14.771574999999991</v>
      </c>
    </row>
    <row r="43" spans="1:8" x14ac:dyDescent="0.3">
      <c r="A43">
        <v>1000</v>
      </c>
      <c r="B43">
        <v>0.48158699999999999</v>
      </c>
      <c r="C43">
        <v>0.48158699999999999</v>
      </c>
      <c r="D43">
        <v>1.2835000000000001</v>
      </c>
      <c r="E43">
        <f t="shared" si="0"/>
        <v>0.8019130000000001</v>
      </c>
      <c r="F43">
        <f t="shared" si="2"/>
        <v>55.520422000000003</v>
      </c>
      <c r="G43">
        <f t="shared" si="3"/>
        <v>41.550760000000011</v>
      </c>
      <c r="H43">
        <f t="shared" si="1"/>
        <v>-13.969661999999992</v>
      </c>
    </row>
    <row r="44" spans="1:8" x14ac:dyDescent="0.3">
      <c r="A44">
        <v>1025</v>
      </c>
      <c r="B44">
        <v>0.48776599999999998</v>
      </c>
      <c r="C44">
        <v>0.48776599999999998</v>
      </c>
      <c r="D44">
        <v>2.1734100000000001</v>
      </c>
      <c r="E44">
        <f t="shared" si="0"/>
        <v>1.6856440000000001</v>
      </c>
      <c r="F44">
        <f t="shared" si="2"/>
        <v>56.008188000000004</v>
      </c>
      <c r="G44">
        <f t="shared" si="3"/>
        <v>43.724170000000008</v>
      </c>
      <c r="H44">
        <f t="shared" si="1"/>
        <v>-12.284017999999996</v>
      </c>
    </row>
    <row r="45" spans="1:8" x14ac:dyDescent="0.3">
      <c r="A45">
        <v>1050</v>
      </c>
      <c r="B45">
        <v>0.50735300000000005</v>
      </c>
      <c r="C45">
        <v>0.50735300000000005</v>
      </c>
      <c r="D45">
        <v>1.19912</v>
      </c>
      <c r="E45">
        <f t="shared" si="0"/>
        <v>0.69176699999999991</v>
      </c>
      <c r="F45">
        <f t="shared" si="2"/>
        <v>56.515541000000006</v>
      </c>
      <c r="G45">
        <f t="shared" si="3"/>
        <v>44.923290000000009</v>
      </c>
      <c r="H45">
        <f t="shared" si="1"/>
        <v>-11.592250999999997</v>
      </c>
    </row>
    <row r="46" spans="1:8" x14ac:dyDescent="0.3">
      <c r="A46">
        <v>1075</v>
      </c>
      <c r="B46">
        <v>0.54616399999999998</v>
      </c>
      <c r="C46">
        <v>0.54616399999999998</v>
      </c>
      <c r="D46">
        <v>1.2006399999999999</v>
      </c>
      <c r="E46">
        <f t="shared" si="0"/>
        <v>0.65447599999999995</v>
      </c>
      <c r="F46">
        <f t="shared" si="2"/>
        <v>57.061705000000003</v>
      </c>
      <c r="G46">
        <f t="shared" si="3"/>
        <v>46.123930000000009</v>
      </c>
      <c r="H46">
        <f t="shared" si="1"/>
        <v>-10.937774999999995</v>
      </c>
    </row>
    <row r="47" spans="1:8" x14ac:dyDescent="0.3">
      <c r="A47">
        <v>1100</v>
      </c>
      <c r="B47">
        <v>0.50751999999999997</v>
      </c>
      <c r="C47">
        <v>0.50751999999999997</v>
      </c>
      <c r="D47">
        <v>2.32985</v>
      </c>
      <c r="E47">
        <f t="shared" si="0"/>
        <v>1.82233</v>
      </c>
      <c r="F47">
        <f t="shared" si="2"/>
        <v>57.569225000000003</v>
      </c>
      <c r="G47">
        <f t="shared" si="3"/>
        <v>48.453780000000009</v>
      </c>
      <c r="H47">
        <f t="shared" si="1"/>
        <v>-9.115444999999994</v>
      </c>
    </row>
    <row r="48" spans="1:8" x14ac:dyDescent="0.3">
      <c r="A48">
        <v>1125</v>
      </c>
      <c r="B48">
        <v>0.46882800000000002</v>
      </c>
      <c r="C48">
        <v>0.46882800000000002</v>
      </c>
      <c r="D48">
        <v>1.96885</v>
      </c>
      <c r="E48">
        <f t="shared" si="0"/>
        <v>1.500022</v>
      </c>
      <c r="F48">
        <f t="shared" si="2"/>
        <v>58.038053000000005</v>
      </c>
      <c r="G48">
        <f t="shared" si="3"/>
        <v>50.422630000000012</v>
      </c>
      <c r="H48">
        <f t="shared" si="1"/>
        <v>-7.6154229999999927</v>
      </c>
    </row>
    <row r="49" spans="1:8" x14ac:dyDescent="0.3">
      <c r="A49">
        <v>1150</v>
      </c>
      <c r="B49">
        <v>0.56928999999999996</v>
      </c>
      <c r="C49">
        <v>0.56928999999999996</v>
      </c>
      <c r="D49">
        <v>1.62344</v>
      </c>
      <c r="E49">
        <f t="shared" si="0"/>
        <v>1.0541499999999999</v>
      </c>
      <c r="F49">
        <f t="shared" si="2"/>
        <v>58.607343000000007</v>
      </c>
      <c r="G49">
        <f t="shared" si="3"/>
        <v>52.046070000000014</v>
      </c>
      <c r="H49">
        <f t="shared" si="1"/>
        <v>-6.5612729999999928</v>
      </c>
    </row>
    <row r="50" spans="1:8" x14ac:dyDescent="0.3">
      <c r="A50">
        <v>1175</v>
      </c>
      <c r="B50">
        <v>0.56203999999999998</v>
      </c>
      <c r="C50">
        <v>0.56203999999999998</v>
      </c>
      <c r="D50">
        <v>1.60215</v>
      </c>
      <c r="E50">
        <f t="shared" si="0"/>
        <v>1.0401099999999999</v>
      </c>
      <c r="F50">
        <f t="shared" si="2"/>
        <v>59.16938300000001</v>
      </c>
      <c r="G50">
        <f t="shared" si="3"/>
        <v>53.648220000000016</v>
      </c>
      <c r="H50">
        <f t="shared" si="1"/>
        <v>-5.5211629999999943</v>
      </c>
    </row>
    <row r="51" spans="1:8" x14ac:dyDescent="0.3">
      <c r="A51">
        <v>1200</v>
      </c>
      <c r="B51">
        <v>0.59754700000000005</v>
      </c>
      <c r="C51">
        <v>0.59754700000000005</v>
      </c>
      <c r="D51">
        <v>0.48874200000000001</v>
      </c>
      <c r="E51">
        <f t="shared" si="0"/>
        <v>-0.10880500000000004</v>
      </c>
      <c r="F51">
        <f t="shared" si="2"/>
        <v>59.766930000000009</v>
      </c>
      <c r="G51">
        <f t="shared" si="3"/>
        <v>54.136962000000018</v>
      </c>
      <c r="H51">
        <f t="shared" si="1"/>
        <v>-5.629967999999991</v>
      </c>
    </row>
    <row r="52" spans="1:8" x14ac:dyDescent="0.3">
      <c r="A52">
        <v>1225</v>
      </c>
      <c r="B52">
        <v>0.59112799999999999</v>
      </c>
      <c r="C52">
        <v>0.59112799999999999</v>
      </c>
      <c r="D52">
        <v>1.35337</v>
      </c>
      <c r="E52">
        <f t="shared" si="0"/>
        <v>0.76224199999999998</v>
      </c>
      <c r="F52">
        <f t="shared" si="2"/>
        <v>60.358058000000007</v>
      </c>
      <c r="G52">
        <f t="shared" si="3"/>
        <v>55.490332000000016</v>
      </c>
      <c r="H52">
        <f t="shared" si="1"/>
        <v>-4.8677259999999904</v>
      </c>
    </row>
    <row r="53" spans="1:8" x14ac:dyDescent="0.3">
      <c r="A53">
        <v>1250</v>
      </c>
      <c r="B53">
        <v>2.1537000000000002</v>
      </c>
      <c r="C53">
        <v>2.1537000000000002</v>
      </c>
      <c r="D53">
        <v>2.3020499999999999</v>
      </c>
      <c r="E53">
        <f t="shared" si="0"/>
        <v>0.14834999999999976</v>
      </c>
      <c r="F53">
        <f t="shared" si="2"/>
        <v>62.511758000000007</v>
      </c>
      <c r="G53">
        <f t="shared" si="3"/>
        <v>57.792382000000018</v>
      </c>
      <c r="H53">
        <f t="shared" si="1"/>
        <v>-4.7193759999999898</v>
      </c>
    </row>
    <row r="54" spans="1:8" x14ac:dyDescent="0.3">
      <c r="A54">
        <v>1275</v>
      </c>
      <c r="B54">
        <v>0.53875799999999996</v>
      </c>
      <c r="C54">
        <v>0.53875799999999996</v>
      </c>
      <c r="D54">
        <v>1.89157</v>
      </c>
      <c r="E54">
        <f t="shared" si="0"/>
        <v>1.3528120000000001</v>
      </c>
      <c r="F54">
        <f t="shared" si="2"/>
        <v>63.050516000000009</v>
      </c>
      <c r="G54">
        <f t="shared" si="3"/>
        <v>59.683952000000019</v>
      </c>
      <c r="H54">
        <f t="shared" si="1"/>
        <v>-3.3665639999999897</v>
      </c>
    </row>
    <row r="55" spans="1:8" x14ac:dyDescent="0.3">
      <c r="A55">
        <v>1300</v>
      </c>
      <c r="B55">
        <v>1.29735</v>
      </c>
      <c r="C55">
        <v>1.29735</v>
      </c>
      <c r="D55">
        <v>2.2724899999999999</v>
      </c>
      <c r="E55">
        <f t="shared" si="0"/>
        <v>0.9751399999999999</v>
      </c>
      <c r="F55">
        <f t="shared" si="2"/>
        <v>64.34786600000001</v>
      </c>
      <c r="G55">
        <f t="shared" si="3"/>
        <v>61.956442000000017</v>
      </c>
      <c r="H55">
        <f t="shared" si="1"/>
        <v>-2.3914239999999936</v>
      </c>
    </row>
    <row r="56" spans="1:8" x14ac:dyDescent="0.3">
      <c r="A56">
        <v>1325</v>
      </c>
      <c r="B56">
        <v>1.29735</v>
      </c>
      <c r="C56">
        <v>1.29735</v>
      </c>
      <c r="D56">
        <v>2.2633800000000002</v>
      </c>
      <c r="E56">
        <f t="shared" si="0"/>
        <v>0.96603000000000017</v>
      </c>
      <c r="F56">
        <f t="shared" si="2"/>
        <v>65.645216000000005</v>
      </c>
      <c r="G56">
        <f t="shared" si="3"/>
        <v>64.219822000000022</v>
      </c>
      <c r="H56">
        <f t="shared" si="1"/>
        <v>-1.425393999999983</v>
      </c>
    </row>
    <row r="57" spans="1:8" x14ac:dyDescent="0.3">
      <c r="A57">
        <v>1350</v>
      </c>
      <c r="B57">
        <v>1.08751</v>
      </c>
      <c r="C57">
        <v>1.08751</v>
      </c>
      <c r="D57">
        <v>0.59374000000000005</v>
      </c>
      <c r="E57">
        <f t="shared" si="0"/>
        <v>-0.49376999999999993</v>
      </c>
      <c r="F57">
        <f t="shared" si="2"/>
        <v>66.732726</v>
      </c>
      <c r="G57">
        <f t="shared" si="3"/>
        <v>64.813562000000019</v>
      </c>
      <c r="H57">
        <f t="shared" si="1"/>
        <v>-1.9191639999999808</v>
      </c>
    </row>
    <row r="58" spans="1:8" x14ac:dyDescent="0.3">
      <c r="A58">
        <v>1375</v>
      </c>
      <c r="B58">
        <v>1.08751</v>
      </c>
      <c r="C58">
        <v>1.08751</v>
      </c>
      <c r="D58">
        <v>0.60170199999999996</v>
      </c>
      <c r="E58">
        <f t="shared" si="0"/>
        <v>-0.48580800000000002</v>
      </c>
      <c r="F58">
        <f t="shared" si="2"/>
        <v>67.820235999999994</v>
      </c>
      <c r="G58">
        <f t="shared" si="3"/>
        <v>65.415264000000022</v>
      </c>
      <c r="H58">
        <f t="shared" si="1"/>
        <v>-2.4049719999999724</v>
      </c>
    </row>
    <row r="59" spans="1:8" x14ac:dyDescent="0.3">
      <c r="A59">
        <v>1400</v>
      </c>
      <c r="B59">
        <v>0.99767700000000004</v>
      </c>
      <c r="C59">
        <v>0.99767700000000004</v>
      </c>
      <c r="D59">
        <v>0.60904899999999995</v>
      </c>
      <c r="E59">
        <f t="shared" si="0"/>
        <v>-0.38862800000000008</v>
      </c>
      <c r="F59">
        <f t="shared" si="2"/>
        <v>68.81791299999999</v>
      </c>
      <c r="G59">
        <f t="shared" si="3"/>
        <v>66.024313000000021</v>
      </c>
      <c r="H59">
        <f t="shared" si="1"/>
        <v>-2.7935999999999694</v>
      </c>
    </row>
    <row r="60" spans="1:8" x14ac:dyDescent="0.3">
      <c r="A60">
        <v>1425</v>
      </c>
      <c r="B60">
        <v>0.99767700000000004</v>
      </c>
      <c r="C60">
        <v>0.99767700000000004</v>
      </c>
      <c r="D60">
        <v>0.64138499999999998</v>
      </c>
      <c r="E60">
        <f t="shared" si="0"/>
        <v>-0.35629200000000005</v>
      </c>
      <c r="F60">
        <f t="shared" si="2"/>
        <v>69.815589999999986</v>
      </c>
      <c r="G60">
        <f t="shared" si="3"/>
        <v>66.66569800000002</v>
      </c>
      <c r="H60">
        <f t="shared" si="1"/>
        <v>-3.1498919999999657</v>
      </c>
    </row>
    <row r="61" spans="1:8" x14ac:dyDescent="0.3">
      <c r="A61">
        <v>1450</v>
      </c>
      <c r="B61">
        <v>0.98371399999999998</v>
      </c>
      <c r="C61">
        <v>0.98371399999999998</v>
      </c>
      <c r="D61">
        <v>0.75094099999999997</v>
      </c>
      <c r="E61">
        <f t="shared" si="0"/>
        <v>-0.23277300000000001</v>
      </c>
      <c r="F61">
        <f t="shared" si="2"/>
        <v>70.799303999999992</v>
      </c>
      <c r="G61">
        <f t="shared" si="3"/>
        <v>67.416639000000018</v>
      </c>
      <c r="H61">
        <f t="shared" si="1"/>
        <v>-3.3826649999999745</v>
      </c>
    </row>
    <row r="62" spans="1:8" x14ac:dyDescent="0.3">
      <c r="A62">
        <v>1475</v>
      </c>
      <c r="B62">
        <v>2.1774</v>
      </c>
      <c r="C62">
        <v>2.1774</v>
      </c>
      <c r="D62">
        <v>0.74559299999999995</v>
      </c>
      <c r="E62">
        <f t="shared" si="0"/>
        <v>-1.4318070000000001</v>
      </c>
      <c r="F62">
        <f t="shared" si="2"/>
        <v>72.976703999999998</v>
      </c>
      <c r="G62">
        <f t="shared" si="3"/>
        <v>68.162232000000017</v>
      </c>
      <c r="H62">
        <f t="shared" si="1"/>
        <v>-4.8144719999999808</v>
      </c>
    </row>
    <row r="63" spans="1:8" x14ac:dyDescent="0.3">
      <c r="A63">
        <v>1500</v>
      </c>
      <c r="B63">
        <v>1.28596</v>
      </c>
      <c r="C63">
        <v>1.28596</v>
      </c>
      <c r="D63">
        <v>0.39544800000000002</v>
      </c>
      <c r="E63">
        <f t="shared" si="0"/>
        <v>-0.89051199999999997</v>
      </c>
      <c r="F63">
        <f t="shared" si="2"/>
        <v>74.262664000000001</v>
      </c>
      <c r="G63">
        <f t="shared" si="3"/>
        <v>68.557680000000019</v>
      </c>
      <c r="H63">
        <f t="shared" si="1"/>
        <v>-5.7049839999999818</v>
      </c>
    </row>
    <row r="64" spans="1:8" x14ac:dyDescent="0.3">
      <c r="A64">
        <v>1525</v>
      </c>
      <c r="B64">
        <v>0.53411799999999998</v>
      </c>
      <c r="C64">
        <v>0.53411799999999998</v>
      </c>
      <c r="D64">
        <v>0.667103</v>
      </c>
      <c r="E64">
        <f t="shared" si="0"/>
        <v>0.13298500000000002</v>
      </c>
      <c r="F64">
        <f t="shared" si="2"/>
        <v>74.796782000000007</v>
      </c>
      <c r="G64">
        <f t="shared" si="3"/>
        <v>69.224783000000016</v>
      </c>
      <c r="H64">
        <f t="shared" si="1"/>
        <v>-5.571998999999991</v>
      </c>
    </row>
    <row r="65" spans="1:8" x14ac:dyDescent="0.3">
      <c r="A65">
        <v>1550</v>
      </c>
      <c r="B65">
        <v>0.70762100000000006</v>
      </c>
      <c r="C65">
        <v>0.70762100000000006</v>
      </c>
      <c r="D65">
        <v>0.65390800000000004</v>
      </c>
      <c r="E65">
        <f t="shared" si="0"/>
        <v>-5.3713000000000011E-2</v>
      </c>
      <c r="F65">
        <f t="shared" si="2"/>
        <v>75.504403000000011</v>
      </c>
      <c r="G65">
        <f t="shared" si="3"/>
        <v>69.878691000000018</v>
      </c>
      <c r="H65">
        <f t="shared" si="1"/>
        <v>-5.6257119999999929</v>
      </c>
    </row>
    <row r="66" spans="1:8" x14ac:dyDescent="0.3">
      <c r="A66">
        <v>1575</v>
      </c>
      <c r="B66">
        <v>0.70762100000000006</v>
      </c>
      <c r="C66">
        <v>0.70762100000000006</v>
      </c>
      <c r="D66">
        <v>0.66236499999999998</v>
      </c>
      <c r="E66">
        <f t="shared" si="0"/>
        <v>-4.5256000000000074E-2</v>
      </c>
      <c r="F66">
        <f t="shared" si="2"/>
        <v>76.212024000000014</v>
      </c>
      <c r="G66">
        <f t="shared" si="3"/>
        <v>70.541056000000012</v>
      </c>
      <c r="H66">
        <f t="shared" si="1"/>
        <v>-5.670968000000002</v>
      </c>
    </row>
    <row r="67" spans="1:8" x14ac:dyDescent="0.3">
      <c r="A67">
        <v>1600</v>
      </c>
      <c r="B67">
        <v>0.72702199999999995</v>
      </c>
      <c r="C67">
        <v>0.72702199999999995</v>
      </c>
      <c r="D67">
        <v>1.3188599999999999</v>
      </c>
      <c r="E67">
        <f t="shared" si="0"/>
        <v>0.59183799999999998</v>
      </c>
      <c r="F67">
        <f t="shared" si="2"/>
        <v>76.939046000000019</v>
      </c>
      <c r="G67">
        <f t="shared" si="3"/>
        <v>71.859916000000013</v>
      </c>
      <c r="H67">
        <f t="shared" si="1"/>
        <v>-5.0791300000000064</v>
      </c>
    </row>
    <row r="68" spans="1:8" x14ac:dyDescent="0.3">
      <c r="A68">
        <v>1625</v>
      </c>
      <c r="B68">
        <v>0.72702199999999995</v>
      </c>
      <c r="C68">
        <v>0.72702199999999995</v>
      </c>
      <c r="D68">
        <v>2.0160200000000001</v>
      </c>
      <c r="E68">
        <f t="shared" ref="E68:E131" si="4">D68-B68</f>
        <v>1.2889980000000003</v>
      </c>
      <c r="F68">
        <f t="shared" si="2"/>
        <v>77.666068000000024</v>
      </c>
      <c r="G68">
        <f t="shared" si="3"/>
        <v>73.87593600000001</v>
      </c>
      <c r="H68">
        <f t="shared" ref="H68:H131" si="5">G68-F68</f>
        <v>-3.790132000000014</v>
      </c>
    </row>
    <row r="69" spans="1:8" x14ac:dyDescent="0.3">
      <c r="A69">
        <v>1650</v>
      </c>
      <c r="B69">
        <v>0.72355899999999995</v>
      </c>
      <c r="C69">
        <v>0.72355899999999995</v>
      </c>
      <c r="D69">
        <v>0.53987300000000005</v>
      </c>
      <c r="E69">
        <f t="shared" si="4"/>
        <v>-0.1836859999999999</v>
      </c>
      <c r="F69">
        <f t="shared" ref="F69:F132" si="6">F68+B69</f>
        <v>78.389627000000019</v>
      </c>
      <c r="G69">
        <f t="shared" ref="G69:G132" si="7">G68+D69</f>
        <v>74.41580900000001</v>
      </c>
      <c r="H69">
        <f t="shared" si="5"/>
        <v>-3.9738180000000085</v>
      </c>
    </row>
    <row r="70" spans="1:8" x14ac:dyDescent="0.3">
      <c r="A70">
        <v>1675</v>
      </c>
      <c r="B70">
        <v>0.72355899999999995</v>
      </c>
      <c r="C70">
        <v>0.72355899999999995</v>
      </c>
      <c r="D70">
        <v>2.1416599999999999</v>
      </c>
      <c r="E70">
        <f t="shared" si="4"/>
        <v>1.4181010000000001</v>
      </c>
      <c r="F70">
        <f t="shared" si="6"/>
        <v>79.113186000000013</v>
      </c>
      <c r="G70">
        <f t="shared" si="7"/>
        <v>76.557469000000012</v>
      </c>
      <c r="H70">
        <f t="shared" si="5"/>
        <v>-2.5557170000000013</v>
      </c>
    </row>
    <row r="71" spans="1:8" x14ac:dyDescent="0.3">
      <c r="A71">
        <v>1700</v>
      </c>
      <c r="B71">
        <v>0.72810399999999997</v>
      </c>
      <c r="C71">
        <v>0.72810399999999997</v>
      </c>
      <c r="D71">
        <v>0.84495100000000001</v>
      </c>
      <c r="E71">
        <f t="shared" si="4"/>
        <v>0.11684700000000003</v>
      </c>
      <c r="F71">
        <f t="shared" si="6"/>
        <v>79.841290000000015</v>
      </c>
      <c r="G71">
        <f t="shared" si="7"/>
        <v>77.402420000000006</v>
      </c>
      <c r="H71">
        <f t="shared" si="5"/>
        <v>-2.4388700000000085</v>
      </c>
    </row>
    <row r="72" spans="1:8" x14ac:dyDescent="0.3">
      <c r="A72">
        <v>1725</v>
      </c>
      <c r="B72">
        <v>0.72810399999999997</v>
      </c>
      <c r="C72">
        <v>0.72810399999999997</v>
      </c>
      <c r="D72">
        <v>0.85596499999999998</v>
      </c>
      <c r="E72">
        <f t="shared" si="4"/>
        <v>0.127861</v>
      </c>
      <c r="F72">
        <f t="shared" si="6"/>
        <v>80.569394000000017</v>
      </c>
      <c r="G72">
        <f t="shared" si="7"/>
        <v>78.258385000000004</v>
      </c>
      <c r="H72">
        <f t="shared" si="5"/>
        <v>-2.3110090000000127</v>
      </c>
    </row>
    <row r="73" spans="1:8" x14ac:dyDescent="0.3">
      <c r="A73">
        <v>1750</v>
      </c>
      <c r="B73">
        <v>0.70762100000000006</v>
      </c>
      <c r="C73">
        <v>0.70762100000000006</v>
      </c>
      <c r="D73">
        <v>1.0563899999999999</v>
      </c>
      <c r="E73">
        <f t="shared" si="4"/>
        <v>0.34876899999999988</v>
      </c>
      <c r="F73">
        <f t="shared" si="6"/>
        <v>81.27701500000002</v>
      </c>
      <c r="G73">
        <f t="shared" si="7"/>
        <v>79.314774999999997</v>
      </c>
      <c r="H73">
        <f t="shared" si="5"/>
        <v>-1.9622400000000226</v>
      </c>
    </row>
    <row r="74" spans="1:8" x14ac:dyDescent="0.3">
      <c r="A74">
        <v>1775</v>
      </c>
      <c r="B74">
        <v>0.70762100000000006</v>
      </c>
      <c r="C74">
        <v>0.70762100000000006</v>
      </c>
      <c r="D74">
        <v>1.0563899999999999</v>
      </c>
      <c r="E74">
        <f t="shared" si="4"/>
        <v>0.34876899999999988</v>
      </c>
      <c r="F74">
        <f t="shared" si="6"/>
        <v>81.984636000000023</v>
      </c>
      <c r="G74">
        <f t="shared" si="7"/>
        <v>80.371164999999991</v>
      </c>
      <c r="H74">
        <f t="shared" si="5"/>
        <v>-1.6134710000000325</v>
      </c>
    </row>
    <row r="75" spans="1:8" x14ac:dyDescent="0.3">
      <c r="A75">
        <v>1800</v>
      </c>
      <c r="B75">
        <v>0.73124100000000003</v>
      </c>
      <c r="C75">
        <v>0.73124100000000003</v>
      </c>
      <c r="D75">
        <v>1.2499800000000001</v>
      </c>
      <c r="E75">
        <f t="shared" si="4"/>
        <v>0.51873900000000006</v>
      </c>
      <c r="F75">
        <f t="shared" si="6"/>
        <v>82.71587700000002</v>
      </c>
      <c r="G75">
        <f t="shared" si="7"/>
        <v>81.621144999999984</v>
      </c>
      <c r="H75">
        <f t="shared" si="5"/>
        <v>-1.094732000000036</v>
      </c>
    </row>
    <row r="76" spans="1:8" x14ac:dyDescent="0.3">
      <c r="A76">
        <v>1825</v>
      </c>
      <c r="B76">
        <v>0.73124100000000003</v>
      </c>
      <c r="C76">
        <v>0.73124100000000003</v>
      </c>
      <c r="D76">
        <v>1.27946</v>
      </c>
      <c r="E76">
        <f t="shared" si="4"/>
        <v>0.54821900000000001</v>
      </c>
      <c r="F76">
        <f t="shared" si="6"/>
        <v>83.447118000000017</v>
      </c>
      <c r="G76">
        <f t="shared" si="7"/>
        <v>82.900604999999985</v>
      </c>
      <c r="H76">
        <f t="shared" si="5"/>
        <v>-0.54651300000003289</v>
      </c>
    </row>
    <row r="77" spans="1:8" x14ac:dyDescent="0.3">
      <c r="A77">
        <v>1850</v>
      </c>
      <c r="B77">
        <v>0.73273299999999997</v>
      </c>
      <c r="C77">
        <v>0.73273299999999997</v>
      </c>
      <c r="D77">
        <v>0.54300599999999999</v>
      </c>
      <c r="E77">
        <f t="shared" si="4"/>
        <v>-0.18972699999999998</v>
      </c>
      <c r="F77">
        <f t="shared" si="6"/>
        <v>84.179851000000014</v>
      </c>
      <c r="G77">
        <f t="shared" si="7"/>
        <v>83.44361099999999</v>
      </c>
      <c r="H77">
        <f t="shared" si="5"/>
        <v>-0.73624000000002354</v>
      </c>
    </row>
    <row r="78" spans="1:8" x14ac:dyDescent="0.3">
      <c r="A78">
        <v>1875</v>
      </c>
      <c r="B78">
        <v>0.73273299999999997</v>
      </c>
      <c r="C78">
        <v>0.73273299999999997</v>
      </c>
      <c r="D78">
        <v>0.54074999999999995</v>
      </c>
      <c r="E78">
        <f t="shared" si="4"/>
        <v>-0.19198300000000001</v>
      </c>
      <c r="F78">
        <f t="shared" si="6"/>
        <v>84.91258400000001</v>
      </c>
      <c r="G78">
        <f t="shared" si="7"/>
        <v>83.984360999999993</v>
      </c>
      <c r="H78">
        <f t="shared" si="5"/>
        <v>-0.9282230000000169</v>
      </c>
    </row>
    <row r="79" spans="1:8" x14ac:dyDescent="0.3">
      <c r="A79">
        <v>1900</v>
      </c>
      <c r="B79">
        <v>0.72644500000000001</v>
      </c>
      <c r="C79">
        <v>0.72644500000000001</v>
      </c>
      <c r="D79">
        <v>0.71066700000000005</v>
      </c>
      <c r="E79">
        <f t="shared" si="4"/>
        <v>-1.5777999999999959E-2</v>
      </c>
      <c r="F79">
        <f t="shared" si="6"/>
        <v>85.639029000000008</v>
      </c>
      <c r="G79">
        <f t="shared" si="7"/>
        <v>84.695027999999994</v>
      </c>
      <c r="H79">
        <f t="shared" si="5"/>
        <v>-0.9440010000000143</v>
      </c>
    </row>
    <row r="80" spans="1:8" x14ac:dyDescent="0.3">
      <c r="A80">
        <v>1925</v>
      </c>
      <c r="B80">
        <v>0.72644500000000001</v>
      </c>
      <c r="C80">
        <v>0.72644500000000001</v>
      </c>
      <c r="D80">
        <v>0.71066700000000005</v>
      </c>
      <c r="E80">
        <f t="shared" si="4"/>
        <v>-1.5777999999999959E-2</v>
      </c>
      <c r="F80">
        <f t="shared" si="6"/>
        <v>86.365474000000006</v>
      </c>
      <c r="G80">
        <f t="shared" si="7"/>
        <v>85.405694999999994</v>
      </c>
      <c r="H80">
        <f t="shared" si="5"/>
        <v>-0.95977900000001171</v>
      </c>
    </row>
    <row r="81" spans="1:8" x14ac:dyDescent="0.3">
      <c r="A81">
        <v>1950</v>
      </c>
      <c r="B81">
        <v>1.28596</v>
      </c>
      <c r="C81">
        <v>1.28596</v>
      </c>
      <c r="D81">
        <v>0.54430100000000003</v>
      </c>
      <c r="E81">
        <f t="shared" si="4"/>
        <v>-0.74165899999999996</v>
      </c>
      <c r="F81">
        <f t="shared" si="6"/>
        <v>87.651434000000009</v>
      </c>
      <c r="G81">
        <f t="shared" si="7"/>
        <v>85.949995999999999</v>
      </c>
      <c r="H81">
        <f t="shared" si="5"/>
        <v>-1.7014380000000102</v>
      </c>
    </row>
    <row r="82" spans="1:8" x14ac:dyDescent="0.3">
      <c r="A82">
        <v>1975</v>
      </c>
      <c r="B82">
        <v>0.52386600000000005</v>
      </c>
      <c r="C82">
        <v>0.52386600000000005</v>
      </c>
      <c r="D82">
        <v>0.54430100000000003</v>
      </c>
      <c r="E82">
        <f t="shared" si="4"/>
        <v>2.0434999999999981E-2</v>
      </c>
      <c r="F82">
        <f t="shared" si="6"/>
        <v>88.175300000000007</v>
      </c>
      <c r="G82">
        <f t="shared" si="7"/>
        <v>86.494297000000003</v>
      </c>
      <c r="H82">
        <f t="shared" si="5"/>
        <v>-1.681003000000004</v>
      </c>
    </row>
    <row r="83" spans="1:8" x14ac:dyDescent="0.3">
      <c r="A83">
        <v>2000</v>
      </c>
      <c r="B83">
        <v>0.16122500000000001</v>
      </c>
      <c r="C83">
        <v>0.16122500000000001</v>
      </c>
      <c r="D83">
        <v>0.39587899999999998</v>
      </c>
      <c r="E83">
        <f t="shared" si="4"/>
        <v>0.23465399999999997</v>
      </c>
      <c r="F83">
        <f t="shared" si="6"/>
        <v>88.336525000000009</v>
      </c>
      <c r="G83">
        <f t="shared" si="7"/>
        <v>86.890175999999997</v>
      </c>
      <c r="H83">
        <f t="shared" si="5"/>
        <v>-1.4463490000000121</v>
      </c>
    </row>
    <row r="84" spans="1:8" x14ac:dyDescent="0.3">
      <c r="A84">
        <v>2025</v>
      </c>
      <c r="B84">
        <v>0.50887300000000002</v>
      </c>
      <c r="C84">
        <v>0.50887300000000002</v>
      </c>
      <c r="D84">
        <v>0.39587899999999998</v>
      </c>
      <c r="E84">
        <f t="shared" si="4"/>
        <v>-0.11299400000000004</v>
      </c>
      <c r="F84">
        <f t="shared" si="6"/>
        <v>88.845398000000003</v>
      </c>
      <c r="G84">
        <f t="shared" si="7"/>
        <v>87.28605499999999</v>
      </c>
      <c r="H84">
        <f t="shared" si="5"/>
        <v>-1.5593430000000126</v>
      </c>
    </row>
    <row r="85" spans="1:8" x14ac:dyDescent="0.3">
      <c r="A85">
        <v>2050</v>
      </c>
      <c r="B85">
        <v>0.96224900000000002</v>
      </c>
      <c r="C85">
        <v>0.96224900000000002</v>
      </c>
      <c r="D85">
        <v>0.39587899999999998</v>
      </c>
      <c r="E85">
        <f t="shared" si="4"/>
        <v>-0.56637000000000004</v>
      </c>
      <c r="F85">
        <f t="shared" si="6"/>
        <v>89.807647000000003</v>
      </c>
      <c r="G85">
        <f t="shared" si="7"/>
        <v>87.681933999999984</v>
      </c>
      <c r="H85">
        <f t="shared" si="5"/>
        <v>-2.1257130000000188</v>
      </c>
    </row>
    <row r="86" spans="1:8" x14ac:dyDescent="0.3">
      <c r="A86">
        <v>2075</v>
      </c>
      <c r="B86">
        <v>0.96224900000000002</v>
      </c>
      <c r="C86">
        <v>0.96224900000000002</v>
      </c>
      <c r="D86">
        <v>0.39587899999999998</v>
      </c>
      <c r="E86">
        <f t="shared" si="4"/>
        <v>-0.56637000000000004</v>
      </c>
      <c r="F86">
        <f t="shared" si="6"/>
        <v>90.769896000000003</v>
      </c>
      <c r="G86">
        <f t="shared" si="7"/>
        <v>88.077812999999978</v>
      </c>
      <c r="H86">
        <f t="shared" si="5"/>
        <v>-2.6920830000000251</v>
      </c>
    </row>
    <row r="87" spans="1:8" x14ac:dyDescent="0.3">
      <c r="A87">
        <v>2100</v>
      </c>
      <c r="B87">
        <v>0.96715200000000001</v>
      </c>
      <c r="C87">
        <v>0.96715200000000001</v>
      </c>
      <c r="D87">
        <v>0.39587899999999998</v>
      </c>
      <c r="E87">
        <f t="shared" si="4"/>
        <v>-0.57127300000000003</v>
      </c>
      <c r="F87">
        <f t="shared" si="6"/>
        <v>91.737048000000001</v>
      </c>
      <c r="G87">
        <f t="shared" si="7"/>
        <v>88.473691999999971</v>
      </c>
      <c r="H87">
        <f t="shared" si="5"/>
        <v>-3.2633560000000301</v>
      </c>
    </row>
    <row r="88" spans="1:8" x14ac:dyDescent="0.3">
      <c r="A88">
        <v>2125</v>
      </c>
      <c r="B88">
        <v>0.96715200000000001</v>
      </c>
      <c r="C88">
        <v>0.96715200000000001</v>
      </c>
      <c r="D88">
        <v>0.39587899999999998</v>
      </c>
      <c r="E88">
        <f t="shared" si="4"/>
        <v>-0.57127300000000003</v>
      </c>
      <c r="F88">
        <f t="shared" si="6"/>
        <v>92.7042</v>
      </c>
      <c r="G88">
        <f t="shared" si="7"/>
        <v>88.869570999999965</v>
      </c>
      <c r="H88">
        <f t="shared" si="5"/>
        <v>-3.8346290000000351</v>
      </c>
    </row>
    <row r="89" spans="1:8" x14ac:dyDescent="0.3">
      <c r="A89">
        <v>2150</v>
      </c>
      <c r="B89">
        <v>1.0067699999999999</v>
      </c>
      <c r="C89">
        <v>1.0067699999999999</v>
      </c>
      <c r="D89">
        <v>0.39587899999999998</v>
      </c>
      <c r="E89">
        <f t="shared" si="4"/>
        <v>-0.61089099999999996</v>
      </c>
      <c r="F89">
        <f t="shared" si="6"/>
        <v>93.710970000000003</v>
      </c>
      <c r="G89">
        <f t="shared" si="7"/>
        <v>89.265449999999959</v>
      </c>
      <c r="H89">
        <f t="shared" si="5"/>
        <v>-4.4455200000000445</v>
      </c>
    </row>
    <row r="90" spans="1:8" x14ac:dyDescent="0.3">
      <c r="A90">
        <v>2175</v>
      </c>
      <c r="B90">
        <v>1.0067699999999999</v>
      </c>
      <c r="C90">
        <v>1.0067699999999999</v>
      </c>
      <c r="D90">
        <v>0.39587899999999998</v>
      </c>
      <c r="E90">
        <f t="shared" si="4"/>
        <v>-0.61089099999999996</v>
      </c>
      <c r="F90">
        <f t="shared" si="6"/>
        <v>94.717740000000006</v>
      </c>
      <c r="G90">
        <f t="shared" si="7"/>
        <v>89.661328999999952</v>
      </c>
      <c r="H90">
        <f t="shared" si="5"/>
        <v>-5.0564110000000539</v>
      </c>
    </row>
    <row r="91" spans="1:8" x14ac:dyDescent="0.3">
      <c r="A91">
        <v>2200</v>
      </c>
      <c r="B91">
        <v>1.0747100000000001</v>
      </c>
      <c r="C91">
        <v>1.0747100000000001</v>
      </c>
      <c r="D91">
        <v>0.39587899999999998</v>
      </c>
      <c r="E91">
        <f t="shared" si="4"/>
        <v>-0.67883100000000007</v>
      </c>
      <c r="F91">
        <f t="shared" si="6"/>
        <v>95.792450000000002</v>
      </c>
      <c r="G91">
        <f t="shared" si="7"/>
        <v>90.057207999999946</v>
      </c>
      <c r="H91">
        <f t="shared" si="5"/>
        <v>-5.7352420000000564</v>
      </c>
    </row>
    <row r="92" spans="1:8" x14ac:dyDescent="0.3">
      <c r="A92">
        <v>2225</v>
      </c>
      <c r="B92">
        <v>1.0747100000000001</v>
      </c>
      <c r="C92">
        <v>1.0747100000000001</v>
      </c>
      <c r="D92">
        <v>0.39587899999999998</v>
      </c>
      <c r="E92">
        <f t="shared" si="4"/>
        <v>-0.67883100000000007</v>
      </c>
      <c r="F92">
        <f t="shared" si="6"/>
        <v>96.867159999999998</v>
      </c>
      <c r="G92">
        <f t="shared" si="7"/>
        <v>90.45308699999994</v>
      </c>
      <c r="H92">
        <f t="shared" si="5"/>
        <v>-6.4140730000000588</v>
      </c>
    </row>
    <row r="93" spans="1:8" x14ac:dyDescent="0.3">
      <c r="A93">
        <v>2250</v>
      </c>
      <c r="B93">
        <v>1.24438</v>
      </c>
      <c r="C93">
        <v>1.24438</v>
      </c>
      <c r="D93">
        <v>0.39587899999999998</v>
      </c>
      <c r="E93">
        <f t="shared" si="4"/>
        <v>-0.84850100000000006</v>
      </c>
      <c r="F93">
        <f t="shared" si="6"/>
        <v>98.111540000000005</v>
      </c>
      <c r="G93">
        <f t="shared" si="7"/>
        <v>90.848965999999933</v>
      </c>
      <c r="H93">
        <f t="shared" si="5"/>
        <v>-7.2625740000000718</v>
      </c>
    </row>
    <row r="94" spans="1:8" x14ac:dyDescent="0.3">
      <c r="A94">
        <v>2275</v>
      </c>
      <c r="B94">
        <v>2.0246599999999999</v>
      </c>
      <c r="C94">
        <v>2.0246599999999999</v>
      </c>
      <c r="D94">
        <v>0.39587899999999998</v>
      </c>
      <c r="E94">
        <f t="shared" si="4"/>
        <v>-1.628781</v>
      </c>
      <c r="F94">
        <f t="shared" si="6"/>
        <v>100.1362</v>
      </c>
      <c r="G94">
        <f t="shared" si="7"/>
        <v>91.244844999999927</v>
      </c>
      <c r="H94">
        <f t="shared" si="5"/>
        <v>-8.8913550000000754</v>
      </c>
    </row>
    <row r="95" spans="1:8" x14ac:dyDescent="0.3">
      <c r="A95">
        <v>2300</v>
      </c>
      <c r="B95">
        <v>0.53488999999999998</v>
      </c>
      <c r="C95">
        <v>0.53488999999999998</v>
      </c>
      <c r="D95">
        <v>1.3092999999999999</v>
      </c>
      <c r="E95">
        <f t="shared" si="4"/>
        <v>0.77440999999999993</v>
      </c>
      <c r="F95">
        <f t="shared" si="6"/>
        <v>100.67109000000001</v>
      </c>
      <c r="G95">
        <f t="shared" si="7"/>
        <v>92.55414499999992</v>
      </c>
      <c r="H95">
        <f t="shared" si="5"/>
        <v>-8.1169450000000865</v>
      </c>
    </row>
    <row r="96" spans="1:8" x14ac:dyDescent="0.3">
      <c r="A96">
        <v>2325</v>
      </c>
      <c r="B96">
        <v>2.1011700000000002</v>
      </c>
      <c r="C96">
        <v>2.1011700000000002</v>
      </c>
      <c r="D96">
        <v>0.97681099999999998</v>
      </c>
      <c r="E96">
        <f t="shared" si="4"/>
        <v>-1.1243590000000001</v>
      </c>
      <c r="F96">
        <f t="shared" si="6"/>
        <v>102.77226</v>
      </c>
      <c r="G96">
        <f t="shared" si="7"/>
        <v>93.530955999999918</v>
      </c>
      <c r="H96">
        <f t="shared" si="5"/>
        <v>-9.2413040000000848</v>
      </c>
    </row>
    <row r="97" spans="1:8" x14ac:dyDescent="0.3">
      <c r="A97">
        <v>2350</v>
      </c>
      <c r="B97">
        <v>1.4512700000000001</v>
      </c>
      <c r="C97">
        <v>1.4512700000000001</v>
      </c>
      <c r="D97">
        <v>0.73630300000000004</v>
      </c>
      <c r="E97">
        <f t="shared" si="4"/>
        <v>-0.71496700000000002</v>
      </c>
      <c r="F97">
        <f t="shared" si="6"/>
        <v>104.22353</v>
      </c>
      <c r="G97">
        <f t="shared" si="7"/>
        <v>94.267258999999925</v>
      </c>
      <c r="H97">
        <f t="shared" si="5"/>
        <v>-9.956271000000072</v>
      </c>
    </row>
    <row r="98" spans="1:8" x14ac:dyDescent="0.3">
      <c r="A98">
        <v>2375</v>
      </c>
      <c r="B98">
        <v>0.61705200000000004</v>
      </c>
      <c r="C98">
        <v>0.61705200000000004</v>
      </c>
      <c r="D98">
        <v>0.73630300000000004</v>
      </c>
      <c r="E98">
        <f t="shared" si="4"/>
        <v>0.119251</v>
      </c>
      <c r="F98">
        <f t="shared" si="6"/>
        <v>104.840582</v>
      </c>
      <c r="G98">
        <f t="shared" si="7"/>
        <v>95.003561999999931</v>
      </c>
      <c r="H98">
        <f t="shared" si="5"/>
        <v>-9.8370200000000665</v>
      </c>
    </row>
    <row r="99" spans="1:8" x14ac:dyDescent="0.3">
      <c r="A99">
        <v>2400</v>
      </c>
      <c r="B99">
        <v>1.2983</v>
      </c>
      <c r="C99">
        <v>1.2983</v>
      </c>
      <c r="D99">
        <v>1.2835000000000001</v>
      </c>
      <c r="E99">
        <f t="shared" si="4"/>
        <v>-1.4799999999999924E-2</v>
      </c>
      <c r="F99">
        <f t="shared" si="6"/>
        <v>106.138882</v>
      </c>
      <c r="G99">
        <f t="shared" si="7"/>
        <v>96.287061999999935</v>
      </c>
      <c r="H99">
        <f t="shared" si="5"/>
        <v>-9.8518200000000604</v>
      </c>
    </row>
    <row r="100" spans="1:8" x14ac:dyDescent="0.3">
      <c r="A100">
        <v>2425</v>
      </c>
      <c r="B100">
        <v>2.0153699999999999</v>
      </c>
      <c r="C100">
        <v>2.0153699999999999</v>
      </c>
      <c r="D100">
        <v>2.1734100000000001</v>
      </c>
      <c r="E100">
        <f t="shared" si="4"/>
        <v>0.15804000000000018</v>
      </c>
      <c r="F100">
        <f t="shared" si="6"/>
        <v>108.154252</v>
      </c>
      <c r="G100">
        <f t="shared" si="7"/>
        <v>98.460471999999939</v>
      </c>
      <c r="H100">
        <f t="shared" si="5"/>
        <v>-9.6937800000000607</v>
      </c>
    </row>
    <row r="101" spans="1:8" x14ac:dyDescent="0.3">
      <c r="A101">
        <v>2450</v>
      </c>
      <c r="B101">
        <v>1.42397</v>
      </c>
      <c r="C101">
        <v>1.42397</v>
      </c>
      <c r="D101">
        <v>1.19912</v>
      </c>
      <c r="E101">
        <f t="shared" si="4"/>
        <v>-0.22484999999999999</v>
      </c>
      <c r="F101">
        <f t="shared" si="6"/>
        <v>109.578222</v>
      </c>
      <c r="G101">
        <f t="shared" si="7"/>
        <v>99.659591999999932</v>
      </c>
      <c r="H101">
        <f t="shared" si="5"/>
        <v>-9.9186300000000642</v>
      </c>
    </row>
    <row r="102" spans="1:8" x14ac:dyDescent="0.3">
      <c r="A102">
        <v>2475</v>
      </c>
      <c r="B102">
        <v>1.42397</v>
      </c>
      <c r="C102">
        <v>1.42397</v>
      </c>
      <c r="D102">
        <v>1.2006399999999999</v>
      </c>
      <c r="E102">
        <f t="shared" si="4"/>
        <v>-0.22333000000000003</v>
      </c>
      <c r="F102">
        <f t="shared" si="6"/>
        <v>111.00219199999999</v>
      </c>
      <c r="G102">
        <f t="shared" si="7"/>
        <v>100.86023199999994</v>
      </c>
      <c r="H102">
        <f t="shared" si="5"/>
        <v>-10.141960000000054</v>
      </c>
    </row>
    <row r="103" spans="1:8" x14ac:dyDescent="0.3">
      <c r="A103">
        <v>2500</v>
      </c>
      <c r="B103">
        <v>2.5615199999999998</v>
      </c>
      <c r="C103">
        <v>2.5615199999999998</v>
      </c>
      <c r="D103">
        <v>2.32985</v>
      </c>
      <c r="E103">
        <f t="shared" si="4"/>
        <v>-0.23166999999999982</v>
      </c>
      <c r="F103">
        <f t="shared" si="6"/>
        <v>113.563712</v>
      </c>
      <c r="G103">
        <f t="shared" si="7"/>
        <v>103.19008199999993</v>
      </c>
      <c r="H103">
        <f t="shared" si="5"/>
        <v>-10.373630000000063</v>
      </c>
    </row>
    <row r="104" spans="1:8" x14ac:dyDescent="0.3">
      <c r="A104">
        <v>2525</v>
      </c>
      <c r="B104">
        <v>2.5413100000000002</v>
      </c>
      <c r="C104">
        <v>2.5413100000000002</v>
      </c>
      <c r="D104">
        <v>1.96885</v>
      </c>
      <c r="E104">
        <f t="shared" si="4"/>
        <v>-0.57246000000000019</v>
      </c>
      <c r="F104">
        <f t="shared" si="6"/>
        <v>116.10502199999999</v>
      </c>
      <c r="G104">
        <f t="shared" si="7"/>
        <v>105.15893199999994</v>
      </c>
      <c r="H104">
        <f t="shared" si="5"/>
        <v>-10.946090000000055</v>
      </c>
    </row>
    <row r="105" spans="1:8" x14ac:dyDescent="0.3">
      <c r="A105">
        <v>2550</v>
      </c>
      <c r="B105">
        <v>1.3588</v>
      </c>
      <c r="C105">
        <v>1.3588</v>
      </c>
      <c r="D105">
        <v>1.62344</v>
      </c>
      <c r="E105">
        <f t="shared" si="4"/>
        <v>0.26463999999999999</v>
      </c>
      <c r="F105">
        <f t="shared" si="6"/>
        <v>117.46382199999999</v>
      </c>
      <c r="G105">
        <f t="shared" si="7"/>
        <v>106.78237199999994</v>
      </c>
      <c r="H105">
        <f t="shared" si="5"/>
        <v>-10.681450000000055</v>
      </c>
    </row>
    <row r="106" spans="1:8" x14ac:dyDescent="0.3">
      <c r="A106">
        <v>2575</v>
      </c>
      <c r="B106">
        <v>0.53754000000000002</v>
      </c>
      <c r="C106">
        <v>0.53754000000000002</v>
      </c>
      <c r="D106">
        <v>1.60215</v>
      </c>
      <c r="E106">
        <f t="shared" si="4"/>
        <v>1.0646100000000001</v>
      </c>
      <c r="F106">
        <f t="shared" si="6"/>
        <v>118.001362</v>
      </c>
      <c r="G106">
        <f t="shared" si="7"/>
        <v>108.38452199999993</v>
      </c>
      <c r="H106">
        <f t="shared" si="5"/>
        <v>-9.6168400000000673</v>
      </c>
    </row>
    <row r="107" spans="1:8" x14ac:dyDescent="0.3">
      <c r="A107">
        <v>2600</v>
      </c>
      <c r="B107">
        <v>0.52582700000000004</v>
      </c>
      <c r="C107">
        <v>0.52582700000000004</v>
      </c>
      <c r="D107">
        <v>0.48874200000000001</v>
      </c>
      <c r="E107">
        <f t="shared" si="4"/>
        <v>-3.7085000000000035E-2</v>
      </c>
      <c r="F107">
        <f t="shared" si="6"/>
        <v>118.52718900000001</v>
      </c>
      <c r="G107">
        <f t="shared" si="7"/>
        <v>108.87326399999993</v>
      </c>
      <c r="H107">
        <f t="shared" si="5"/>
        <v>-9.653925000000072</v>
      </c>
    </row>
    <row r="108" spans="1:8" x14ac:dyDescent="0.3">
      <c r="A108">
        <v>2625</v>
      </c>
      <c r="B108">
        <v>0.517733</v>
      </c>
      <c r="C108">
        <v>0.517733</v>
      </c>
      <c r="D108">
        <v>1.35337</v>
      </c>
      <c r="E108">
        <f t="shared" si="4"/>
        <v>0.83563699999999996</v>
      </c>
      <c r="F108">
        <f t="shared" si="6"/>
        <v>119.04492200000001</v>
      </c>
      <c r="G108">
        <f t="shared" si="7"/>
        <v>110.22663399999993</v>
      </c>
      <c r="H108">
        <f t="shared" si="5"/>
        <v>-8.8182880000000807</v>
      </c>
    </row>
    <row r="109" spans="1:8" x14ac:dyDescent="0.3">
      <c r="A109">
        <v>2650</v>
      </c>
      <c r="B109">
        <v>2.6320399999999999</v>
      </c>
      <c r="C109">
        <v>2.6320399999999999</v>
      </c>
      <c r="D109">
        <v>2.3020499999999999</v>
      </c>
      <c r="E109">
        <f t="shared" si="4"/>
        <v>-0.32999000000000001</v>
      </c>
      <c r="F109">
        <f t="shared" si="6"/>
        <v>121.67696200000002</v>
      </c>
      <c r="G109">
        <f t="shared" si="7"/>
        <v>112.52868399999993</v>
      </c>
      <c r="H109">
        <f t="shared" si="5"/>
        <v>-9.1482780000000901</v>
      </c>
    </row>
    <row r="110" spans="1:8" x14ac:dyDescent="0.3">
      <c r="A110">
        <v>2675</v>
      </c>
      <c r="B110">
        <v>2.59924</v>
      </c>
      <c r="C110">
        <v>2.59924</v>
      </c>
      <c r="D110">
        <v>2.2736999999999998</v>
      </c>
      <c r="E110">
        <f t="shared" si="4"/>
        <v>-0.32554000000000016</v>
      </c>
      <c r="F110">
        <f t="shared" si="6"/>
        <v>124.27620200000001</v>
      </c>
      <c r="G110">
        <f t="shared" si="7"/>
        <v>114.80238399999993</v>
      </c>
      <c r="H110">
        <f t="shared" si="5"/>
        <v>-9.4738180000000796</v>
      </c>
    </row>
    <row r="111" spans="1:8" x14ac:dyDescent="0.3">
      <c r="A111">
        <v>2700</v>
      </c>
      <c r="B111">
        <v>0.63605999999999996</v>
      </c>
      <c r="C111">
        <v>0.63605999999999996</v>
      </c>
      <c r="D111">
        <v>2.2612399999999999</v>
      </c>
      <c r="E111">
        <f t="shared" si="4"/>
        <v>1.6251799999999998</v>
      </c>
      <c r="F111">
        <f t="shared" si="6"/>
        <v>124.91226200000001</v>
      </c>
      <c r="G111">
        <f t="shared" si="7"/>
        <v>117.06362399999993</v>
      </c>
      <c r="H111">
        <f t="shared" si="5"/>
        <v>-7.8486380000000793</v>
      </c>
    </row>
    <row r="112" spans="1:8" x14ac:dyDescent="0.3">
      <c r="A112">
        <v>2725</v>
      </c>
      <c r="B112">
        <v>0.61471299999999995</v>
      </c>
      <c r="C112">
        <v>0.61471299999999995</v>
      </c>
      <c r="D112">
        <v>2.25597</v>
      </c>
      <c r="E112">
        <f t="shared" si="4"/>
        <v>1.641257</v>
      </c>
      <c r="F112">
        <f t="shared" si="6"/>
        <v>125.52697500000001</v>
      </c>
      <c r="G112">
        <f t="shared" si="7"/>
        <v>119.31959399999994</v>
      </c>
      <c r="H112">
        <f t="shared" si="5"/>
        <v>-6.2073810000000691</v>
      </c>
    </row>
    <row r="113" spans="1:8" x14ac:dyDescent="0.3">
      <c r="A113">
        <v>2750</v>
      </c>
      <c r="B113">
        <v>0.44362200000000002</v>
      </c>
      <c r="C113">
        <v>0.44362200000000002</v>
      </c>
      <c r="D113">
        <v>0.59111000000000002</v>
      </c>
      <c r="E113">
        <f t="shared" si="4"/>
        <v>0.14748800000000001</v>
      </c>
      <c r="F113">
        <f t="shared" si="6"/>
        <v>125.97059700000001</v>
      </c>
      <c r="G113">
        <f t="shared" si="7"/>
        <v>119.91070399999994</v>
      </c>
      <c r="H113">
        <f t="shared" si="5"/>
        <v>-6.0598930000000735</v>
      </c>
    </row>
    <row r="114" spans="1:8" x14ac:dyDescent="0.3">
      <c r="A114">
        <v>2775</v>
      </c>
      <c r="B114">
        <v>0.44405299999999998</v>
      </c>
      <c r="C114">
        <v>0.44405299999999998</v>
      </c>
      <c r="D114">
        <v>2.25597</v>
      </c>
      <c r="E114">
        <f t="shared" si="4"/>
        <v>1.811917</v>
      </c>
      <c r="F114">
        <f t="shared" si="6"/>
        <v>126.41465000000001</v>
      </c>
      <c r="G114">
        <f t="shared" si="7"/>
        <v>122.16667399999994</v>
      </c>
      <c r="H114">
        <f t="shared" si="5"/>
        <v>-4.2479760000000653</v>
      </c>
    </row>
    <row r="115" spans="1:8" x14ac:dyDescent="0.3">
      <c r="A115">
        <v>2800</v>
      </c>
      <c r="B115">
        <v>2.4830700000000001</v>
      </c>
      <c r="C115">
        <v>2.4830700000000001</v>
      </c>
      <c r="D115">
        <v>0.59111000000000002</v>
      </c>
      <c r="E115">
        <f t="shared" si="4"/>
        <v>-1.8919600000000001</v>
      </c>
      <c r="F115">
        <f t="shared" si="6"/>
        <v>128.89772000000002</v>
      </c>
      <c r="G115">
        <f t="shared" si="7"/>
        <v>122.75778399999994</v>
      </c>
      <c r="H115">
        <f t="shared" si="5"/>
        <v>-6.1399360000000769</v>
      </c>
    </row>
    <row r="116" spans="1:8" x14ac:dyDescent="0.3">
      <c r="A116">
        <v>2825</v>
      </c>
      <c r="B116">
        <v>2.2962799999999999</v>
      </c>
      <c r="C116">
        <v>2.2962799999999999</v>
      </c>
      <c r="D116">
        <v>2.25597</v>
      </c>
      <c r="E116">
        <f t="shared" si="4"/>
        <v>-4.0309999999999846E-2</v>
      </c>
      <c r="F116">
        <f t="shared" si="6"/>
        <v>131.19400000000002</v>
      </c>
      <c r="G116">
        <f t="shared" si="7"/>
        <v>125.01375399999995</v>
      </c>
      <c r="H116">
        <f t="shared" si="5"/>
        <v>-6.1802460000000679</v>
      </c>
    </row>
    <row r="117" spans="1:8" x14ac:dyDescent="0.3">
      <c r="A117">
        <v>2850</v>
      </c>
      <c r="B117">
        <v>2.8147100000000001E-2</v>
      </c>
      <c r="C117">
        <v>2.8147100000000001E-2</v>
      </c>
      <c r="D117">
        <v>0.59111000000000002</v>
      </c>
      <c r="E117">
        <f t="shared" si="4"/>
        <v>0.56296290000000004</v>
      </c>
      <c r="F117">
        <f t="shared" si="6"/>
        <v>131.22214710000003</v>
      </c>
      <c r="G117">
        <f t="shared" si="7"/>
        <v>125.60486399999995</v>
      </c>
      <c r="H117">
        <f t="shared" si="5"/>
        <v>-5.6172831000000798</v>
      </c>
    </row>
    <row r="118" spans="1:8" x14ac:dyDescent="0.3">
      <c r="A118">
        <v>2875</v>
      </c>
      <c r="B118">
        <v>0.43019400000000002</v>
      </c>
      <c r="C118">
        <v>0.43019400000000002</v>
      </c>
      <c r="D118">
        <v>2.25597</v>
      </c>
      <c r="E118">
        <f t="shared" si="4"/>
        <v>1.8257760000000001</v>
      </c>
      <c r="F118">
        <f t="shared" si="6"/>
        <v>131.65234110000003</v>
      </c>
      <c r="G118">
        <f t="shared" si="7"/>
        <v>127.86083399999995</v>
      </c>
      <c r="H118">
        <f t="shared" si="5"/>
        <v>-3.7915071000000751</v>
      </c>
    </row>
    <row r="119" spans="1:8" x14ac:dyDescent="0.3">
      <c r="A119">
        <v>2900</v>
      </c>
      <c r="B119">
        <v>0.73392599999999997</v>
      </c>
      <c r="C119">
        <v>0.73392599999999997</v>
      </c>
      <c r="D119">
        <v>0.59111000000000002</v>
      </c>
      <c r="E119">
        <f t="shared" si="4"/>
        <v>-0.14281599999999994</v>
      </c>
      <c r="F119">
        <f t="shared" si="6"/>
        <v>132.38626710000003</v>
      </c>
      <c r="G119">
        <f t="shared" si="7"/>
        <v>128.45194399999994</v>
      </c>
      <c r="H119">
        <f t="shared" si="5"/>
        <v>-3.9343231000000856</v>
      </c>
    </row>
    <row r="120" spans="1:8" x14ac:dyDescent="0.3">
      <c r="A120">
        <v>2925</v>
      </c>
      <c r="B120">
        <v>0.95435400000000004</v>
      </c>
      <c r="C120">
        <v>0.95435400000000004</v>
      </c>
      <c r="D120">
        <v>2.25597</v>
      </c>
      <c r="E120">
        <f t="shared" si="4"/>
        <v>1.3016160000000001</v>
      </c>
      <c r="F120">
        <f t="shared" si="6"/>
        <v>133.34062110000002</v>
      </c>
      <c r="G120">
        <f t="shared" si="7"/>
        <v>130.70791399999993</v>
      </c>
      <c r="H120">
        <f t="shared" si="5"/>
        <v>-2.6327071000000899</v>
      </c>
    </row>
    <row r="121" spans="1:8" x14ac:dyDescent="0.3">
      <c r="A121">
        <v>2950</v>
      </c>
      <c r="B121">
        <v>0.99010500000000001</v>
      </c>
      <c r="C121">
        <v>0.99010500000000001</v>
      </c>
      <c r="D121">
        <v>0.59111000000000002</v>
      </c>
      <c r="E121">
        <f t="shared" si="4"/>
        <v>-0.39899499999999999</v>
      </c>
      <c r="F121">
        <f t="shared" si="6"/>
        <v>134.33072610000002</v>
      </c>
      <c r="G121">
        <f t="shared" si="7"/>
        <v>131.29902399999992</v>
      </c>
      <c r="H121">
        <f t="shared" si="5"/>
        <v>-3.0317021000001034</v>
      </c>
    </row>
    <row r="122" spans="1:8" x14ac:dyDescent="0.3">
      <c r="A122">
        <v>2975</v>
      </c>
      <c r="B122">
        <v>0.99010500000000001</v>
      </c>
      <c r="C122">
        <v>0.99010500000000001</v>
      </c>
      <c r="D122">
        <v>0.59890500000000002</v>
      </c>
      <c r="E122">
        <f t="shared" si="4"/>
        <v>-0.39119999999999999</v>
      </c>
      <c r="F122">
        <f t="shared" si="6"/>
        <v>135.32083110000002</v>
      </c>
      <c r="G122">
        <f t="shared" si="7"/>
        <v>131.89792899999992</v>
      </c>
      <c r="H122">
        <f t="shared" si="5"/>
        <v>-3.4229021000001012</v>
      </c>
    </row>
    <row r="123" spans="1:8" x14ac:dyDescent="0.3">
      <c r="A123">
        <v>3000</v>
      </c>
      <c r="B123">
        <v>0.98753100000000005</v>
      </c>
      <c r="C123">
        <v>0.98753100000000005</v>
      </c>
      <c r="D123">
        <v>0.52560200000000001</v>
      </c>
      <c r="E123">
        <f t="shared" si="4"/>
        <v>-0.46192900000000003</v>
      </c>
      <c r="F123">
        <f t="shared" si="6"/>
        <v>136.30836210000001</v>
      </c>
      <c r="G123">
        <f t="shared" si="7"/>
        <v>132.42353099999991</v>
      </c>
      <c r="H123">
        <f t="shared" si="5"/>
        <v>-3.884831100000099</v>
      </c>
    </row>
    <row r="124" spans="1:8" x14ac:dyDescent="0.3">
      <c r="A124">
        <v>3025</v>
      </c>
      <c r="B124">
        <v>2.1431200000000001</v>
      </c>
      <c r="C124">
        <v>2.1431200000000001</v>
      </c>
      <c r="D124">
        <v>0.58590500000000001</v>
      </c>
      <c r="E124">
        <f t="shared" si="4"/>
        <v>-1.5572150000000002</v>
      </c>
      <c r="F124">
        <f t="shared" si="6"/>
        <v>138.45148210000002</v>
      </c>
      <c r="G124">
        <f t="shared" si="7"/>
        <v>133.00943599999991</v>
      </c>
      <c r="H124">
        <f t="shared" si="5"/>
        <v>-5.4420461000001126</v>
      </c>
    </row>
    <row r="125" spans="1:8" x14ac:dyDescent="0.3">
      <c r="A125">
        <v>3050</v>
      </c>
      <c r="B125">
        <v>0.72106899999999996</v>
      </c>
      <c r="C125">
        <v>0.72106899999999996</v>
      </c>
      <c r="D125">
        <v>0.53834400000000004</v>
      </c>
      <c r="E125">
        <f t="shared" si="4"/>
        <v>-0.18272499999999992</v>
      </c>
      <c r="F125">
        <f t="shared" si="6"/>
        <v>139.17255110000002</v>
      </c>
      <c r="G125">
        <f t="shared" si="7"/>
        <v>133.5477799999999</v>
      </c>
      <c r="H125">
        <f t="shared" si="5"/>
        <v>-5.6247711000001175</v>
      </c>
    </row>
    <row r="126" spans="1:8" x14ac:dyDescent="0.3">
      <c r="A126">
        <v>3075</v>
      </c>
      <c r="B126">
        <v>0.72106899999999996</v>
      </c>
      <c r="C126">
        <v>0.72106899999999996</v>
      </c>
      <c r="D126">
        <v>0.53945600000000005</v>
      </c>
      <c r="E126">
        <f t="shared" si="4"/>
        <v>-0.18161299999999991</v>
      </c>
      <c r="F126">
        <f t="shared" si="6"/>
        <v>139.89362010000002</v>
      </c>
      <c r="G126">
        <f t="shared" si="7"/>
        <v>134.0872359999999</v>
      </c>
      <c r="H126">
        <f t="shared" si="5"/>
        <v>-5.8063841000001162</v>
      </c>
    </row>
    <row r="127" spans="1:8" x14ac:dyDescent="0.3">
      <c r="A127">
        <v>3100</v>
      </c>
      <c r="B127">
        <v>0.76650600000000002</v>
      </c>
      <c r="C127">
        <v>0.76650600000000002</v>
      </c>
      <c r="D127">
        <v>0.45611000000000002</v>
      </c>
      <c r="E127">
        <f t="shared" si="4"/>
        <v>-0.31039600000000001</v>
      </c>
      <c r="F127">
        <f t="shared" si="6"/>
        <v>140.66012610000001</v>
      </c>
      <c r="G127">
        <f t="shared" si="7"/>
        <v>134.5433459999999</v>
      </c>
      <c r="H127">
        <f t="shared" si="5"/>
        <v>-6.1167801000001134</v>
      </c>
    </row>
    <row r="128" spans="1:8" x14ac:dyDescent="0.3">
      <c r="A128">
        <v>3125</v>
      </c>
      <c r="B128">
        <v>0.76650600000000002</v>
      </c>
      <c r="C128">
        <v>0.76650600000000002</v>
      </c>
      <c r="D128">
        <v>0.46899600000000002</v>
      </c>
      <c r="E128">
        <f t="shared" si="4"/>
        <v>-0.29751</v>
      </c>
      <c r="F128">
        <f t="shared" si="6"/>
        <v>141.42663210000001</v>
      </c>
      <c r="G128">
        <f t="shared" si="7"/>
        <v>135.0123419999999</v>
      </c>
      <c r="H128">
        <f t="shared" si="5"/>
        <v>-6.4142901000001018</v>
      </c>
    </row>
    <row r="129" spans="1:8" x14ac:dyDescent="0.3">
      <c r="A129">
        <v>3150</v>
      </c>
      <c r="B129">
        <v>0.72765000000000002</v>
      </c>
      <c r="C129">
        <v>0.72765000000000002</v>
      </c>
      <c r="D129">
        <v>2.8862100000000002E-2</v>
      </c>
      <c r="E129">
        <f t="shared" si="4"/>
        <v>-0.69878790000000002</v>
      </c>
      <c r="F129">
        <f t="shared" si="6"/>
        <v>142.15428210000002</v>
      </c>
      <c r="G129">
        <f t="shared" si="7"/>
        <v>135.0412040999999</v>
      </c>
      <c r="H129">
        <f t="shared" si="5"/>
        <v>-7.1130780000001153</v>
      </c>
    </row>
    <row r="130" spans="1:8" x14ac:dyDescent="0.3">
      <c r="A130">
        <v>3175</v>
      </c>
      <c r="B130">
        <v>0.72765000000000002</v>
      </c>
      <c r="C130">
        <v>0.72765000000000002</v>
      </c>
      <c r="D130">
        <v>3.37738E-2</v>
      </c>
      <c r="E130">
        <f t="shared" si="4"/>
        <v>-0.69387620000000005</v>
      </c>
      <c r="F130">
        <f t="shared" si="6"/>
        <v>142.88193210000003</v>
      </c>
      <c r="G130">
        <f t="shared" si="7"/>
        <v>135.07497789999991</v>
      </c>
      <c r="H130">
        <f t="shared" si="5"/>
        <v>-7.8069542000001206</v>
      </c>
    </row>
    <row r="131" spans="1:8" x14ac:dyDescent="0.3">
      <c r="A131">
        <v>3200</v>
      </c>
      <c r="B131">
        <v>0.72158299999999997</v>
      </c>
      <c r="C131">
        <v>0.72158299999999997</v>
      </c>
      <c r="D131">
        <v>0.96224900000000002</v>
      </c>
      <c r="E131">
        <f t="shared" si="4"/>
        <v>0.24066600000000005</v>
      </c>
      <c r="F131">
        <f t="shared" si="6"/>
        <v>143.60351510000004</v>
      </c>
      <c r="G131">
        <f t="shared" si="7"/>
        <v>136.03722689999992</v>
      </c>
      <c r="H131">
        <f t="shared" si="5"/>
        <v>-7.5662882000001161</v>
      </c>
    </row>
    <row r="132" spans="1:8" x14ac:dyDescent="0.3">
      <c r="A132">
        <v>3225</v>
      </c>
      <c r="B132">
        <v>0.72158299999999997</v>
      </c>
      <c r="C132">
        <v>0.72158299999999997</v>
      </c>
      <c r="D132">
        <v>0.96224900000000002</v>
      </c>
      <c r="E132">
        <f t="shared" ref="E132:E146" si="8">D132-B132</f>
        <v>0.24066600000000005</v>
      </c>
      <c r="F132">
        <f t="shared" si="6"/>
        <v>144.32509810000005</v>
      </c>
      <c r="G132">
        <f t="shared" si="7"/>
        <v>136.99947589999994</v>
      </c>
      <c r="H132">
        <f t="shared" ref="H132:H147" si="9">G132-F132</f>
        <v>-7.3256222000001117</v>
      </c>
    </row>
    <row r="133" spans="1:8" x14ac:dyDescent="0.3">
      <c r="A133">
        <v>3250</v>
      </c>
      <c r="B133">
        <v>0.73254799999999998</v>
      </c>
      <c r="C133">
        <v>0.73254799999999998</v>
      </c>
      <c r="D133">
        <v>1.34063</v>
      </c>
      <c r="E133">
        <f t="shared" si="8"/>
        <v>0.60808200000000001</v>
      </c>
      <c r="F133">
        <f t="shared" ref="F133:F145" si="10">F132+B133</f>
        <v>145.05764610000006</v>
      </c>
      <c r="G133">
        <f t="shared" ref="G133:G146" si="11">G132+D133</f>
        <v>138.34010589999994</v>
      </c>
      <c r="H133">
        <f t="shared" si="9"/>
        <v>-6.7175402000001156</v>
      </c>
    </row>
    <row r="134" spans="1:8" x14ac:dyDescent="0.3">
      <c r="A134">
        <v>3275</v>
      </c>
      <c r="B134">
        <v>0.73254799999999998</v>
      </c>
      <c r="C134">
        <v>0.73254799999999998</v>
      </c>
      <c r="D134">
        <v>0.51830100000000001</v>
      </c>
      <c r="E134">
        <f t="shared" si="8"/>
        <v>-0.21424699999999997</v>
      </c>
      <c r="F134">
        <f t="shared" si="10"/>
        <v>145.79019410000006</v>
      </c>
      <c r="G134">
        <f t="shared" si="11"/>
        <v>138.85840689999995</v>
      </c>
      <c r="H134">
        <f t="shared" si="9"/>
        <v>-6.9317872000001159</v>
      </c>
    </row>
    <row r="135" spans="1:8" x14ac:dyDescent="0.3">
      <c r="A135">
        <v>3300</v>
      </c>
      <c r="B135">
        <v>0.70600700000000005</v>
      </c>
      <c r="C135">
        <v>0.70600700000000005</v>
      </c>
      <c r="D135">
        <v>0.72773399999999999</v>
      </c>
      <c r="E135">
        <f t="shared" si="8"/>
        <v>2.1726999999999941E-2</v>
      </c>
      <c r="F135">
        <f t="shared" si="10"/>
        <v>146.49620110000006</v>
      </c>
      <c r="G135">
        <f t="shared" si="11"/>
        <v>139.58614089999995</v>
      </c>
      <c r="H135">
        <f t="shared" si="9"/>
        <v>-6.9100602000001174</v>
      </c>
    </row>
    <row r="136" spans="1:8" x14ac:dyDescent="0.3">
      <c r="A136">
        <v>3325</v>
      </c>
      <c r="B136">
        <v>0.70600700000000005</v>
      </c>
      <c r="C136">
        <v>0.70600700000000005</v>
      </c>
      <c r="D136">
        <v>0.72773399999999999</v>
      </c>
      <c r="E136">
        <f t="shared" si="8"/>
        <v>2.1726999999999941E-2</v>
      </c>
      <c r="F136">
        <f t="shared" si="10"/>
        <v>147.20220810000006</v>
      </c>
      <c r="G136">
        <f t="shared" si="11"/>
        <v>140.31387489999995</v>
      </c>
      <c r="H136">
        <f t="shared" si="9"/>
        <v>-6.8883332000001189</v>
      </c>
    </row>
    <row r="137" spans="1:8" x14ac:dyDescent="0.3">
      <c r="A137">
        <v>3350</v>
      </c>
      <c r="B137">
        <v>0.69934799999999997</v>
      </c>
      <c r="C137">
        <v>0.69934799999999997</v>
      </c>
      <c r="D137">
        <v>0.47471600000000003</v>
      </c>
      <c r="E137">
        <f t="shared" si="8"/>
        <v>-0.22463199999999994</v>
      </c>
      <c r="F137">
        <f t="shared" si="10"/>
        <v>147.90155610000005</v>
      </c>
      <c r="G137">
        <f t="shared" si="11"/>
        <v>140.78859089999995</v>
      </c>
      <c r="H137">
        <f t="shared" si="9"/>
        <v>-7.1129652000001045</v>
      </c>
    </row>
    <row r="138" spans="1:8" x14ac:dyDescent="0.3">
      <c r="A138">
        <v>3375</v>
      </c>
      <c r="B138">
        <v>0.69934799999999997</v>
      </c>
      <c r="C138">
        <v>0.69934799999999997</v>
      </c>
      <c r="D138">
        <v>0.47471600000000003</v>
      </c>
      <c r="E138">
        <f t="shared" si="8"/>
        <v>-0.22463199999999994</v>
      </c>
      <c r="F138">
        <f t="shared" si="10"/>
        <v>148.60090410000004</v>
      </c>
      <c r="G138">
        <f t="shared" si="11"/>
        <v>141.26330689999995</v>
      </c>
      <c r="H138">
        <f t="shared" si="9"/>
        <v>-7.33759720000009</v>
      </c>
    </row>
    <row r="139" spans="1:8" x14ac:dyDescent="0.3">
      <c r="A139">
        <v>3400</v>
      </c>
      <c r="B139">
        <v>0.72145899999999996</v>
      </c>
      <c r="C139">
        <v>0.72145899999999996</v>
      </c>
      <c r="D139">
        <v>0.28969400000000001</v>
      </c>
      <c r="E139">
        <f t="shared" si="8"/>
        <v>-0.43176499999999995</v>
      </c>
      <c r="F139">
        <f t="shared" si="10"/>
        <v>149.32236310000005</v>
      </c>
      <c r="G139">
        <f t="shared" si="11"/>
        <v>141.55300089999994</v>
      </c>
      <c r="H139">
        <f t="shared" si="9"/>
        <v>-7.7693622000001028</v>
      </c>
    </row>
    <row r="140" spans="1:8" x14ac:dyDescent="0.3">
      <c r="A140">
        <v>3425</v>
      </c>
      <c r="B140">
        <v>0.72145899999999996</v>
      </c>
      <c r="C140">
        <v>0.72145899999999996</v>
      </c>
      <c r="D140">
        <v>0.28969400000000001</v>
      </c>
      <c r="E140">
        <f t="shared" si="8"/>
        <v>-0.43176499999999995</v>
      </c>
      <c r="F140">
        <f t="shared" si="10"/>
        <v>150.04382210000006</v>
      </c>
      <c r="G140">
        <f t="shared" si="11"/>
        <v>141.84269489999994</v>
      </c>
      <c r="H140">
        <f t="shared" si="9"/>
        <v>-8.2011272000001156</v>
      </c>
    </row>
    <row r="141" spans="1:8" x14ac:dyDescent="0.3">
      <c r="A141">
        <v>3450</v>
      </c>
      <c r="B141">
        <v>0.40454000000000001</v>
      </c>
      <c r="C141">
        <v>0.40454000000000001</v>
      </c>
      <c r="D141">
        <v>0.28969400000000001</v>
      </c>
      <c r="E141">
        <f t="shared" si="8"/>
        <v>-0.114846</v>
      </c>
      <c r="F141">
        <f t="shared" si="10"/>
        <v>150.44836210000005</v>
      </c>
      <c r="G141">
        <f t="shared" si="11"/>
        <v>142.13238889999994</v>
      </c>
      <c r="H141">
        <f t="shared" si="9"/>
        <v>-8.3159732000001156</v>
      </c>
    </row>
    <row r="142" spans="1:8" x14ac:dyDescent="0.3">
      <c r="A142">
        <v>3475</v>
      </c>
      <c r="B142">
        <v>0.71242099999999997</v>
      </c>
      <c r="C142">
        <v>0.71242099999999997</v>
      </c>
      <c r="D142">
        <v>0.28969400000000001</v>
      </c>
      <c r="E142">
        <f t="shared" si="8"/>
        <v>-0.42272699999999996</v>
      </c>
      <c r="F142">
        <f t="shared" si="10"/>
        <v>151.16078310000006</v>
      </c>
      <c r="G142">
        <f t="shared" si="11"/>
        <v>142.42208289999994</v>
      </c>
      <c r="H142">
        <f t="shared" si="9"/>
        <v>-8.7387002000001246</v>
      </c>
    </row>
    <row r="143" spans="1:8" x14ac:dyDescent="0.3">
      <c r="A143">
        <v>3500</v>
      </c>
      <c r="B143">
        <v>0.41698099999999999</v>
      </c>
      <c r="C143">
        <v>0.41698099999999999</v>
      </c>
      <c r="D143">
        <v>0.28969400000000001</v>
      </c>
      <c r="E143">
        <f t="shared" si="8"/>
        <v>-0.12728699999999998</v>
      </c>
      <c r="F143">
        <f t="shared" si="10"/>
        <v>151.57776410000005</v>
      </c>
      <c r="G143">
        <f t="shared" si="11"/>
        <v>142.71177689999993</v>
      </c>
      <c r="H143">
        <f t="shared" si="9"/>
        <v>-8.8659872000001201</v>
      </c>
    </row>
    <row r="144" spans="1:8" x14ac:dyDescent="0.3">
      <c r="A144">
        <v>3525</v>
      </c>
      <c r="B144">
        <v>0.42926599999999998</v>
      </c>
      <c r="C144">
        <v>0.42926599999999998</v>
      </c>
      <c r="D144">
        <v>0.28969400000000001</v>
      </c>
      <c r="E144">
        <f t="shared" si="8"/>
        <v>-0.13957199999999997</v>
      </c>
      <c r="F144">
        <f t="shared" si="10"/>
        <v>152.00703010000007</v>
      </c>
      <c r="G144">
        <f t="shared" si="11"/>
        <v>143.00147089999993</v>
      </c>
      <c r="H144">
        <f t="shared" si="9"/>
        <v>-9.0055592000001354</v>
      </c>
    </row>
    <row r="145" spans="1:8" x14ac:dyDescent="0.3">
      <c r="A145">
        <v>3550</v>
      </c>
      <c r="B145">
        <v>0.72603099999999998</v>
      </c>
      <c r="C145">
        <v>0.72603099999999998</v>
      </c>
      <c r="D145">
        <v>0.28969400000000001</v>
      </c>
      <c r="E145">
        <f t="shared" si="8"/>
        <v>-0.43633699999999997</v>
      </c>
      <c r="F145">
        <f t="shared" si="10"/>
        <v>152.73306110000007</v>
      </c>
      <c r="G145">
        <f t="shared" si="11"/>
        <v>143.29116489999993</v>
      </c>
      <c r="H145">
        <f t="shared" si="9"/>
        <v>-9.4418962000001443</v>
      </c>
    </row>
    <row r="146" spans="1:8" x14ac:dyDescent="0.3">
      <c r="A146">
        <v>3575</v>
      </c>
      <c r="B146">
        <v>0.72603099999999998</v>
      </c>
      <c r="C146">
        <v>0.72603099999999998</v>
      </c>
      <c r="D146">
        <v>0.28969400000000001</v>
      </c>
      <c r="E146">
        <f t="shared" si="8"/>
        <v>-0.43633699999999997</v>
      </c>
      <c r="F146">
        <f>F145+B146</f>
        <v>153.45909210000008</v>
      </c>
      <c r="G146">
        <f t="shared" si="11"/>
        <v>143.58085889999992</v>
      </c>
      <c r="H146">
        <f t="shared" si="9"/>
        <v>-9.8782332000001531</v>
      </c>
    </row>
    <row r="147" spans="1:8" x14ac:dyDescent="0.3">
      <c r="A147">
        <v>3600</v>
      </c>
      <c r="F147">
        <f>F146</f>
        <v>153.45909210000008</v>
      </c>
      <c r="G147">
        <f>G146</f>
        <v>143.58085889999992</v>
      </c>
      <c r="H147">
        <f t="shared" si="9"/>
        <v>-9.8782332000001531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回归</vt:lpstr>
      <vt:lpstr>回归-油耗差</vt:lpstr>
      <vt:lpstr>Sheet2</vt:lpstr>
      <vt:lpstr>随机森林</vt:lpstr>
      <vt:lpstr>图10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振宇 邹</cp:lastModifiedBy>
  <dcterms:created xsi:type="dcterms:W3CDTF">2023-04-08T09:40:14Z</dcterms:created>
  <dcterms:modified xsi:type="dcterms:W3CDTF">2023-11-29T11:16:04Z</dcterms:modified>
</cp:coreProperties>
</file>