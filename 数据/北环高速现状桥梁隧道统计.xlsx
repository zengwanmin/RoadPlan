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ngwanmin/Desktop/工作文件夹/1_研究生课题组工作/1_论文/2、小论文/实验/数据/"/>
    </mc:Choice>
  </mc:AlternateContent>
  <xr:revisionPtr revIDLastSave="0" documentId="13_ncr:1_{6D0B867B-6C56-364C-A440-30416DC6F0BE}" xr6:coauthVersionLast="47" xr6:coauthVersionMax="47" xr10:uidLastSave="{00000000-0000-0000-0000-000000000000}"/>
  <bookViews>
    <workbookView xWindow="14900" yWindow="660" windowWidth="14500" windowHeight="18460" xr2:uid="{5F408E83-DFD1-D94B-8FF6-C6A0C467B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10" i="1"/>
  <c r="D8" i="1"/>
  <c r="D7" i="1"/>
  <c r="D5" i="1"/>
  <c r="D4" i="1"/>
  <c r="D3" i="1"/>
</calcChain>
</file>

<file path=xl/sharedStrings.xml><?xml version="1.0" encoding="utf-8"?>
<sst xmlns="http://schemas.openxmlformats.org/spreadsheetml/2006/main" count="34" uniqueCount="28">
  <si>
    <t>北环高速现状桥隧情况统计</t>
    <phoneticPr fontId="1" type="noConversion"/>
  </si>
  <si>
    <t>桩号</t>
    <phoneticPr fontId="1" type="noConversion"/>
  </si>
  <si>
    <t>类型</t>
    <phoneticPr fontId="1" type="noConversion"/>
  </si>
  <si>
    <t>名称</t>
    <phoneticPr fontId="1" type="noConversion"/>
  </si>
  <si>
    <t>长度（km）</t>
    <phoneticPr fontId="1" type="noConversion"/>
  </si>
  <si>
    <t>桥梁</t>
    <phoneticPr fontId="1" type="noConversion"/>
  </si>
  <si>
    <t>K0+200-K1+000</t>
    <phoneticPr fontId="1" type="noConversion"/>
  </si>
  <si>
    <t>沙贝立交</t>
    <phoneticPr fontId="1" type="noConversion"/>
  </si>
  <si>
    <t>K2+400-K4+600</t>
    <phoneticPr fontId="1" type="noConversion"/>
  </si>
  <si>
    <t>广清立交</t>
    <phoneticPr fontId="1" type="noConversion"/>
  </si>
  <si>
    <t>广花和三元里立交</t>
    <phoneticPr fontId="1" type="noConversion"/>
  </si>
  <si>
    <t>K6+030-K7+630</t>
    <phoneticPr fontId="1" type="noConversion"/>
  </si>
  <si>
    <t>广园路立交</t>
    <phoneticPr fontId="1" type="noConversion"/>
  </si>
  <si>
    <t>沙河立交</t>
    <phoneticPr fontId="1" type="noConversion"/>
  </si>
  <si>
    <t>K14+210-K15+010</t>
    <phoneticPr fontId="1" type="noConversion"/>
  </si>
  <si>
    <t>岑村立交</t>
    <phoneticPr fontId="1" type="noConversion"/>
  </si>
  <si>
    <t>K17+800-K18+700</t>
    <phoneticPr fontId="1" type="noConversion"/>
  </si>
  <si>
    <t>科韵路立交</t>
    <phoneticPr fontId="1" type="noConversion"/>
  </si>
  <si>
    <t>K20+300-K20+900</t>
    <phoneticPr fontId="1" type="noConversion"/>
  </si>
  <si>
    <t>隧道</t>
    <phoneticPr fontId="1" type="noConversion"/>
  </si>
  <si>
    <t>白云山隧道</t>
    <phoneticPr fontId="1" type="noConversion"/>
  </si>
  <si>
    <t>K9+860-K11+210</t>
    <phoneticPr fontId="1" type="noConversion"/>
  </si>
  <si>
    <t>桥梁单位造价</t>
    <phoneticPr fontId="1" type="noConversion"/>
  </si>
  <si>
    <t>隧道单位造价</t>
    <phoneticPr fontId="1" type="noConversion"/>
  </si>
  <si>
    <t>双向</t>
    <phoneticPr fontId="1" type="noConversion"/>
  </si>
  <si>
    <t>886.69万元/km</t>
    <phoneticPr fontId="1" type="noConversion"/>
  </si>
  <si>
    <t>27000万元/km</t>
    <phoneticPr fontId="1" type="noConversion"/>
  </si>
  <si>
    <t>K8+770-K9+670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</si>
</sst>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20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B4A42-0582-E746-B228-E5117AC83C0E}">
  <dimension ref="A1:H26"/>
  <sheetViews>
    <sheetView tabSelected="1" zoomScale="132" workbookViewId="0">
      <selection activeCell="D3" sqref="D3:D9"/>
    </sheetView>
  </sheetViews>
  <sheetFormatPr baseColWidth="10" defaultRowHeight="16"/>
  <cols>
    <col min="1" max="1" width="26.33203125" style="2" customWidth="1"/>
    <col min="2" max="2" width="14.6640625" style="2" customWidth="1"/>
    <col min="3" max="3" width="30" style="2" customWidth="1"/>
    <col min="4" max="4" width="19.6640625" style="2" customWidth="1"/>
    <col min="5" max="7" width="10.83203125" style="2"/>
    <col min="8" max="8" width="10.83203125" style="1"/>
  </cols>
  <sheetData>
    <row r="1" spans="1:8" ht="26">
      <c r="A1" s="6" t="s">
        <v>0</v>
      </c>
      <c r="B1" s="6"/>
      <c r="C1" s="6"/>
      <c r="D1" s="6"/>
      <c r="E1" s="5"/>
      <c r="F1" s="5"/>
      <c r="G1" s="5"/>
    </row>
    <row r="2" spans="1:8" s="4" customFormat="1" ht="28" customHeight="1">
      <c r="A2" s="3" t="s">
        <v>1</v>
      </c>
      <c r="B2" s="3" t="s">
        <v>2</v>
      </c>
      <c r="C2" s="3" t="s">
        <v>3</v>
      </c>
      <c r="D2" s="3" t="s">
        <v>4</v>
      </c>
      <c r="E2" s="3"/>
      <c r="F2" s="3"/>
      <c r="G2" s="3"/>
      <c r="H2" s="3"/>
    </row>
    <row r="3" spans="1:8" s="4" customFormat="1" ht="28" customHeight="1">
      <c r="A3" s="3" t="s">
        <v>6</v>
      </c>
      <c r="B3" s="3" t="s">
        <v>5</v>
      </c>
      <c r="C3" s="3" t="s">
        <v>7</v>
      </c>
      <c r="D3" s="3">
        <f>(1000-200)/1000</f>
        <v>0.8</v>
      </c>
      <c r="E3" s="3"/>
      <c r="F3" s="3"/>
      <c r="G3" s="3"/>
      <c r="H3" s="3"/>
    </row>
    <row r="4" spans="1:8" s="4" customFormat="1" ht="28" customHeight="1">
      <c r="A4" s="3" t="s">
        <v>8</v>
      </c>
      <c r="B4" s="3" t="s">
        <v>5</v>
      </c>
      <c r="C4" s="3" t="s">
        <v>9</v>
      </c>
      <c r="D4" s="3">
        <f>(4600-2400)/1000</f>
        <v>2.2000000000000002</v>
      </c>
      <c r="E4" s="3"/>
      <c r="F4" s="3"/>
      <c r="G4" s="3"/>
      <c r="H4" s="3"/>
    </row>
    <row r="5" spans="1:8" s="4" customFormat="1" ht="28" customHeight="1">
      <c r="A5" s="3" t="s">
        <v>11</v>
      </c>
      <c r="B5" s="3" t="s">
        <v>5</v>
      </c>
      <c r="C5" s="3" t="s">
        <v>10</v>
      </c>
      <c r="D5" s="3">
        <f>(7630-6030)/1000</f>
        <v>1.6</v>
      </c>
      <c r="E5" s="3"/>
      <c r="F5" s="3"/>
      <c r="G5" s="3"/>
      <c r="H5" s="3"/>
    </row>
    <row r="6" spans="1:8" s="4" customFormat="1" ht="28" customHeight="1">
      <c r="A6" s="3" t="s">
        <v>27</v>
      </c>
      <c r="B6" s="3" t="s">
        <v>5</v>
      </c>
      <c r="C6" s="3" t="s">
        <v>12</v>
      </c>
      <c r="D6" s="3">
        <f>(9670-8770)/1000</f>
        <v>0.9</v>
      </c>
      <c r="E6" s="3"/>
      <c r="F6" s="3"/>
      <c r="G6" s="3"/>
      <c r="H6" s="3"/>
    </row>
    <row r="7" spans="1:8" s="4" customFormat="1" ht="28" customHeight="1">
      <c r="A7" s="3" t="s">
        <v>14</v>
      </c>
      <c r="B7" s="3" t="s">
        <v>5</v>
      </c>
      <c r="C7" s="3" t="s">
        <v>13</v>
      </c>
      <c r="D7" s="3">
        <f>(15010-14210)/1000</f>
        <v>0.8</v>
      </c>
      <c r="E7" s="3"/>
      <c r="F7" s="3"/>
      <c r="G7" s="3"/>
      <c r="H7" s="3"/>
    </row>
    <row r="8" spans="1:8" s="4" customFormat="1" ht="28" customHeight="1">
      <c r="A8" s="3" t="s">
        <v>16</v>
      </c>
      <c r="B8" s="3" t="s">
        <v>5</v>
      </c>
      <c r="C8" s="3" t="s">
        <v>15</v>
      </c>
      <c r="D8" s="3">
        <f>(18700-17800)/1000</f>
        <v>0.9</v>
      </c>
      <c r="E8" s="3"/>
      <c r="F8" s="3"/>
      <c r="G8" s="3"/>
      <c r="H8" s="3"/>
    </row>
    <row r="9" spans="1:8" s="4" customFormat="1" ht="28" customHeight="1">
      <c r="A9" s="3" t="s">
        <v>18</v>
      </c>
      <c r="B9" s="3" t="s">
        <v>5</v>
      </c>
      <c r="C9" s="3" t="s">
        <v>17</v>
      </c>
      <c r="D9" s="3">
        <v>0.6</v>
      </c>
      <c r="E9" s="3"/>
      <c r="F9" s="3"/>
      <c r="G9" s="3"/>
      <c r="H9" s="3"/>
    </row>
    <row r="10" spans="1:8" s="4" customFormat="1" ht="28" customHeight="1">
      <c r="A10" s="3" t="s">
        <v>21</v>
      </c>
      <c r="B10" s="3" t="s">
        <v>19</v>
      </c>
      <c r="C10" s="3" t="s">
        <v>20</v>
      </c>
      <c r="D10" s="3">
        <f>(11210-9860)/1000*2</f>
        <v>2.7</v>
      </c>
      <c r="E10" s="3" t="s">
        <v>24</v>
      </c>
      <c r="F10" s="3"/>
      <c r="G10" s="3"/>
      <c r="H10" s="3"/>
    </row>
    <row r="11" spans="1:8" s="4" customFormat="1" ht="28" customHeight="1">
      <c r="A11" s="3"/>
      <c r="B11" s="3"/>
      <c r="C11" s="3"/>
      <c r="D11" s="3"/>
      <c r="E11" s="3"/>
      <c r="F11" s="3"/>
      <c r="G11" s="3"/>
      <c r="H11" s="3"/>
    </row>
    <row r="12" spans="1:8" s="4" customFormat="1" ht="28" customHeight="1">
      <c r="A12" s="3"/>
      <c r="B12" s="3" t="s">
        <v>22</v>
      </c>
      <c r="C12" s="3" t="s">
        <v>25</v>
      </c>
      <c r="D12" s="3"/>
      <c r="E12" s="3"/>
      <c r="F12" s="3"/>
      <c r="G12" s="3"/>
      <c r="H12" s="3"/>
    </row>
    <row r="13" spans="1:8" s="4" customFormat="1" ht="28" customHeight="1">
      <c r="A13" s="3"/>
      <c r="B13" s="3" t="s">
        <v>23</v>
      </c>
      <c r="C13" s="3" t="s">
        <v>26</v>
      </c>
      <c r="D13" s="3"/>
      <c r="E13" s="3"/>
      <c r="F13" s="3"/>
      <c r="G13" s="3"/>
      <c r="H13" s="3"/>
    </row>
    <row r="14" spans="1:8" s="4" customFormat="1" ht="28" customHeight="1">
      <c r="A14" s="3"/>
      <c r="B14" s="3"/>
      <c r="C14" s="3"/>
      <c r="D14" s="3"/>
      <c r="E14" s="3"/>
      <c r="F14" s="3"/>
      <c r="G14" s="3"/>
      <c r="H14" s="3"/>
    </row>
    <row r="15" spans="1:8" s="4" customFormat="1" ht="28" customHeight="1">
      <c r="A15" s="3"/>
      <c r="B15" s="3"/>
      <c r="C15" s="3"/>
      <c r="D15" s="3"/>
      <c r="E15" s="3"/>
      <c r="F15" s="3"/>
      <c r="G15" s="3"/>
      <c r="H15" s="3"/>
    </row>
    <row r="16" spans="1:8" s="4" customFormat="1" ht="28" customHeight="1">
      <c r="A16" s="3"/>
      <c r="B16" s="3"/>
      <c r="C16" s="3"/>
      <c r="D16" s="3"/>
      <c r="E16" s="3"/>
      <c r="F16" s="3"/>
      <c r="G16" s="3"/>
      <c r="H16" s="3"/>
    </row>
    <row r="17" spans="1:8" s="4" customFormat="1" ht="28" customHeight="1">
      <c r="A17" s="3"/>
      <c r="B17" s="3"/>
      <c r="C17" s="3"/>
      <c r="D17" s="3"/>
      <c r="E17" s="3"/>
      <c r="F17" s="3"/>
      <c r="G17" s="3"/>
      <c r="H17" s="3"/>
    </row>
    <row r="18" spans="1:8" s="4" customFormat="1" ht="28" customHeight="1">
      <c r="A18" s="3"/>
      <c r="B18" s="3"/>
      <c r="C18" s="3"/>
      <c r="D18" s="3"/>
      <c r="E18" s="3"/>
      <c r="F18" s="3"/>
      <c r="G18" s="3"/>
      <c r="H18" s="3"/>
    </row>
    <row r="19" spans="1:8" s="4" customFormat="1" ht="28" customHeight="1">
      <c r="A19" s="3"/>
      <c r="B19" s="3"/>
      <c r="C19" s="3"/>
      <c r="D19" s="3"/>
      <c r="E19" s="3"/>
      <c r="F19" s="3"/>
      <c r="G19" s="3"/>
      <c r="H19" s="3"/>
    </row>
    <row r="20" spans="1:8" s="4" customFormat="1" ht="28" customHeight="1">
      <c r="A20" s="3"/>
      <c r="B20" s="3"/>
      <c r="C20" s="3"/>
      <c r="D20" s="3"/>
      <c r="E20" s="3"/>
      <c r="F20" s="3"/>
      <c r="G20" s="3"/>
      <c r="H20" s="3"/>
    </row>
    <row r="21" spans="1:8" s="4" customFormat="1" ht="28" customHeight="1">
      <c r="A21" s="3"/>
      <c r="B21" s="3"/>
      <c r="C21" s="3"/>
      <c r="D21" s="3"/>
      <c r="E21" s="3"/>
      <c r="F21" s="3"/>
      <c r="G21" s="3"/>
      <c r="H21" s="3"/>
    </row>
    <row r="22" spans="1:8" s="4" customFormat="1" ht="28" customHeight="1">
      <c r="A22" s="3"/>
      <c r="B22" s="3"/>
      <c r="C22" s="3"/>
      <c r="D22" s="3"/>
      <c r="E22" s="3"/>
      <c r="F22" s="3"/>
      <c r="G22" s="3"/>
      <c r="H22" s="3"/>
    </row>
    <row r="23" spans="1:8" s="4" customFormat="1" ht="28" customHeight="1">
      <c r="A23" s="3"/>
      <c r="B23" s="3"/>
      <c r="C23" s="3"/>
      <c r="D23" s="3"/>
      <c r="E23" s="3"/>
      <c r="F23" s="3"/>
      <c r="G23" s="3"/>
      <c r="H23" s="3"/>
    </row>
    <row r="24" spans="1:8" s="4" customFormat="1" ht="28" customHeight="1">
      <c r="A24" s="3"/>
      <c r="B24" s="3"/>
      <c r="C24" s="3"/>
      <c r="D24" s="3"/>
      <c r="E24" s="3"/>
      <c r="F24" s="3"/>
      <c r="G24" s="3"/>
      <c r="H24" s="3"/>
    </row>
    <row r="25" spans="1:8" s="4" customFormat="1" ht="28" customHeight="1">
      <c r="A25" s="3"/>
      <c r="B25" s="3"/>
      <c r="C25" s="3"/>
      <c r="D25" s="3"/>
      <c r="E25" s="3"/>
      <c r="F25" s="3"/>
      <c r="G25" s="3"/>
      <c r="H25" s="3"/>
    </row>
    <row r="26" spans="1:8" s="4" customFormat="1" ht="28" customHeight="1">
      <c r="A26" s="3"/>
      <c r="B26" s="3"/>
      <c r="C26" s="3"/>
      <c r="D26" s="3"/>
      <c r="E26" s="3"/>
      <c r="F26" s="3"/>
      <c r="G26" s="3"/>
      <c r="H26" s="3"/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曾万敏</dc:creator>
  <cp:lastModifiedBy>曾万敏</cp:lastModifiedBy>
  <dcterms:created xsi:type="dcterms:W3CDTF">2026-08-04T12:19:24Z</dcterms:created>
  <dcterms:modified xsi:type="dcterms:W3CDTF">2026-08-05T09:20:12Z</dcterms:modified>
</cp:coreProperties>
</file>