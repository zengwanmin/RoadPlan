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课件\研一\论文框架分析\邹振宇论文稿件-2023-10-28和图表\"/>
    </mc:Choice>
  </mc:AlternateContent>
  <xr:revisionPtr revIDLastSave="0" documentId="13_ncr:1_{E2BFC7A6-B053-4524-8B9E-4DD50F8B1A19}" xr6:coauthVersionLast="47" xr6:coauthVersionMax="47" xr10:uidLastSave="{00000000-0000-0000-0000-000000000000}"/>
  <bookViews>
    <workbookView xWindow="-110" yWindow="-110" windowWidth="25820" windowHeight="13900" firstSheet="2" activeTab="6" xr2:uid="{00000000-000D-0000-FFFF-FFFF00000000}"/>
  </bookViews>
  <sheets>
    <sheet name="模拟图" sheetId="2" r:id="rId1"/>
    <sheet name="迈腾0519" sheetId="1" r:id="rId2"/>
    <sheet name="迈腾0531" sheetId="5" r:id="rId3"/>
    <sheet name="朗逸0625" sheetId="4" r:id="rId4"/>
    <sheet name="高度图" sheetId="3" r:id="rId5"/>
    <sheet name="图8" sheetId="11" r:id="rId6"/>
    <sheet name="图7" sheetId="10" r:id="rId7"/>
    <sheet name="合并油耗平滑" sheetId="13" r:id="rId8"/>
    <sheet name="图9" sheetId="8" r:id="rId9"/>
    <sheet name="Sheet6" sheetId="12" r:id="rId10"/>
    <sheet name="弧度规划" sheetId="9" r:id="rId11"/>
    <sheet name="弧度回归速度分析" sheetId="14" r:id="rId12"/>
    <sheet name="弧度随机速度分析" sheetId="15" r:id="rId13"/>
    <sheet name="Sheet1" sheetId="16" r:id="rId14"/>
  </sheets>
  <externalReferences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" i="9" l="1"/>
  <c r="X5" i="9"/>
  <c r="AA2" i="9"/>
  <c r="AA3" i="9"/>
  <c r="B3" i="2" l="1"/>
  <c r="D3" i="2" s="1"/>
  <c r="B4" i="2" l="1"/>
  <c r="B5" i="2" s="1"/>
  <c r="B6" i="2" s="1"/>
  <c r="B7" i="2" s="1"/>
  <c r="B8" i="2" s="1"/>
  <c r="B9" i="2" s="1"/>
  <c r="B10" i="2" s="1"/>
  <c r="B11" i="2" s="1"/>
  <c r="B12" i="2" s="1"/>
  <c r="AA46" i="9"/>
  <c r="AA47" i="9"/>
  <c r="AA45" i="9"/>
  <c r="F159" i="15"/>
  <c r="I159" i="15" s="1"/>
  <c r="E159" i="15"/>
  <c r="H159" i="15" s="1"/>
  <c r="D159" i="15"/>
  <c r="G159" i="15" s="1"/>
  <c r="F158" i="15"/>
  <c r="I158" i="15" s="1"/>
  <c r="E158" i="15"/>
  <c r="H158" i="15" s="1"/>
  <c r="D158" i="15"/>
  <c r="G158" i="15" s="1"/>
  <c r="F157" i="15"/>
  <c r="I157" i="15" s="1"/>
  <c r="E157" i="15"/>
  <c r="H157" i="15" s="1"/>
  <c r="D157" i="15"/>
  <c r="G157" i="15" s="1"/>
  <c r="F156" i="15"/>
  <c r="I156" i="15" s="1"/>
  <c r="E156" i="15"/>
  <c r="H156" i="15" s="1"/>
  <c r="D156" i="15"/>
  <c r="G156" i="15" s="1"/>
  <c r="F155" i="15"/>
  <c r="I155" i="15" s="1"/>
  <c r="E155" i="15"/>
  <c r="H155" i="15" s="1"/>
  <c r="D155" i="15"/>
  <c r="G155" i="15" s="1"/>
  <c r="F154" i="15"/>
  <c r="I154" i="15" s="1"/>
  <c r="E154" i="15"/>
  <c r="H154" i="15" s="1"/>
  <c r="D154" i="15"/>
  <c r="G154" i="15" s="1"/>
  <c r="F153" i="15"/>
  <c r="I153" i="15" s="1"/>
  <c r="E153" i="15"/>
  <c r="H153" i="15" s="1"/>
  <c r="D153" i="15"/>
  <c r="G153" i="15" s="1"/>
  <c r="F152" i="15"/>
  <c r="I152" i="15" s="1"/>
  <c r="E152" i="15"/>
  <c r="H152" i="15" s="1"/>
  <c r="D152" i="15"/>
  <c r="G152" i="15" s="1"/>
  <c r="F151" i="15"/>
  <c r="I151" i="15" s="1"/>
  <c r="E151" i="15"/>
  <c r="H151" i="15" s="1"/>
  <c r="D151" i="15"/>
  <c r="G151" i="15" s="1"/>
  <c r="F150" i="15"/>
  <c r="I150" i="15" s="1"/>
  <c r="E150" i="15"/>
  <c r="H150" i="15" s="1"/>
  <c r="D150" i="15"/>
  <c r="G150" i="15" s="1"/>
  <c r="F149" i="15"/>
  <c r="I149" i="15" s="1"/>
  <c r="E149" i="15"/>
  <c r="H149" i="15" s="1"/>
  <c r="D149" i="15"/>
  <c r="G149" i="15" s="1"/>
  <c r="F148" i="15"/>
  <c r="I148" i="15" s="1"/>
  <c r="E148" i="15"/>
  <c r="H148" i="15" s="1"/>
  <c r="D148" i="15"/>
  <c r="G148" i="15" s="1"/>
  <c r="F147" i="15"/>
  <c r="I147" i="15" s="1"/>
  <c r="E147" i="15"/>
  <c r="H147" i="15" s="1"/>
  <c r="D147" i="15"/>
  <c r="G147" i="15" s="1"/>
  <c r="F146" i="15"/>
  <c r="I146" i="15" s="1"/>
  <c r="E146" i="15"/>
  <c r="H146" i="15" s="1"/>
  <c r="D146" i="15"/>
  <c r="G146" i="15" s="1"/>
  <c r="F145" i="15"/>
  <c r="I145" i="15" s="1"/>
  <c r="E145" i="15"/>
  <c r="H145" i="15" s="1"/>
  <c r="D145" i="15"/>
  <c r="G145" i="15" s="1"/>
  <c r="F144" i="15"/>
  <c r="I144" i="15" s="1"/>
  <c r="E144" i="15"/>
  <c r="H144" i="15" s="1"/>
  <c r="D144" i="15"/>
  <c r="G144" i="15" s="1"/>
  <c r="F143" i="15"/>
  <c r="I143" i="15" s="1"/>
  <c r="E143" i="15"/>
  <c r="H143" i="15" s="1"/>
  <c r="D143" i="15"/>
  <c r="G143" i="15" s="1"/>
  <c r="F142" i="15"/>
  <c r="I142" i="15" s="1"/>
  <c r="E142" i="15"/>
  <c r="H142" i="15" s="1"/>
  <c r="D142" i="15"/>
  <c r="G142" i="15" s="1"/>
  <c r="F141" i="15"/>
  <c r="I141" i="15" s="1"/>
  <c r="E141" i="15"/>
  <c r="H141" i="15" s="1"/>
  <c r="D141" i="15"/>
  <c r="G141" i="15" s="1"/>
  <c r="F140" i="15"/>
  <c r="I140" i="15" s="1"/>
  <c r="E140" i="15"/>
  <c r="H140" i="15" s="1"/>
  <c r="D140" i="15"/>
  <c r="G140" i="15" s="1"/>
  <c r="F139" i="15"/>
  <c r="I139" i="15" s="1"/>
  <c r="E139" i="15"/>
  <c r="H139" i="15" s="1"/>
  <c r="D139" i="15"/>
  <c r="G139" i="15" s="1"/>
  <c r="F138" i="15"/>
  <c r="I138" i="15" s="1"/>
  <c r="E138" i="15"/>
  <c r="H138" i="15" s="1"/>
  <c r="D138" i="15"/>
  <c r="G138" i="15" s="1"/>
  <c r="F137" i="15"/>
  <c r="I137" i="15" s="1"/>
  <c r="E137" i="15"/>
  <c r="H137" i="15" s="1"/>
  <c r="D137" i="15"/>
  <c r="G137" i="15" s="1"/>
  <c r="F136" i="15"/>
  <c r="I136" i="15" s="1"/>
  <c r="E136" i="15"/>
  <c r="H136" i="15" s="1"/>
  <c r="D136" i="15"/>
  <c r="G136" i="15" s="1"/>
  <c r="F135" i="15"/>
  <c r="I135" i="15" s="1"/>
  <c r="E135" i="15"/>
  <c r="H135" i="15" s="1"/>
  <c r="D135" i="15"/>
  <c r="G135" i="15" s="1"/>
  <c r="F134" i="15"/>
  <c r="I134" i="15" s="1"/>
  <c r="E134" i="15"/>
  <c r="H134" i="15" s="1"/>
  <c r="D134" i="15"/>
  <c r="G134" i="15" s="1"/>
  <c r="F133" i="15"/>
  <c r="I133" i="15" s="1"/>
  <c r="E133" i="15"/>
  <c r="H133" i="15" s="1"/>
  <c r="D133" i="15"/>
  <c r="G133" i="15" s="1"/>
  <c r="F132" i="15"/>
  <c r="I132" i="15" s="1"/>
  <c r="E132" i="15"/>
  <c r="H132" i="15" s="1"/>
  <c r="D132" i="15"/>
  <c r="G132" i="15" s="1"/>
  <c r="F131" i="15"/>
  <c r="I131" i="15" s="1"/>
  <c r="E131" i="15"/>
  <c r="H131" i="15" s="1"/>
  <c r="D131" i="15"/>
  <c r="G131" i="15" s="1"/>
  <c r="F130" i="15"/>
  <c r="I130" i="15" s="1"/>
  <c r="E130" i="15"/>
  <c r="H130" i="15" s="1"/>
  <c r="D130" i="15"/>
  <c r="G130" i="15" s="1"/>
  <c r="F129" i="15"/>
  <c r="I129" i="15" s="1"/>
  <c r="E129" i="15"/>
  <c r="H129" i="15" s="1"/>
  <c r="D129" i="15"/>
  <c r="G129" i="15" s="1"/>
  <c r="F128" i="15"/>
  <c r="I128" i="15" s="1"/>
  <c r="E128" i="15"/>
  <c r="H128" i="15" s="1"/>
  <c r="D128" i="15"/>
  <c r="G128" i="15" s="1"/>
  <c r="F127" i="15"/>
  <c r="I127" i="15" s="1"/>
  <c r="E127" i="15"/>
  <c r="H127" i="15" s="1"/>
  <c r="D127" i="15"/>
  <c r="G127" i="15" s="1"/>
  <c r="F126" i="15"/>
  <c r="I126" i="15" s="1"/>
  <c r="E126" i="15"/>
  <c r="H126" i="15" s="1"/>
  <c r="D126" i="15"/>
  <c r="G126" i="15" s="1"/>
  <c r="F125" i="15"/>
  <c r="I125" i="15" s="1"/>
  <c r="E125" i="15"/>
  <c r="H125" i="15" s="1"/>
  <c r="D125" i="15"/>
  <c r="G125" i="15" s="1"/>
  <c r="F124" i="15"/>
  <c r="I124" i="15" s="1"/>
  <c r="E124" i="15"/>
  <c r="H124" i="15" s="1"/>
  <c r="D124" i="15"/>
  <c r="G124" i="15" s="1"/>
  <c r="F123" i="15"/>
  <c r="I123" i="15" s="1"/>
  <c r="E123" i="15"/>
  <c r="H123" i="15" s="1"/>
  <c r="D123" i="15"/>
  <c r="G123" i="15" s="1"/>
  <c r="F122" i="15"/>
  <c r="I122" i="15" s="1"/>
  <c r="E122" i="15"/>
  <c r="H122" i="15" s="1"/>
  <c r="D122" i="15"/>
  <c r="G122" i="15" s="1"/>
  <c r="F121" i="15"/>
  <c r="I121" i="15" s="1"/>
  <c r="E121" i="15"/>
  <c r="H121" i="15" s="1"/>
  <c r="D121" i="15"/>
  <c r="G121" i="15" s="1"/>
  <c r="F120" i="15"/>
  <c r="I120" i="15" s="1"/>
  <c r="E120" i="15"/>
  <c r="H120" i="15" s="1"/>
  <c r="D120" i="15"/>
  <c r="G120" i="15" s="1"/>
  <c r="F119" i="15"/>
  <c r="I119" i="15" s="1"/>
  <c r="E119" i="15"/>
  <c r="H119" i="15" s="1"/>
  <c r="D119" i="15"/>
  <c r="G119" i="15" s="1"/>
  <c r="F118" i="15"/>
  <c r="I118" i="15" s="1"/>
  <c r="E118" i="15"/>
  <c r="H118" i="15" s="1"/>
  <c r="D118" i="15"/>
  <c r="G118" i="15" s="1"/>
  <c r="F117" i="15"/>
  <c r="I117" i="15" s="1"/>
  <c r="E117" i="15"/>
  <c r="H117" i="15" s="1"/>
  <c r="D117" i="15"/>
  <c r="G117" i="15" s="1"/>
  <c r="F116" i="15"/>
  <c r="I116" i="15" s="1"/>
  <c r="E116" i="15"/>
  <c r="H116" i="15" s="1"/>
  <c r="D116" i="15"/>
  <c r="G116" i="15" s="1"/>
  <c r="F115" i="15"/>
  <c r="I115" i="15" s="1"/>
  <c r="E115" i="15"/>
  <c r="H115" i="15" s="1"/>
  <c r="D115" i="15"/>
  <c r="G115" i="15" s="1"/>
  <c r="F114" i="15"/>
  <c r="I114" i="15" s="1"/>
  <c r="E114" i="15"/>
  <c r="H114" i="15" s="1"/>
  <c r="D114" i="15"/>
  <c r="G114" i="15" s="1"/>
  <c r="F113" i="15"/>
  <c r="I113" i="15" s="1"/>
  <c r="E113" i="15"/>
  <c r="H113" i="15" s="1"/>
  <c r="D113" i="15"/>
  <c r="G113" i="15" s="1"/>
  <c r="F112" i="15"/>
  <c r="I112" i="15" s="1"/>
  <c r="E112" i="15"/>
  <c r="H112" i="15" s="1"/>
  <c r="D112" i="15"/>
  <c r="G112" i="15" s="1"/>
  <c r="F111" i="15"/>
  <c r="I111" i="15" s="1"/>
  <c r="E111" i="15"/>
  <c r="H111" i="15" s="1"/>
  <c r="D111" i="15"/>
  <c r="G111" i="15" s="1"/>
  <c r="F110" i="15"/>
  <c r="I110" i="15" s="1"/>
  <c r="E110" i="15"/>
  <c r="H110" i="15" s="1"/>
  <c r="D110" i="15"/>
  <c r="G110" i="15" s="1"/>
  <c r="F109" i="15"/>
  <c r="I109" i="15" s="1"/>
  <c r="E109" i="15"/>
  <c r="H109" i="15" s="1"/>
  <c r="D109" i="15"/>
  <c r="G109" i="15" s="1"/>
  <c r="F108" i="15"/>
  <c r="I108" i="15" s="1"/>
  <c r="E108" i="15"/>
  <c r="H108" i="15" s="1"/>
  <c r="D108" i="15"/>
  <c r="G108" i="15" s="1"/>
  <c r="F107" i="15"/>
  <c r="I107" i="15" s="1"/>
  <c r="E107" i="15"/>
  <c r="H107" i="15" s="1"/>
  <c r="D107" i="15"/>
  <c r="G107" i="15" s="1"/>
  <c r="F106" i="15"/>
  <c r="I106" i="15" s="1"/>
  <c r="E106" i="15"/>
  <c r="H106" i="15" s="1"/>
  <c r="D106" i="15"/>
  <c r="G106" i="15" s="1"/>
  <c r="H105" i="15"/>
  <c r="F105" i="15"/>
  <c r="I105" i="15" s="1"/>
  <c r="E105" i="15"/>
  <c r="D105" i="15"/>
  <c r="G105" i="15" s="1"/>
  <c r="F104" i="15"/>
  <c r="I104" i="15" s="1"/>
  <c r="E104" i="15"/>
  <c r="H104" i="15" s="1"/>
  <c r="D104" i="15"/>
  <c r="G104" i="15" s="1"/>
  <c r="F103" i="15"/>
  <c r="I103" i="15" s="1"/>
  <c r="E103" i="15"/>
  <c r="H103" i="15" s="1"/>
  <c r="D103" i="15"/>
  <c r="G103" i="15" s="1"/>
  <c r="F102" i="15"/>
  <c r="I102" i="15" s="1"/>
  <c r="E102" i="15"/>
  <c r="H102" i="15" s="1"/>
  <c r="D102" i="15"/>
  <c r="G102" i="15" s="1"/>
  <c r="F101" i="15"/>
  <c r="I101" i="15" s="1"/>
  <c r="E101" i="15"/>
  <c r="H101" i="15" s="1"/>
  <c r="D101" i="15"/>
  <c r="G101" i="15" s="1"/>
  <c r="F100" i="15"/>
  <c r="I100" i="15" s="1"/>
  <c r="E100" i="15"/>
  <c r="H100" i="15" s="1"/>
  <c r="D100" i="15"/>
  <c r="G100" i="15" s="1"/>
  <c r="F99" i="15"/>
  <c r="I99" i="15" s="1"/>
  <c r="E99" i="15"/>
  <c r="H99" i="15" s="1"/>
  <c r="D99" i="15"/>
  <c r="G99" i="15" s="1"/>
  <c r="F98" i="15"/>
  <c r="I98" i="15" s="1"/>
  <c r="E98" i="15"/>
  <c r="H98" i="15" s="1"/>
  <c r="D98" i="15"/>
  <c r="G98" i="15" s="1"/>
  <c r="F97" i="15"/>
  <c r="I97" i="15" s="1"/>
  <c r="E97" i="15"/>
  <c r="H97" i="15" s="1"/>
  <c r="D97" i="15"/>
  <c r="G97" i="15" s="1"/>
  <c r="F96" i="15"/>
  <c r="I96" i="15" s="1"/>
  <c r="E96" i="15"/>
  <c r="H96" i="15" s="1"/>
  <c r="D96" i="15"/>
  <c r="G96" i="15" s="1"/>
  <c r="F95" i="15"/>
  <c r="I95" i="15" s="1"/>
  <c r="E95" i="15"/>
  <c r="H95" i="15" s="1"/>
  <c r="D95" i="15"/>
  <c r="G95" i="15" s="1"/>
  <c r="F94" i="15"/>
  <c r="I94" i="15" s="1"/>
  <c r="E94" i="15"/>
  <c r="H94" i="15" s="1"/>
  <c r="D94" i="15"/>
  <c r="G94" i="15" s="1"/>
  <c r="F93" i="15"/>
  <c r="I93" i="15" s="1"/>
  <c r="E93" i="15"/>
  <c r="H93" i="15" s="1"/>
  <c r="D93" i="15"/>
  <c r="G93" i="15" s="1"/>
  <c r="F92" i="15"/>
  <c r="I92" i="15" s="1"/>
  <c r="E92" i="15"/>
  <c r="H92" i="15" s="1"/>
  <c r="D92" i="15"/>
  <c r="G92" i="15" s="1"/>
  <c r="F91" i="15"/>
  <c r="I91" i="15" s="1"/>
  <c r="E91" i="15"/>
  <c r="H91" i="15" s="1"/>
  <c r="D91" i="15"/>
  <c r="G91" i="15" s="1"/>
  <c r="F90" i="15"/>
  <c r="I90" i="15" s="1"/>
  <c r="E90" i="15"/>
  <c r="H90" i="15" s="1"/>
  <c r="D90" i="15"/>
  <c r="G90" i="15" s="1"/>
  <c r="F89" i="15"/>
  <c r="I89" i="15" s="1"/>
  <c r="E89" i="15"/>
  <c r="H89" i="15" s="1"/>
  <c r="D89" i="15"/>
  <c r="G89" i="15" s="1"/>
  <c r="F88" i="15"/>
  <c r="I88" i="15" s="1"/>
  <c r="E88" i="15"/>
  <c r="H88" i="15" s="1"/>
  <c r="D88" i="15"/>
  <c r="G88" i="15" s="1"/>
  <c r="F87" i="15"/>
  <c r="I87" i="15" s="1"/>
  <c r="E87" i="15"/>
  <c r="H87" i="15" s="1"/>
  <c r="D87" i="15"/>
  <c r="G87" i="15" s="1"/>
  <c r="F86" i="15"/>
  <c r="I86" i="15" s="1"/>
  <c r="E86" i="15"/>
  <c r="H86" i="15" s="1"/>
  <c r="D86" i="15"/>
  <c r="G86" i="15" s="1"/>
  <c r="F85" i="15"/>
  <c r="I85" i="15" s="1"/>
  <c r="E85" i="15"/>
  <c r="H85" i="15" s="1"/>
  <c r="D85" i="15"/>
  <c r="G85" i="15" s="1"/>
  <c r="F84" i="15"/>
  <c r="I84" i="15" s="1"/>
  <c r="E84" i="15"/>
  <c r="H84" i="15" s="1"/>
  <c r="D84" i="15"/>
  <c r="G84" i="15" s="1"/>
  <c r="F83" i="15"/>
  <c r="I83" i="15" s="1"/>
  <c r="E83" i="15"/>
  <c r="H83" i="15" s="1"/>
  <c r="D83" i="15"/>
  <c r="G83" i="15" s="1"/>
  <c r="F82" i="15"/>
  <c r="I82" i="15" s="1"/>
  <c r="E82" i="15"/>
  <c r="H82" i="15" s="1"/>
  <c r="D82" i="15"/>
  <c r="G82" i="15" s="1"/>
  <c r="F81" i="15"/>
  <c r="I81" i="15" s="1"/>
  <c r="E81" i="15"/>
  <c r="H81" i="15" s="1"/>
  <c r="D81" i="15"/>
  <c r="G81" i="15" s="1"/>
  <c r="F80" i="15"/>
  <c r="I80" i="15" s="1"/>
  <c r="E80" i="15"/>
  <c r="H80" i="15" s="1"/>
  <c r="D80" i="15"/>
  <c r="G80" i="15" s="1"/>
  <c r="F79" i="15"/>
  <c r="I79" i="15" s="1"/>
  <c r="E79" i="15"/>
  <c r="H79" i="15" s="1"/>
  <c r="D79" i="15"/>
  <c r="G79" i="15" s="1"/>
  <c r="F78" i="15"/>
  <c r="I78" i="15" s="1"/>
  <c r="E78" i="15"/>
  <c r="H78" i="15" s="1"/>
  <c r="D78" i="15"/>
  <c r="G78" i="15" s="1"/>
  <c r="F77" i="15"/>
  <c r="I77" i="15" s="1"/>
  <c r="E77" i="15"/>
  <c r="H77" i="15" s="1"/>
  <c r="D77" i="15"/>
  <c r="G77" i="15" s="1"/>
  <c r="F76" i="15"/>
  <c r="I76" i="15" s="1"/>
  <c r="E76" i="15"/>
  <c r="H76" i="15" s="1"/>
  <c r="D76" i="15"/>
  <c r="G76" i="15" s="1"/>
  <c r="F75" i="15"/>
  <c r="I75" i="15" s="1"/>
  <c r="E75" i="15"/>
  <c r="H75" i="15" s="1"/>
  <c r="D75" i="15"/>
  <c r="G75" i="15" s="1"/>
  <c r="F74" i="15"/>
  <c r="I74" i="15" s="1"/>
  <c r="E74" i="15"/>
  <c r="H74" i="15" s="1"/>
  <c r="D74" i="15"/>
  <c r="G74" i="15" s="1"/>
  <c r="F73" i="15"/>
  <c r="I73" i="15" s="1"/>
  <c r="E73" i="15"/>
  <c r="H73" i="15" s="1"/>
  <c r="D73" i="15"/>
  <c r="G73" i="15" s="1"/>
  <c r="F72" i="15"/>
  <c r="I72" i="15" s="1"/>
  <c r="E72" i="15"/>
  <c r="H72" i="15" s="1"/>
  <c r="D72" i="15"/>
  <c r="G72" i="15" s="1"/>
  <c r="F71" i="15"/>
  <c r="I71" i="15" s="1"/>
  <c r="E71" i="15"/>
  <c r="H71" i="15" s="1"/>
  <c r="D71" i="15"/>
  <c r="G71" i="15" s="1"/>
  <c r="F70" i="15"/>
  <c r="I70" i="15" s="1"/>
  <c r="E70" i="15"/>
  <c r="H70" i="15" s="1"/>
  <c r="D70" i="15"/>
  <c r="G70" i="15" s="1"/>
  <c r="F69" i="15"/>
  <c r="I69" i="15" s="1"/>
  <c r="E69" i="15"/>
  <c r="H69" i="15" s="1"/>
  <c r="D69" i="15"/>
  <c r="G69" i="15" s="1"/>
  <c r="F68" i="15"/>
  <c r="I68" i="15" s="1"/>
  <c r="E68" i="15"/>
  <c r="H68" i="15" s="1"/>
  <c r="D68" i="15"/>
  <c r="G68" i="15" s="1"/>
  <c r="F67" i="15"/>
  <c r="I67" i="15" s="1"/>
  <c r="E67" i="15"/>
  <c r="H67" i="15" s="1"/>
  <c r="D67" i="15"/>
  <c r="G67" i="15" s="1"/>
  <c r="F66" i="15"/>
  <c r="I66" i="15" s="1"/>
  <c r="E66" i="15"/>
  <c r="H66" i="15" s="1"/>
  <c r="D66" i="15"/>
  <c r="G66" i="15" s="1"/>
  <c r="F65" i="15"/>
  <c r="I65" i="15" s="1"/>
  <c r="E65" i="15"/>
  <c r="H65" i="15" s="1"/>
  <c r="D65" i="15"/>
  <c r="G65" i="15" s="1"/>
  <c r="F64" i="15"/>
  <c r="I64" i="15" s="1"/>
  <c r="E64" i="15"/>
  <c r="H64" i="15" s="1"/>
  <c r="D64" i="15"/>
  <c r="G64" i="15" s="1"/>
  <c r="F63" i="15"/>
  <c r="I63" i="15" s="1"/>
  <c r="E63" i="15"/>
  <c r="H63" i="15" s="1"/>
  <c r="D63" i="15"/>
  <c r="G63" i="15" s="1"/>
  <c r="F62" i="15"/>
  <c r="I62" i="15" s="1"/>
  <c r="E62" i="15"/>
  <c r="H62" i="15" s="1"/>
  <c r="D62" i="15"/>
  <c r="G62" i="15" s="1"/>
  <c r="F61" i="15"/>
  <c r="I61" i="15" s="1"/>
  <c r="E61" i="15"/>
  <c r="H61" i="15" s="1"/>
  <c r="D61" i="15"/>
  <c r="G61" i="15" s="1"/>
  <c r="F60" i="15"/>
  <c r="I60" i="15" s="1"/>
  <c r="E60" i="15"/>
  <c r="H60" i="15" s="1"/>
  <c r="D60" i="15"/>
  <c r="G60" i="15" s="1"/>
  <c r="F59" i="15"/>
  <c r="I59" i="15" s="1"/>
  <c r="E59" i="15"/>
  <c r="H59" i="15" s="1"/>
  <c r="D59" i="15"/>
  <c r="G59" i="15" s="1"/>
  <c r="F58" i="15"/>
  <c r="I58" i="15" s="1"/>
  <c r="E58" i="15"/>
  <c r="H58" i="15" s="1"/>
  <c r="D58" i="15"/>
  <c r="G58" i="15" s="1"/>
  <c r="F57" i="15"/>
  <c r="I57" i="15" s="1"/>
  <c r="E57" i="15"/>
  <c r="H57" i="15" s="1"/>
  <c r="D57" i="15"/>
  <c r="G57" i="15" s="1"/>
  <c r="F56" i="15"/>
  <c r="I56" i="15" s="1"/>
  <c r="E56" i="15"/>
  <c r="H56" i="15" s="1"/>
  <c r="D56" i="15"/>
  <c r="G56" i="15" s="1"/>
  <c r="G55" i="15"/>
  <c r="F55" i="15"/>
  <c r="I55" i="15" s="1"/>
  <c r="E55" i="15"/>
  <c r="H55" i="15" s="1"/>
  <c r="D55" i="15"/>
  <c r="F54" i="15"/>
  <c r="I54" i="15" s="1"/>
  <c r="E54" i="15"/>
  <c r="H54" i="15" s="1"/>
  <c r="D54" i="15"/>
  <c r="G54" i="15" s="1"/>
  <c r="F53" i="15"/>
  <c r="I53" i="15" s="1"/>
  <c r="E53" i="15"/>
  <c r="H53" i="15" s="1"/>
  <c r="D53" i="15"/>
  <c r="G53" i="15" s="1"/>
  <c r="F52" i="15"/>
  <c r="I52" i="15" s="1"/>
  <c r="E52" i="15"/>
  <c r="H52" i="15" s="1"/>
  <c r="D52" i="15"/>
  <c r="G52" i="15" s="1"/>
  <c r="F51" i="15"/>
  <c r="I51" i="15" s="1"/>
  <c r="E51" i="15"/>
  <c r="H51" i="15" s="1"/>
  <c r="D51" i="15"/>
  <c r="G51" i="15" s="1"/>
  <c r="F50" i="15"/>
  <c r="I50" i="15" s="1"/>
  <c r="E50" i="15"/>
  <c r="H50" i="15" s="1"/>
  <c r="D50" i="15"/>
  <c r="G50" i="15" s="1"/>
  <c r="F49" i="15"/>
  <c r="I49" i="15" s="1"/>
  <c r="E49" i="15"/>
  <c r="H49" i="15" s="1"/>
  <c r="D49" i="15"/>
  <c r="G49" i="15" s="1"/>
  <c r="F48" i="15"/>
  <c r="I48" i="15" s="1"/>
  <c r="E48" i="15"/>
  <c r="H48" i="15" s="1"/>
  <c r="D48" i="15"/>
  <c r="G48" i="15" s="1"/>
  <c r="F47" i="15"/>
  <c r="I47" i="15" s="1"/>
  <c r="E47" i="15"/>
  <c r="H47" i="15" s="1"/>
  <c r="D47" i="15"/>
  <c r="G47" i="15" s="1"/>
  <c r="F46" i="15"/>
  <c r="I46" i="15" s="1"/>
  <c r="E46" i="15"/>
  <c r="H46" i="15" s="1"/>
  <c r="D46" i="15"/>
  <c r="G46" i="15" s="1"/>
  <c r="F45" i="15"/>
  <c r="I45" i="15" s="1"/>
  <c r="E45" i="15"/>
  <c r="H45" i="15" s="1"/>
  <c r="D45" i="15"/>
  <c r="G45" i="15" s="1"/>
  <c r="F44" i="15"/>
  <c r="I44" i="15" s="1"/>
  <c r="E44" i="15"/>
  <c r="H44" i="15" s="1"/>
  <c r="D44" i="15"/>
  <c r="G44" i="15" s="1"/>
  <c r="F43" i="15"/>
  <c r="I43" i="15" s="1"/>
  <c r="E43" i="15"/>
  <c r="H43" i="15" s="1"/>
  <c r="D43" i="15"/>
  <c r="G43" i="15" s="1"/>
  <c r="F42" i="15"/>
  <c r="I42" i="15" s="1"/>
  <c r="E42" i="15"/>
  <c r="H42" i="15" s="1"/>
  <c r="D42" i="15"/>
  <c r="G42" i="15" s="1"/>
  <c r="F41" i="15"/>
  <c r="I41" i="15" s="1"/>
  <c r="E41" i="15"/>
  <c r="H41" i="15" s="1"/>
  <c r="D41" i="15"/>
  <c r="G41" i="15" s="1"/>
  <c r="F40" i="15"/>
  <c r="I40" i="15" s="1"/>
  <c r="E40" i="15"/>
  <c r="H40" i="15" s="1"/>
  <c r="D40" i="15"/>
  <c r="G40" i="15" s="1"/>
  <c r="F39" i="15"/>
  <c r="I39" i="15" s="1"/>
  <c r="E39" i="15"/>
  <c r="H39" i="15" s="1"/>
  <c r="D39" i="15"/>
  <c r="G39" i="15" s="1"/>
  <c r="F38" i="15"/>
  <c r="I38" i="15" s="1"/>
  <c r="E38" i="15"/>
  <c r="H38" i="15" s="1"/>
  <c r="D38" i="15"/>
  <c r="G38" i="15" s="1"/>
  <c r="F37" i="15"/>
  <c r="I37" i="15" s="1"/>
  <c r="E37" i="15"/>
  <c r="H37" i="15" s="1"/>
  <c r="D37" i="15"/>
  <c r="G37" i="15" s="1"/>
  <c r="F36" i="15"/>
  <c r="I36" i="15" s="1"/>
  <c r="E36" i="15"/>
  <c r="H36" i="15" s="1"/>
  <c r="D36" i="15"/>
  <c r="G36" i="15" s="1"/>
  <c r="F35" i="15"/>
  <c r="I35" i="15" s="1"/>
  <c r="E35" i="15"/>
  <c r="H35" i="15" s="1"/>
  <c r="D35" i="15"/>
  <c r="G35" i="15" s="1"/>
  <c r="F34" i="15"/>
  <c r="I34" i="15" s="1"/>
  <c r="E34" i="15"/>
  <c r="H34" i="15" s="1"/>
  <c r="D34" i="15"/>
  <c r="G34" i="15" s="1"/>
  <c r="F33" i="15"/>
  <c r="I33" i="15" s="1"/>
  <c r="E33" i="15"/>
  <c r="H33" i="15" s="1"/>
  <c r="D33" i="15"/>
  <c r="G33" i="15" s="1"/>
  <c r="F32" i="15"/>
  <c r="I32" i="15" s="1"/>
  <c r="E32" i="15"/>
  <c r="H32" i="15" s="1"/>
  <c r="D32" i="15"/>
  <c r="G32" i="15" s="1"/>
  <c r="F31" i="15"/>
  <c r="I31" i="15" s="1"/>
  <c r="E31" i="15"/>
  <c r="H31" i="15" s="1"/>
  <c r="D31" i="15"/>
  <c r="G31" i="15" s="1"/>
  <c r="F30" i="15"/>
  <c r="I30" i="15" s="1"/>
  <c r="E30" i="15"/>
  <c r="H30" i="15" s="1"/>
  <c r="D30" i="15"/>
  <c r="G30" i="15" s="1"/>
  <c r="F29" i="15"/>
  <c r="I29" i="15" s="1"/>
  <c r="E29" i="15"/>
  <c r="H29" i="15" s="1"/>
  <c r="D29" i="15"/>
  <c r="G29" i="15" s="1"/>
  <c r="F28" i="15"/>
  <c r="I28" i="15" s="1"/>
  <c r="E28" i="15"/>
  <c r="H28" i="15" s="1"/>
  <c r="D28" i="15"/>
  <c r="G28" i="15" s="1"/>
  <c r="F27" i="15"/>
  <c r="I27" i="15" s="1"/>
  <c r="E27" i="15"/>
  <c r="H27" i="15" s="1"/>
  <c r="D27" i="15"/>
  <c r="G27" i="15" s="1"/>
  <c r="F26" i="15"/>
  <c r="I26" i="15" s="1"/>
  <c r="E26" i="15"/>
  <c r="H26" i="15" s="1"/>
  <c r="D26" i="15"/>
  <c r="G26" i="15" s="1"/>
  <c r="F25" i="15"/>
  <c r="I25" i="15" s="1"/>
  <c r="E25" i="15"/>
  <c r="H25" i="15" s="1"/>
  <c r="D25" i="15"/>
  <c r="G25" i="15" s="1"/>
  <c r="F24" i="15"/>
  <c r="I24" i="15" s="1"/>
  <c r="E24" i="15"/>
  <c r="H24" i="15" s="1"/>
  <c r="D24" i="15"/>
  <c r="G24" i="15" s="1"/>
  <c r="F23" i="15"/>
  <c r="I23" i="15" s="1"/>
  <c r="E23" i="15"/>
  <c r="H23" i="15" s="1"/>
  <c r="D23" i="15"/>
  <c r="G23" i="15" s="1"/>
  <c r="F22" i="15"/>
  <c r="I22" i="15" s="1"/>
  <c r="E22" i="15"/>
  <c r="H22" i="15" s="1"/>
  <c r="D22" i="15"/>
  <c r="G22" i="15" s="1"/>
  <c r="F21" i="15"/>
  <c r="I21" i="15" s="1"/>
  <c r="E21" i="15"/>
  <c r="H21" i="15" s="1"/>
  <c r="D21" i="15"/>
  <c r="G21" i="15" s="1"/>
  <c r="F20" i="15"/>
  <c r="I20" i="15" s="1"/>
  <c r="E20" i="15"/>
  <c r="H20" i="15" s="1"/>
  <c r="D20" i="15"/>
  <c r="G20" i="15" s="1"/>
  <c r="F19" i="15"/>
  <c r="E19" i="15"/>
  <c r="D19" i="15"/>
  <c r="G19" i="15" s="1"/>
  <c r="F18" i="15"/>
  <c r="I18" i="15" s="1"/>
  <c r="E18" i="15"/>
  <c r="H18" i="15" s="1"/>
  <c r="D18" i="15"/>
  <c r="G18" i="15" s="1"/>
  <c r="F17" i="15"/>
  <c r="I17" i="15" s="1"/>
  <c r="E17" i="15"/>
  <c r="H17" i="15" s="1"/>
  <c r="D17" i="15"/>
  <c r="G17" i="15" s="1"/>
  <c r="F16" i="15"/>
  <c r="I16" i="15" s="1"/>
  <c r="E16" i="15"/>
  <c r="H16" i="15" s="1"/>
  <c r="D16" i="15"/>
  <c r="C14" i="15"/>
  <c r="B14" i="15"/>
  <c r="A14" i="15"/>
  <c r="C13" i="15"/>
  <c r="B13" i="15"/>
  <c r="A13" i="15"/>
  <c r="C12" i="15"/>
  <c r="P44" i="15" s="1"/>
  <c r="B12" i="15"/>
  <c r="O74" i="15" s="1"/>
  <c r="A12" i="15"/>
  <c r="N77" i="15" s="1"/>
  <c r="C4" i="15" l="1"/>
  <c r="D4" i="15"/>
  <c r="B4" i="15"/>
  <c r="N28" i="15"/>
  <c r="F11" i="15"/>
  <c r="F10" i="15" s="1"/>
  <c r="D3" i="15" s="1"/>
  <c r="O28" i="15"/>
  <c r="O36" i="15"/>
  <c r="N32" i="15"/>
  <c r="N16" i="15"/>
  <c r="N36" i="15"/>
  <c r="N48" i="15"/>
  <c r="N20" i="15"/>
  <c r="N24" i="15"/>
  <c r="P16" i="15"/>
  <c r="P24" i="15"/>
  <c r="P28" i="15"/>
  <c r="P20" i="15"/>
  <c r="O16" i="15"/>
  <c r="E11" i="15"/>
  <c r="E10" i="15" s="1"/>
  <c r="C3" i="15" s="1"/>
  <c r="O24" i="15"/>
  <c r="O32" i="15"/>
  <c r="O20" i="15"/>
  <c r="N40" i="15"/>
  <c r="N61" i="15"/>
  <c r="N105" i="15"/>
  <c r="N52" i="15"/>
  <c r="N45" i="15"/>
  <c r="N56" i="15"/>
  <c r="N41" i="15"/>
  <c r="N49" i="15"/>
  <c r="N60" i="15"/>
  <c r="N37" i="15"/>
  <c r="N53" i="15"/>
  <c r="N33" i="15"/>
  <c r="N158" i="15"/>
  <c r="N154" i="15"/>
  <c r="N150" i="15"/>
  <c r="N146" i="15"/>
  <c r="N142" i="15"/>
  <c r="N138" i="15"/>
  <c r="N134" i="15"/>
  <c r="N130" i="15"/>
  <c r="N126" i="15"/>
  <c r="N122" i="15"/>
  <c r="N118" i="15"/>
  <c r="N114" i="15"/>
  <c r="N110" i="15"/>
  <c r="N106" i="15"/>
  <c r="N102" i="15"/>
  <c r="N98" i="15"/>
  <c r="N94" i="15"/>
  <c r="N90" i="15"/>
  <c r="N86" i="15"/>
  <c r="N82" i="15"/>
  <c r="N78" i="15"/>
  <c r="N159" i="15"/>
  <c r="N160" i="15"/>
  <c r="N156" i="15"/>
  <c r="N148" i="15"/>
  <c r="N140" i="15"/>
  <c r="N132" i="15"/>
  <c r="N124" i="15"/>
  <c r="N116" i="15"/>
  <c r="N108" i="15"/>
  <c r="N107" i="15"/>
  <c r="N104" i="15"/>
  <c r="N103" i="15"/>
  <c r="N100" i="15"/>
  <c r="N99" i="15"/>
  <c r="N96" i="15"/>
  <c r="N95" i="15"/>
  <c r="N92" i="15"/>
  <c r="N91" i="15"/>
  <c r="N88" i="15"/>
  <c r="N87" i="15"/>
  <c r="N84" i="15"/>
  <c r="N83" i="15"/>
  <c r="N80" i="15"/>
  <c r="N79" i="15"/>
  <c r="N76" i="15"/>
  <c r="N75" i="15"/>
  <c r="N71" i="15"/>
  <c r="N67" i="15"/>
  <c r="N63" i="15"/>
  <c r="N59" i="15"/>
  <c r="N55" i="15"/>
  <c r="N51" i="15"/>
  <c r="N47" i="15"/>
  <c r="N151" i="15"/>
  <c r="N143" i="15"/>
  <c r="N135" i="15"/>
  <c r="N127" i="15"/>
  <c r="N119" i="15"/>
  <c r="N111" i="15"/>
  <c r="N153" i="15"/>
  <c r="N145" i="15"/>
  <c r="N137" i="15"/>
  <c r="N129" i="15"/>
  <c r="N121" i="15"/>
  <c r="N113" i="15"/>
  <c r="N152" i="15"/>
  <c r="N144" i="15"/>
  <c r="N136" i="15"/>
  <c r="N128" i="15"/>
  <c r="N120" i="15"/>
  <c r="N112" i="15"/>
  <c r="N73" i="15"/>
  <c r="N69" i="15"/>
  <c r="N65" i="15"/>
  <c r="N155" i="15"/>
  <c r="N147" i="15"/>
  <c r="N139" i="15"/>
  <c r="N131" i="15"/>
  <c r="N123" i="15"/>
  <c r="N115" i="15"/>
  <c r="N18" i="15"/>
  <c r="N72" i="15"/>
  <c r="N64" i="15"/>
  <c r="N30" i="15"/>
  <c r="N26" i="15"/>
  <c r="N22" i="15"/>
  <c r="N43" i="15"/>
  <c r="N39" i="15"/>
  <c r="N35" i="15"/>
  <c r="N31" i="15"/>
  <c r="N27" i="15"/>
  <c r="N23" i="15"/>
  <c r="N19" i="15"/>
  <c r="N54" i="15"/>
  <c r="N38" i="15"/>
  <c r="N149" i="15"/>
  <c r="N133" i="15"/>
  <c r="N117" i="15"/>
  <c r="N50" i="15"/>
  <c r="N42" i="15"/>
  <c r="N70" i="15"/>
  <c r="N46" i="15"/>
  <c r="N34" i="15"/>
  <c r="N62" i="15"/>
  <c r="N58" i="15"/>
  <c r="N101" i="15"/>
  <c r="N97" i="15"/>
  <c r="N93" i="15"/>
  <c r="N89" i="15"/>
  <c r="N85" i="15"/>
  <c r="N81" i="15"/>
  <c r="N68" i="15"/>
  <c r="N157" i="15"/>
  <c r="N141" i="15"/>
  <c r="N125" i="15"/>
  <c r="N109" i="15"/>
  <c r="N74" i="15"/>
  <c r="N66" i="15"/>
  <c r="D11" i="15"/>
  <c r="D10" i="15" s="1"/>
  <c r="B3" i="15" s="1"/>
  <c r="G16" i="15"/>
  <c r="N17" i="15"/>
  <c r="N21" i="15"/>
  <c r="N25" i="15"/>
  <c r="N29" i="15"/>
  <c r="N44" i="15"/>
  <c r="N57" i="15"/>
  <c r="O40" i="15"/>
  <c r="O44" i="15"/>
  <c r="O77" i="15"/>
  <c r="P32" i="15"/>
  <c r="P36" i="15"/>
  <c r="P40" i="15"/>
  <c r="O66" i="15"/>
  <c r="O158" i="15"/>
  <c r="O154" i="15"/>
  <c r="O150" i="15"/>
  <c r="O146" i="15"/>
  <c r="O142" i="15"/>
  <c r="O138" i="15"/>
  <c r="O134" i="15"/>
  <c r="O130" i="15"/>
  <c r="O126" i="15"/>
  <c r="O122" i="15"/>
  <c r="O118" i="15"/>
  <c r="O114" i="15"/>
  <c r="O110" i="15"/>
  <c r="O106" i="15"/>
  <c r="O102" i="15"/>
  <c r="O98" i="15"/>
  <c r="O94" i="15"/>
  <c r="O90" i="15"/>
  <c r="O86" i="15"/>
  <c r="O82" i="15"/>
  <c r="O78" i="15"/>
  <c r="O159" i="15"/>
  <c r="O155" i="15"/>
  <c r="O151" i="15"/>
  <c r="O147" i="15"/>
  <c r="O143" i="15"/>
  <c r="O139" i="15"/>
  <c r="O135" i="15"/>
  <c r="O131" i="15"/>
  <c r="O127" i="15"/>
  <c r="O123" i="15"/>
  <c r="O119" i="15"/>
  <c r="O115" i="15"/>
  <c r="O111" i="15"/>
  <c r="O160" i="15"/>
  <c r="O156" i="15"/>
  <c r="O148" i="15"/>
  <c r="O140" i="15"/>
  <c r="O132" i="15"/>
  <c r="O124" i="15"/>
  <c r="O116" i="15"/>
  <c r="O108" i="15"/>
  <c r="O107" i="15"/>
  <c r="O104" i="15"/>
  <c r="O103" i="15"/>
  <c r="O100" i="15"/>
  <c r="O99" i="15"/>
  <c r="O96" i="15"/>
  <c r="O95" i="15"/>
  <c r="O92" i="15"/>
  <c r="O91" i="15"/>
  <c r="O88" i="15"/>
  <c r="O87" i="15"/>
  <c r="O84" i="15"/>
  <c r="O83" i="15"/>
  <c r="O80" i="15"/>
  <c r="O79" i="15"/>
  <c r="O76" i="15"/>
  <c r="O75" i="15"/>
  <c r="O71" i="15"/>
  <c r="O67" i="15"/>
  <c r="O63" i="15"/>
  <c r="O59" i="15"/>
  <c r="O55" i="15"/>
  <c r="O51" i="15"/>
  <c r="O47" i="15"/>
  <c r="O153" i="15"/>
  <c r="O145" i="15"/>
  <c r="O137" i="15"/>
  <c r="O129" i="15"/>
  <c r="O121" i="15"/>
  <c r="O113" i="15"/>
  <c r="O152" i="15"/>
  <c r="O144" i="15"/>
  <c r="O136" i="15"/>
  <c r="O128" i="15"/>
  <c r="O120" i="15"/>
  <c r="O112" i="15"/>
  <c r="O73" i="15"/>
  <c r="O69" i="15"/>
  <c r="O65" i="15"/>
  <c r="O157" i="15"/>
  <c r="O149" i="15"/>
  <c r="O141" i="15"/>
  <c r="O133" i="15"/>
  <c r="O125" i="15"/>
  <c r="O117" i="15"/>
  <c r="O109" i="15"/>
  <c r="O105" i="15"/>
  <c r="O101" i="15"/>
  <c r="O97" i="15"/>
  <c r="O93" i="15"/>
  <c r="O89" i="15"/>
  <c r="O85" i="15"/>
  <c r="O81" i="15"/>
  <c r="O17" i="15"/>
  <c r="H19" i="15"/>
  <c r="H13" i="15" s="1"/>
  <c r="O21" i="15"/>
  <c r="O25" i="15"/>
  <c r="O29" i="15"/>
  <c r="O33" i="15"/>
  <c r="O37" i="15"/>
  <c r="O41" i="15"/>
  <c r="O45" i="15"/>
  <c r="O48" i="15"/>
  <c r="O49" i="15"/>
  <c r="O52" i="15"/>
  <c r="O53" i="15"/>
  <c r="O56" i="15"/>
  <c r="O57" i="15"/>
  <c r="O60" i="15"/>
  <c r="O61" i="15"/>
  <c r="P158" i="15"/>
  <c r="P154" i="15"/>
  <c r="P150" i="15"/>
  <c r="P146" i="15"/>
  <c r="P142" i="15"/>
  <c r="P138" i="15"/>
  <c r="P134" i="15"/>
  <c r="P130" i="15"/>
  <c r="P126" i="15"/>
  <c r="P122" i="15"/>
  <c r="P118" i="15"/>
  <c r="P114" i="15"/>
  <c r="P110" i="15"/>
  <c r="P106" i="15"/>
  <c r="P102" i="15"/>
  <c r="P98" i="15"/>
  <c r="P94" i="15"/>
  <c r="P90" i="15"/>
  <c r="P86" i="15"/>
  <c r="P82" i="15"/>
  <c r="P78" i="15"/>
  <c r="P159" i="15"/>
  <c r="P155" i="15"/>
  <c r="P151" i="15"/>
  <c r="P147" i="15"/>
  <c r="P143" i="15"/>
  <c r="P139" i="15"/>
  <c r="P135" i="15"/>
  <c r="P131" i="15"/>
  <c r="P127" i="15"/>
  <c r="P123" i="15"/>
  <c r="P119" i="15"/>
  <c r="P115" i="15"/>
  <c r="P111" i="15"/>
  <c r="P160" i="15"/>
  <c r="P156" i="15"/>
  <c r="P148" i="15"/>
  <c r="P140" i="15"/>
  <c r="P132" i="15"/>
  <c r="P124" i="15"/>
  <c r="P116" i="15"/>
  <c r="P108" i="15"/>
  <c r="P107" i="15"/>
  <c r="P104" i="15"/>
  <c r="P103" i="15"/>
  <c r="P100" i="15"/>
  <c r="P99" i="15"/>
  <c r="P96" i="15"/>
  <c r="P95" i="15"/>
  <c r="P92" i="15"/>
  <c r="P91" i="15"/>
  <c r="P88" i="15"/>
  <c r="P87" i="15"/>
  <c r="P84" i="15"/>
  <c r="P83" i="15"/>
  <c r="P80" i="15"/>
  <c r="P79" i="15"/>
  <c r="P76" i="15"/>
  <c r="P75" i="15"/>
  <c r="P71" i="15"/>
  <c r="P67" i="15"/>
  <c r="P63" i="15"/>
  <c r="P59" i="15"/>
  <c r="P55" i="15"/>
  <c r="P51" i="15"/>
  <c r="P47" i="15"/>
  <c r="P153" i="15"/>
  <c r="P145" i="15"/>
  <c r="P137" i="15"/>
  <c r="P129" i="15"/>
  <c r="P121" i="15"/>
  <c r="P113" i="15"/>
  <c r="P74" i="15"/>
  <c r="P70" i="15"/>
  <c r="P66" i="15"/>
  <c r="P152" i="15"/>
  <c r="P144" i="15"/>
  <c r="P136" i="15"/>
  <c r="P128" i="15"/>
  <c r="P120" i="15"/>
  <c r="P112" i="15"/>
  <c r="P73" i="15"/>
  <c r="P69" i="15"/>
  <c r="P65" i="15"/>
  <c r="P157" i="15"/>
  <c r="P149" i="15"/>
  <c r="P141" i="15"/>
  <c r="P133" i="15"/>
  <c r="P125" i="15"/>
  <c r="P117" i="15"/>
  <c r="P109" i="15"/>
  <c r="P105" i="15"/>
  <c r="P101" i="15"/>
  <c r="P97" i="15"/>
  <c r="P93" i="15"/>
  <c r="P89" i="15"/>
  <c r="P85" i="15"/>
  <c r="P81" i="15"/>
  <c r="P77" i="15"/>
  <c r="P72" i="15"/>
  <c r="P68" i="15"/>
  <c r="P64" i="15"/>
  <c r="P17" i="15"/>
  <c r="I19" i="15"/>
  <c r="I14" i="15" s="1"/>
  <c r="P21" i="15"/>
  <c r="P25" i="15"/>
  <c r="P29" i="15"/>
  <c r="P33" i="15"/>
  <c r="P37" i="15"/>
  <c r="P41" i="15"/>
  <c r="P45" i="15"/>
  <c r="P48" i="15"/>
  <c r="P49" i="15"/>
  <c r="P52" i="15"/>
  <c r="P53" i="15"/>
  <c r="P56" i="15"/>
  <c r="P57" i="15"/>
  <c r="P60" i="15"/>
  <c r="P61" i="15"/>
  <c r="O68" i="15"/>
  <c r="O18" i="15"/>
  <c r="O22" i="15"/>
  <c r="O26" i="15"/>
  <c r="O30" i="15"/>
  <c r="O34" i="15"/>
  <c r="O38" i="15"/>
  <c r="O42" i="15"/>
  <c r="O46" i="15"/>
  <c r="O50" i="15"/>
  <c r="O54" i="15"/>
  <c r="O58" i="15"/>
  <c r="O62" i="15"/>
  <c r="P18" i="15"/>
  <c r="P22" i="15"/>
  <c r="P26" i="15"/>
  <c r="P30" i="15"/>
  <c r="P34" i="15"/>
  <c r="P38" i="15"/>
  <c r="P42" i="15"/>
  <c r="P46" i="15"/>
  <c r="P50" i="15"/>
  <c r="P54" i="15"/>
  <c r="P58" i="15"/>
  <c r="P62" i="15"/>
  <c r="O70" i="15"/>
  <c r="O19" i="15"/>
  <c r="O23" i="15"/>
  <c r="O27" i="15"/>
  <c r="O31" i="15"/>
  <c r="O35" i="15"/>
  <c r="O39" i="15"/>
  <c r="O43" i="15"/>
  <c r="P19" i="15"/>
  <c r="P23" i="15"/>
  <c r="P27" i="15"/>
  <c r="P31" i="15"/>
  <c r="P35" i="15"/>
  <c r="P39" i="15"/>
  <c r="P43" i="15"/>
  <c r="O64" i="15"/>
  <c r="O72" i="15"/>
  <c r="N12" i="15" l="1"/>
  <c r="N9" i="15" s="1"/>
  <c r="B5" i="15" s="1"/>
  <c r="P12" i="15"/>
  <c r="P9" i="15" s="1"/>
  <c r="D5" i="15" s="1"/>
  <c r="H14" i="15"/>
  <c r="C6" i="15" s="1"/>
  <c r="H12" i="15"/>
  <c r="K150" i="15" s="1"/>
  <c r="O12" i="15"/>
  <c r="O9" i="15" s="1"/>
  <c r="C5" i="15" s="1"/>
  <c r="S65" i="15"/>
  <c r="S43" i="15"/>
  <c r="S72" i="15"/>
  <c r="S34" i="15"/>
  <c r="S68" i="15"/>
  <c r="K81" i="15"/>
  <c r="K58" i="15"/>
  <c r="K46" i="15"/>
  <c r="S75" i="15"/>
  <c r="K141" i="15"/>
  <c r="K133" i="15"/>
  <c r="K109" i="15"/>
  <c r="K88" i="15"/>
  <c r="K129" i="15"/>
  <c r="S107" i="15"/>
  <c r="S104" i="15"/>
  <c r="S100" i="15"/>
  <c r="S96" i="15"/>
  <c r="S91" i="15"/>
  <c r="S84" i="15"/>
  <c r="S80" i="15"/>
  <c r="S49" i="15"/>
  <c r="S76" i="15"/>
  <c r="S71" i="15"/>
  <c r="K61" i="15"/>
  <c r="K53" i="15"/>
  <c r="K49" i="15"/>
  <c r="S130" i="15"/>
  <c r="S89" i="15"/>
  <c r="K140" i="15"/>
  <c r="K122" i="15"/>
  <c r="S129" i="15"/>
  <c r="K152" i="15"/>
  <c r="S46" i="15"/>
  <c r="S45" i="15"/>
  <c r="S55" i="15"/>
  <c r="S27" i="15"/>
  <c r="K37" i="15"/>
  <c r="K89" i="15"/>
  <c r="K134" i="15"/>
  <c r="S110" i="15"/>
  <c r="K87" i="15"/>
  <c r="K114" i="15"/>
  <c r="S60" i="15"/>
  <c r="S144" i="15"/>
  <c r="K19" i="15"/>
  <c r="S19" i="15"/>
  <c r="I12" i="15"/>
  <c r="L19" i="15" s="1"/>
  <c r="K27" i="15"/>
  <c r="S33" i="15"/>
  <c r="S67" i="15"/>
  <c r="K28" i="15"/>
  <c r="S59" i="15"/>
  <c r="K151" i="15"/>
  <c r="K64" i="15"/>
  <c r="K144" i="15"/>
  <c r="K55" i="15"/>
  <c r="K18" i="15"/>
  <c r="I13" i="15"/>
  <c r="D6" i="15" s="1"/>
  <c r="S51" i="15"/>
  <c r="S30" i="15"/>
  <c r="S24" i="15"/>
  <c r="S119" i="15"/>
  <c r="K83" i="15"/>
  <c r="K54" i="15"/>
  <c r="G12" i="15"/>
  <c r="J16" i="15" s="1"/>
  <c r="G13" i="15"/>
  <c r="G14" i="15"/>
  <c r="S44" i="15"/>
  <c r="S25" i="15"/>
  <c r="S47" i="15"/>
  <c r="S26" i="15"/>
  <c r="S141" i="15"/>
  <c r="K107" i="15"/>
  <c r="K110" i="15"/>
  <c r="S134" i="15"/>
  <c r="K74" i="15"/>
  <c r="S136" i="15"/>
  <c r="K94" i="15"/>
  <c r="K70" i="15"/>
  <c r="S40" i="15"/>
  <c r="K44" i="15"/>
  <c r="S83" i="15"/>
  <c r="S22" i="15"/>
  <c r="K139" i="15"/>
  <c r="K85" i="15"/>
  <c r="S117" i="15"/>
  <c r="S109" i="15"/>
  <c r="S143" i="15"/>
  <c r="K105" i="15"/>
  <c r="S133" i="15"/>
  <c r="K103" i="15"/>
  <c r="K127" i="15"/>
  <c r="S146" i="15"/>
  <c r="S74" i="15"/>
  <c r="K136" i="15"/>
  <c r="K77" i="15"/>
  <c r="K34" i="15"/>
  <c r="K60" i="15"/>
  <c r="K40" i="15"/>
  <c r="K23" i="15"/>
  <c r="K20" i="15"/>
  <c r="S123" i="15" l="1"/>
  <c r="K137" i="15"/>
  <c r="S112" i="15"/>
  <c r="K26" i="15"/>
  <c r="S54" i="15"/>
  <c r="S86" i="15"/>
  <c r="K92" i="15"/>
  <c r="K17" i="15"/>
  <c r="S39" i="15"/>
  <c r="S41" i="15"/>
  <c r="K130" i="15"/>
  <c r="S87" i="15"/>
  <c r="K96" i="15"/>
  <c r="S32" i="15"/>
  <c r="K21" i="15"/>
  <c r="K63" i="15"/>
  <c r="S102" i="15"/>
  <c r="K149" i="15"/>
  <c r="K138" i="15"/>
  <c r="S155" i="15"/>
  <c r="K118" i="15"/>
  <c r="K135" i="15"/>
  <c r="K38" i="15"/>
  <c r="S122" i="15"/>
  <c r="S116" i="15"/>
  <c r="K115" i="15"/>
  <c r="K71" i="15"/>
  <c r="S103" i="15"/>
  <c r="K41" i="15"/>
  <c r="S93" i="15"/>
  <c r="K120" i="15"/>
  <c r="K51" i="15"/>
  <c r="K48" i="15"/>
  <c r="K159" i="15"/>
  <c r="S128" i="15"/>
  <c r="S114" i="15"/>
  <c r="S20" i="15"/>
  <c r="K143" i="15"/>
  <c r="S153" i="15"/>
  <c r="S154" i="15"/>
  <c r="S64" i="15"/>
  <c r="S36" i="15"/>
  <c r="K57" i="15"/>
  <c r="S95" i="15"/>
  <c r="K100" i="15"/>
  <c r="S31" i="15"/>
  <c r="S17" i="15"/>
  <c r="S113" i="15"/>
  <c r="S145" i="15"/>
  <c r="K73" i="15"/>
  <c r="K102" i="15"/>
  <c r="K42" i="15"/>
  <c r="K33" i="15"/>
  <c r="S152" i="15"/>
  <c r="K80" i="15"/>
  <c r="S106" i="15"/>
  <c r="K68" i="15"/>
  <c r="K29" i="15"/>
  <c r="S131" i="15"/>
  <c r="S88" i="15"/>
  <c r="K145" i="15"/>
  <c r="K45" i="15"/>
  <c r="K16" i="15"/>
  <c r="S120" i="15"/>
  <c r="S159" i="15"/>
  <c r="K119" i="15"/>
  <c r="K117" i="15"/>
  <c r="K79" i="15"/>
  <c r="K43" i="15"/>
  <c r="S118" i="15"/>
  <c r="K148" i="15"/>
  <c r="K124" i="15"/>
  <c r="S111" i="15"/>
  <c r="S63" i="15"/>
  <c r="S90" i="15"/>
  <c r="K121" i="15"/>
  <c r="K125" i="15"/>
  <c r="K22" i="15"/>
  <c r="S35" i="15"/>
  <c r="S150" i="15"/>
  <c r="K95" i="15"/>
  <c r="K156" i="15"/>
  <c r="S52" i="15"/>
  <c r="K158" i="15"/>
  <c r="K69" i="15"/>
  <c r="S151" i="15"/>
  <c r="S56" i="15"/>
  <c r="S124" i="15"/>
  <c r="S142" i="15"/>
  <c r="K112" i="15"/>
  <c r="S149" i="15"/>
  <c r="S61" i="15"/>
  <c r="S98" i="15"/>
  <c r="K153" i="15"/>
  <c r="K157" i="15"/>
  <c r="S115" i="15"/>
  <c r="K59" i="15"/>
  <c r="S42" i="15"/>
  <c r="S58" i="15"/>
  <c r="K90" i="15"/>
  <c r="K132" i="15"/>
  <c r="S62" i="15"/>
  <c r="K24" i="15"/>
  <c r="K98" i="15"/>
  <c r="K75" i="15"/>
  <c r="K36" i="15"/>
  <c r="K126" i="15"/>
  <c r="S156" i="15"/>
  <c r="S69" i="15"/>
  <c r="S78" i="15"/>
  <c r="S99" i="15"/>
  <c r="K84" i="15"/>
  <c r="S160" i="15"/>
  <c r="K72" i="15"/>
  <c r="K131" i="15"/>
  <c r="K52" i="15"/>
  <c r="K155" i="15"/>
  <c r="S81" i="15"/>
  <c r="S101" i="15"/>
  <c r="S135" i="15"/>
  <c r="K76" i="15"/>
  <c r="S53" i="15"/>
  <c r="S92" i="15"/>
  <c r="S108" i="15"/>
  <c r="K104" i="15"/>
  <c r="K35" i="15"/>
  <c r="S148" i="15"/>
  <c r="S50" i="15"/>
  <c r="S38" i="15"/>
  <c r="K146" i="15"/>
  <c r="K86" i="15"/>
  <c r="S70" i="15"/>
  <c r="S105" i="15"/>
  <c r="S23" i="15"/>
  <c r="S121" i="15"/>
  <c r="K25" i="15"/>
  <c r="S85" i="15"/>
  <c r="S140" i="15"/>
  <c r="S28" i="15"/>
  <c r="S132" i="15"/>
  <c r="S79" i="15"/>
  <c r="S57" i="15"/>
  <c r="S94" i="15"/>
  <c r="K113" i="15"/>
  <c r="K108" i="15"/>
  <c r="S29" i="15"/>
  <c r="K91" i="15"/>
  <c r="K123" i="15"/>
  <c r="K31" i="15"/>
  <c r="K116" i="15"/>
  <c r="S77" i="15"/>
  <c r="R16" i="15"/>
  <c r="K101" i="15"/>
  <c r="K47" i="15"/>
  <c r="S37" i="15"/>
  <c r="S137" i="15"/>
  <c r="K65" i="15"/>
  <c r="K32" i="15"/>
  <c r="S18" i="15"/>
  <c r="K78" i="15"/>
  <c r="K66" i="15"/>
  <c r="S127" i="15"/>
  <c r="K67" i="15"/>
  <c r="K93" i="15"/>
  <c r="K147" i="15"/>
  <c r="S82" i="15"/>
  <c r="K97" i="15"/>
  <c r="K142" i="15"/>
  <c r="K154" i="15"/>
  <c r="S21" i="15"/>
  <c r="S73" i="15"/>
  <c r="K50" i="15"/>
  <c r="S147" i="15"/>
  <c r="S138" i="15"/>
  <c r="S126" i="15"/>
  <c r="S157" i="15"/>
  <c r="S16" i="15"/>
  <c r="K111" i="15"/>
  <c r="S97" i="15"/>
  <c r="S48" i="15"/>
  <c r="K106" i="15"/>
  <c r="K82" i="15"/>
  <c r="K99" i="15"/>
  <c r="S125" i="15"/>
  <c r="K30" i="15"/>
  <c r="K39" i="15"/>
  <c r="K56" i="15"/>
  <c r="K62" i="15"/>
  <c r="S139" i="15"/>
  <c r="K128" i="15"/>
  <c r="S66" i="15"/>
  <c r="S158" i="15"/>
  <c r="B6" i="15"/>
  <c r="T19" i="15"/>
  <c r="R160" i="15"/>
  <c r="R152" i="15"/>
  <c r="R144" i="15"/>
  <c r="R136" i="15"/>
  <c r="R128" i="15"/>
  <c r="R120" i="15"/>
  <c r="R112" i="15"/>
  <c r="J108" i="15"/>
  <c r="J104" i="15"/>
  <c r="J152" i="15"/>
  <c r="J144" i="15"/>
  <c r="J136" i="15"/>
  <c r="J128" i="15"/>
  <c r="J120" i="15"/>
  <c r="J112" i="15"/>
  <c r="R102" i="15"/>
  <c r="R98" i="15"/>
  <c r="R94" i="15"/>
  <c r="R53" i="15"/>
  <c r="R150" i="15"/>
  <c r="R118" i="15"/>
  <c r="R142" i="15"/>
  <c r="R126" i="15"/>
  <c r="R110" i="15"/>
  <c r="R106" i="15"/>
  <c r="R100" i="15"/>
  <c r="R96" i="15"/>
  <c r="R92" i="15"/>
  <c r="R88" i="15"/>
  <c r="R84" i="15"/>
  <c r="R80" i="15"/>
  <c r="R104" i="15"/>
  <c r="J100" i="15"/>
  <c r="J96" i="15"/>
  <c r="J92" i="15"/>
  <c r="J88" i="15"/>
  <c r="J84" i="15"/>
  <c r="R156" i="15"/>
  <c r="R140" i="15"/>
  <c r="R124" i="15"/>
  <c r="R108" i="15"/>
  <c r="J80" i="15"/>
  <c r="R78" i="15"/>
  <c r="R57" i="15"/>
  <c r="R49" i="15"/>
  <c r="R134" i="15"/>
  <c r="R61" i="15"/>
  <c r="R103" i="15"/>
  <c r="R99" i="15"/>
  <c r="R95" i="15"/>
  <c r="R91" i="15"/>
  <c r="R87" i="15"/>
  <c r="R83" i="15"/>
  <c r="R76" i="15"/>
  <c r="J76" i="15"/>
  <c r="R148" i="15"/>
  <c r="R132" i="15"/>
  <c r="R116" i="15"/>
  <c r="J71" i="15"/>
  <c r="J63" i="15"/>
  <c r="R107" i="15"/>
  <c r="J61" i="15"/>
  <c r="J21" i="15"/>
  <c r="J17" i="15"/>
  <c r="J65" i="15"/>
  <c r="J57" i="15"/>
  <c r="J29" i="15"/>
  <c r="J25" i="15"/>
  <c r="J51" i="15"/>
  <c r="J33" i="15"/>
  <c r="J53" i="15"/>
  <c r="J42" i="15"/>
  <c r="R32" i="15"/>
  <c r="J49" i="15"/>
  <c r="R28" i="15"/>
  <c r="R24" i="15"/>
  <c r="R20" i="15"/>
  <c r="R40" i="15"/>
  <c r="R71" i="15"/>
  <c r="J45" i="15"/>
  <c r="J38" i="15"/>
  <c r="R36" i="15"/>
  <c r="J50" i="15"/>
  <c r="J73" i="15"/>
  <c r="R63" i="15"/>
  <c r="J59" i="15"/>
  <c r="J34" i="15"/>
  <c r="R17" i="15"/>
  <c r="R139" i="15"/>
  <c r="J27" i="15"/>
  <c r="R30" i="15"/>
  <c r="J20" i="15"/>
  <c r="J85" i="15"/>
  <c r="J97" i="15"/>
  <c r="J95" i="15"/>
  <c r="R70" i="15"/>
  <c r="J135" i="15"/>
  <c r="J130" i="15"/>
  <c r="J121" i="15"/>
  <c r="J137" i="15"/>
  <c r="R125" i="15"/>
  <c r="R157" i="15"/>
  <c r="J141" i="15"/>
  <c r="J105" i="15"/>
  <c r="R22" i="15"/>
  <c r="J127" i="15"/>
  <c r="J43" i="15"/>
  <c r="R45" i="15"/>
  <c r="R51" i="15"/>
  <c r="R21" i="15"/>
  <c r="J47" i="15"/>
  <c r="R146" i="15"/>
  <c r="J31" i="15"/>
  <c r="R41" i="15"/>
  <c r="J24" i="15"/>
  <c r="J99" i="15"/>
  <c r="J70" i="15"/>
  <c r="R135" i="15"/>
  <c r="J72" i="15"/>
  <c r="R153" i="15"/>
  <c r="R82" i="15"/>
  <c r="R158" i="15"/>
  <c r="J149" i="15"/>
  <c r="R38" i="15"/>
  <c r="R43" i="15"/>
  <c r="J52" i="15"/>
  <c r="J118" i="15"/>
  <c r="R25" i="15"/>
  <c r="J37" i="15"/>
  <c r="J146" i="15"/>
  <c r="R42" i="15"/>
  <c r="J28" i="15"/>
  <c r="J103" i="15"/>
  <c r="J140" i="15"/>
  <c r="J78" i="15"/>
  <c r="J110" i="15"/>
  <c r="R72" i="15"/>
  <c r="J153" i="15"/>
  <c r="R138" i="15"/>
  <c r="R86" i="15"/>
  <c r="J143" i="15"/>
  <c r="R141" i="15"/>
  <c r="R117" i="15"/>
  <c r="R37" i="15"/>
  <c r="J19" i="15"/>
  <c r="R31" i="15"/>
  <c r="R129" i="15"/>
  <c r="J30" i="15"/>
  <c r="R52" i="15"/>
  <c r="J150" i="15"/>
  <c r="J60" i="15"/>
  <c r="J58" i="15"/>
  <c r="R29" i="15"/>
  <c r="J44" i="15"/>
  <c r="R46" i="15"/>
  <c r="R35" i="15"/>
  <c r="J32" i="15"/>
  <c r="R89" i="15"/>
  <c r="R101" i="15"/>
  <c r="J115" i="15"/>
  <c r="J138" i="15"/>
  <c r="R90" i="15"/>
  <c r="R143" i="15"/>
  <c r="R133" i="15"/>
  <c r="R47" i="15"/>
  <c r="J102" i="15"/>
  <c r="R74" i="15"/>
  <c r="J155" i="15"/>
  <c r="J159" i="15"/>
  <c r="J26" i="15"/>
  <c r="R54" i="15"/>
  <c r="R18" i="15"/>
  <c r="R60" i="15"/>
  <c r="R65" i="15"/>
  <c r="J40" i="15"/>
  <c r="R19" i="15"/>
  <c r="J48" i="15"/>
  <c r="J89" i="15"/>
  <c r="J101" i="15"/>
  <c r="J68" i="15"/>
  <c r="R115" i="15"/>
  <c r="J106" i="15"/>
  <c r="J82" i="15"/>
  <c r="R113" i="15"/>
  <c r="R145" i="15"/>
  <c r="J111" i="15"/>
  <c r="J148" i="15"/>
  <c r="R105" i="15"/>
  <c r="J109" i="15"/>
  <c r="J157" i="15"/>
  <c r="J116" i="15"/>
  <c r="R109" i="15"/>
  <c r="J75" i="15"/>
  <c r="J87" i="15"/>
  <c r="R127" i="15"/>
  <c r="J133" i="15"/>
  <c r="J41" i="15"/>
  <c r="R62" i="15"/>
  <c r="J18" i="15"/>
  <c r="R55" i="15"/>
  <c r="R48" i="15"/>
  <c r="R68" i="15"/>
  <c r="J151" i="15"/>
  <c r="J86" i="15"/>
  <c r="J69" i="15"/>
  <c r="J113" i="15"/>
  <c r="J145" i="15"/>
  <c r="R111" i="15"/>
  <c r="J107" i="15"/>
  <c r="J158" i="15"/>
  <c r="J117" i="15"/>
  <c r="J77" i="15"/>
  <c r="J39" i="15"/>
  <c r="R67" i="15"/>
  <c r="J22" i="15"/>
  <c r="J79" i="15"/>
  <c r="R23" i="15"/>
  <c r="R50" i="15"/>
  <c r="R151" i="15"/>
  <c r="J126" i="15"/>
  <c r="J90" i="15"/>
  <c r="R75" i="15"/>
  <c r="R114" i="15"/>
  <c r="R73" i="15"/>
  <c r="R44" i="15"/>
  <c r="J46" i="15"/>
  <c r="J74" i="15"/>
  <c r="R39" i="15"/>
  <c r="J123" i="15"/>
  <c r="J67" i="15"/>
  <c r="R33" i="15"/>
  <c r="R79" i="15"/>
  <c r="J62" i="15"/>
  <c r="J55" i="15"/>
  <c r="R81" i="15"/>
  <c r="R93" i="15"/>
  <c r="J119" i="15"/>
  <c r="J156" i="15"/>
  <c r="J131" i="15"/>
  <c r="J64" i="15"/>
  <c r="J94" i="15"/>
  <c r="R66" i="15"/>
  <c r="J124" i="15"/>
  <c r="R123" i="15"/>
  <c r="R59" i="15"/>
  <c r="R27" i="15"/>
  <c r="J81" i="15"/>
  <c r="J93" i="15"/>
  <c r="R119" i="15"/>
  <c r="R131" i="15"/>
  <c r="R64" i="15"/>
  <c r="J98" i="15"/>
  <c r="R77" i="15"/>
  <c r="R122" i="15"/>
  <c r="R154" i="15"/>
  <c r="J66" i="15"/>
  <c r="J125" i="15"/>
  <c r="J142" i="15"/>
  <c r="J122" i="15"/>
  <c r="R69" i="15"/>
  <c r="J134" i="15"/>
  <c r="J147" i="15"/>
  <c r="R58" i="15"/>
  <c r="R56" i="15"/>
  <c r="J54" i="15"/>
  <c r="R155" i="15"/>
  <c r="J35" i="15"/>
  <c r="J139" i="15"/>
  <c r="J23" i="15"/>
  <c r="J36" i="15"/>
  <c r="R34" i="15"/>
  <c r="R85" i="15"/>
  <c r="R97" i="15"/>
  <c r="J91" i="15"/>
  <c r="R147" i="15"/>
  <c r="R130" i="15"/>
  <c r="R121" i="15"/>
  <c r="J129" i="15"/>
  <c r="R159" i="15"/>
  <c r="J132" i="15"/>
  <c r="R137" i="15"/>
  <c r="R26" i="15"/>
  <c r="J83" i="15"/>
  <c r="J154" i="15"/>
  <c r="R149" i="15"/>
  <c r="J56" i="15"/>
  <c r="J114" i="15"/>
  <c r="T160" i="15"/>
  <c r="L157" i="15"/>
  <c r="L149" i="15"/>
  <c r="L141" i="15"/>
  <c r="L133" i="15"/>
  <c r="L125" i="15"/>
  <c r="L117" i="15"/>
  <c r="L154" i="15"/>
  <c r="L153" i="15"/>
  <c r="L146" i="15"/>
  <c r="L145" i="15"/>
  <c r="L138" i="15"/>
  <c r="L137" i="15"/>
  <c r="L130" i="15"/>
  <c r="L129" i="15"/>
  <c r="L122" i="15"/>
  <c r="L121" i="15"/>
  <c r="L114" i="15"/>
  <c r="L113" i="15"/>
  <c r="L74" i="15"/>
  <c r="L70" i="15"/>
  <c r="L66" i="15"/>
  <c r="T156" i="15"/>
  <c r="T148" i="15"/>
  <c r="T140" i="15"/>
  <c r="T61" i="15"/>
  <c r="T57" i="15"/>
  <c r="T53" i="15"/>
  <c r="T49" i="15"/>
  <c r="L62" i="15"/>
  <c r="L61" i="15"/>
  <c r="L57" i="15"/>
  <c r="L53" i="15"/>
  <c r="L49" i="15"/>
  <c r="T42" i="15"/>
  <c r="T66" i="15"/>
  <c r="T43" i="15"/>
  <c r="T47" i="15"/>
  <c r="L35" i="15"/>
  <c r="L21" i="15"/>
  <c r="T28" i="15"/>
  <c r="L63" i="15"/>
  <c r="T62" i="15"/>
  <c r="L51" i="15"/>
  <c r="T106" i="15"/>
  <c r="L155" i="15"/>
  <c r="L84" i="15"/>
  <c r="L100" i="15"/>
  <c r="L131" i="15"/>
  <c r="T96" i="15"/>
  <c r="T145" i="15"/>
  <c r="T81" i="15"/>
  <c r="T120" i="15"/>
  <c r="T152" i="15"/>
  <c r="T151" i="15"/>
  <c r="L118" i="15"/>
  <c r="T125" i="15"/>
  <c r="L126" i="15"/>
  <c r="L140" i="15"/>
  <c r="T158" i="15"/>
  <c r="L77" i="15"/>
  <c r="L119" i="15"/>
  <c r="T22" i="15"/>
  <c r="T35" i="15"/>
  <c r="L23" i="15"/>
  <c r="T63" i="15"/>
  <c r="L87" i="15"/>
  <c r="L99" i="15"/>
  <c r="T65" i="15"/>
  <c r="L34" i="15"/>
  <c r="L108" i="15"/>
  <c r="T155" i="15"/>
  <c r="L86" i="15"/>
  <c r="L102" i="15"/>
  <c r="L139" i="15"/>
  <c r="T52" i="15"/>
  <c r="T131" i="15"/>
  <c r="L120" i="15"/>
  <c r="L152" i="15"/>
  <c r="T100" i="15"/>
  <c r="T146" i="15"/>
  <c r="L127" i="15"/>
  <c r="T85" i="15"/>
  <c r="T157" i="15"/>
  <c r="T89" i="15"/>
  <c r="L134" i="15"/>
  <c r="L142" i="15"/>
  <c r="T105" i="15"/>
  <c r="L97" i="15"/>
  <c r="T32" i="15"/>
  <c r="L95" i="15"/>
  <c r="L26" i="15"/>
  <c r="T130" i="15"/>
  <c r="T112" i="15"/>
  <c r="T31" i="15"/>
  <c r="L80" i="15"/>
  <c r="T123" i="15"/>
  <c r="T26" i="15"/>
  <c r="T23" i="15"/>
  <c r="T17" i="15"/>
  <c r="T132" i="15"/>
  <c r="L68" i="15"/>
  <c r="T87" i="15"/>
  <c r="T99" i="15"/>
  <c r="L65" i="15"/>
  <c r="T16" i="15"/>
  <c r="T86" i="15"/>
  <c r="T102" i="15"/>
  <c r="T139" i="15"/>
  <c r="L79" i="15"/>
  <c r="T104" i="15"/>
  <c r="T153" i="15"/>
  <c r="T126" i="15"/>
  <c r="T111" i="15"/>
  <c r="T128" i="15"/>
  <c r="L93" i="15"/>
  <c r="L101" i="15"/>
  <c r="L105" i="15"/>
  <c r="T33" i="15"/>
  <c r="T83" i="15"/>
  <c r="L82" i="15"/>
  <c r="L144" i="15"/>
  <c r="T41" i="15"/>
  <c r="T25" i="15"/>
  <c r="L24" i="15"/>
  <c r="T68" i="15"/>
  <c r="L78" i="15"/>
  <c r="L38" i="15"/>
  <c r="L54" i="15"/>
  <c r="L88" i="15"/>
  <c r="L104" i="15"/>
  <c r="T56" i="15"/>
  <c r="T79" i="15"/>
  <c r="T108" i="15"/>
  <c r="T154" i="15"/>
  <c r="T93" i="15"/>
  <c r="L81" i="15"/>
  <c r="T141" i="15"/>
  <c r="T137" i="15"/>
  <c r="T34" i="15"/>
  <c r="L41" i="15"/>
  <c r="T51" i="15"/>
  <c r="L25" i="15"/>
  <c r="T24" i="15"/>
  <c r="L76" i="15"/>
  <c r="T46" i="15"/>
  <c r="T78" i="15"/>
  <c r="L18" i="15"/>
  <c r="L55" i="15"/>
  <c r="L90" i="15"/>
  <c r="L128" i="15"/>
  <c r="T67" i="15"/>
  <c r="T113" i="15"/>
  <c r="L135" i="15"/>
  <c r="T97" i="15"/>
  <c r="T133" i="15"/>
  <c r="T119" i="15"/>
  <c r="L85" i="15"/>
  <c r="L150" i="15"/>
  <c r="T134" i="15"/>
  <c r="L158" i="15"/>
  <c r="T75" i="15"/>
  <c r="T136" i="15"/>
  <c r="T127" i="15"/>
  <c r="L56" i="15"/>
  <c r="L123" i="15"/>
  <c r="L151" i="15"/>
  <c r="T38" i="15"/>
  <c r="T116" i="15"/>
  <c r="T74" i="15"/>
  <c r="L27" i="15"/>
  <c r="L44" i="15"/>
  <c r="L17" i="15"/>
  <c r="L91" i="15"/>
  <c r="L103" i="15"/>
  <c r="L48" i="15"/>
  <c r="L42" i="15"/>
  <c r="T124" i="15"/>
  <c r="T90" i="15"/>
  <c r="T60" i="15"/>
  <c r="T71" i="15"/>
  <c r="T114" i="15"/>
  <c r="L116" i="15"/>
  <c r="L148" i="15"/>
  <c r="T101" i="15"/>
  <c r="L89" i="15"/>
  <c r="T109" i="15"/>
  <c r="T36" i="15"/>
  <c r="T69" i="15"/>
  <c r="L71" i="15"/>
  <c r="L20" i="15"/>
  <c r="T27" i="15"/>
  <c r="T44" i="15"/>
  <c r="L40" i="15"/>
  <c r="T91" i="15"/>
  <c r="T103" i="15"/>
  <c r="T50" i="15"/>
  <c r="T73" i="15"/>
  <c r="L67" i="15"/>
  <c r="L64" i="15"/>
  <c r="L92" i="15"/>
  <c r="L115" i="15"/>
  <c r="L147" i="15"/>
  <c r="T121" i="15"/>
  <c r="T135" i="15"/>
  <c r="L37" i="15"/>
  <c r="L31" i="15"/>
  <c r="L96" i="15"/>
  <c r="T144" i="15"/>
  <c r="T149" i="15"/>
  <c r="T20" i="15"/>
  <c r="T29" i="15"/>
  <c r="L107" i="15"/>
  <c r="T55" i="15"/>
  <c r="T40" i="15"/>
  <c r="L52" i="15"/>
  <c r="L73" i="15"/>
  <c r="L22" i="15"/>
  <c r="L46" i="15"/>
  <c r="L58" i="15"/>
  <c r="T70" i="15"/>
  <c r="T64" i="15"/>
  <c r="L94" i="15"/>
  <c r="T115" i="15"/>
  <c r="T147" i="15"/>
  <c r="L159" i="15"/>
  <c r="L136" i="15"/>
  <c r="T76" i="15"/>
  <c r="T122" i="15"/>
  <c r="L111" i="15"/>
  <c r="L143" i="15"/>
  <c r="T30" i="15"/>
  <c r="L83" i="15"/>
  <c r="T84" i="15"/>
  <c r="L39" i="15"/>
  <c r="T95" i="15"/>
  <c r="L98" i="15"/>
  <c r="L112" i="15"/>
  <c r="L109" i="15"/>
  <c r="L32" i="15"/>
  <c r="L36" i="15"/>
  <c r="T45" i="15"/>
  <c r="T37" i="15"/>
  <c r="L16" i="15"/>
  <c r="L29" i="15"/>
  <c r="T107" i="15"/>
  <c r="T54" i="15"/>
  <c r="L47" i="15"/>
  <c r="L59" i="15"/>
  <c r="L75" i="15"/>
  <c r="L72" i="15"/>
  <c r="T94" i="15"/>
  <c r="T159" i="15"/>
  <c r="T80" i="15"/>
  <c r="T129" i="15"/>
  <c r="L124" i="15"/>
  <c r="L156" i="15"/>
  <c r="T110" i="15"/>
  <c r="T142" i="15"/>
  <c r="L45" i="15"/>
  <c r="T58" i="15"/>
  <c r="T143" i="15"/>
  <c r="L43" i="15"/>
  <c r="T18" i="15"/>
  <c r="T39" i="15"/>
  <c r="L33" i="15"/>
  <c r="T21" i="15"/>
  <c r="L28" i="15"/>
  <c r="T59" i="15"/>
  <c r="L60" i="15"/>
  <c r="L30" i="15"/>
  <c r="L50" i="15"/>
  <c r="L106" i="15"/>
  <c r="T82" i="15"/>
  <c r="T98" i="15"/>
  <c r="T48" i="15"/>
  <c r="L69" i="15"/>
  <c r="T92" i="15"/>
  <c r="T138" i="15"/>
  <c r="L132" i="15"/>
  <c r="T77" i="15"/>
  <c r="T118" i="15"/>
  <c r="T150" i="15"/>
  <c r="L110" i="15"/>
  <c r="T72" i="15"/>
  <c r="T88" i="15"/>
  <c r="T117" i="15"/>
  <c r="K11" i="15" l="1"/>
  <c r="K10" i="15" s="1"/>
  <c r="K9" i="15" s="1"/>
  <c r="C8" i="15" s="1"/>
  <c r="S12" i="15"/>
  <c r="S9" i="15" s="1"/>
  <c r="C7" i="15" s="1"/>
  <c r="J11" i="15"/>
  <c r="J10" i="15" s="1"/>
  <c r="J9" i="15" s="1"/>
  <c r="B8" i="15" s="1"/>
  <c r="R12" i="15"/>
  <c r="R9" i="15" s="1"/>
  <c r="B7" i="15" s="1"/>
  <c r="L11" i="15"/>
  <c r="L10" i="15" s="1"/>
  <c r="L9" i="15" s="1"/>
  <c r="D8" i="15" s="1"/>
  <c r="T12" i="15"/>
  <c r="T9" i="15" s="1"/>
  <c r="D7" i="15" s="1"/>
  <c r="F159" i="14" l="1"/>
  <c r="I159" i="14" s="1"/>
  <c r="E159" i="14"/>
  <c r="H159" i="14" s="1"/>
  <c r="D159" i="14"/>
  <c r="G159" i="14" s="1"/>
  <c r="F158" i="14"/>
  <c r="I158" i="14" s="1"/>
  <c r="E158" i="14"/>
  <c r="H158" i="14" s="1"/>
  <c r="D158" i="14"/>
  <c r="G158" i="14" s="1"/>
  <c r="F157" i="14"/>
  <c r="I157" i="14" s="1"/>
  <c r="E157" i="14"/>
  <c r="H157" i="14" s="1"/>
  <c r="D157" i="14"/>
  <c r="G157" i="14" s="1"/>
  <c r="F156" i="14"/>
  <c r="I156" i="14" s="1"/>
  <c r="E156" i="14"/>
  <c r="H156" i="14" s="1"/>
  <c r="D156" i="14"/>
  <c r="G156" i="14" s="1"/>
  <c r="F155" i="14"/>
  <c r="I155" i="14" s="1"/>
  <c r="E155" i="14"/>
  <c r="H155" i="14" s="1"/>
  <c r="D155" i="14"/>
  <c r="G155" i="14" s="1"/>
  <c r="F154" i="14"/>
  <c r="I154" i="14" s="1"/>
  <c r="E154" i="14"/>
  <c r="H154" i="14" s="1"/>
  <c r="D154" i="14"/>
  <c r="G154" i="14" s="1"/>
  <c r="F153" i="14"/>
  <c r="I153" i="14" s="1"/>
  <c r="E153" i="14"/>
  <c r="H153" i="14" s="1"/>
  <c r="D153" i="14"/>
  <c r="G153" i="14" s="1"/>
  <c r="I152" i="14"/>
  <c r="F152" i="14"/>
  <c r="E152" i="14"/>
  <c r="H152" i="14" s="1"/>
  <c r="D152" i="14"/>
  <c r="G152" i="14" s="1"/>
  <c r="F151" i="14"/>
  <c r="I151" i="14" s="1"/>
  <c r="E151" i="14"/>
  <c r="H151" i="14" s="1"/>
  <c r="D151" i="14"/>
  <c r="G151" i="14" s="1"/>
  <c r="F150" i="14"/>
  <c r="I150" i="14" s="1"/>
  <c r="E150" i="14"/>
  <c r="H150" i="14" s="1"/>
  <c r="D150" i="14"/>
  <c r="G150" i="14" s="1"/>
  <c r="G149" i="14"/>
  <c r="F149" i="14"/>
  <c r="I149" i="14" s="1"/>
  <c r="E149" i="14"/>
  <c r="H149" i="14" s="1"/>
  <c r="D149" i="14"/>
  <c r="I148" i="14"/>
  <c r="F148" i="14"/>
  <c r="E148" i="14"/>
  <c r="H148" i="14" s="1"/>
  <c r="D148" i="14"/>
  <c r="G148" i="14" s="1"/>
  <c r="F147" i="14"/>
  <c r="I147" i="14" s="1"/>
  <c r="E147" i="14"/>
  <c r="H147" i="14" s="1"/>
  <c r="D147" i="14"/>
  <c r="G147" i="14" s="1"/>
  <c r="F146" i="14"/>
  <c r="I146" i="14" s="1"/>
  <c r="E146" i="14"/>
  <c r="H146" i="14" s="1"/>
  <c r="D146" i="14"/>
  <c r="G146" i="14" s="1"/>
  <c r="F145" i="14"/>
  <c r="I145" i="14" s="1"/>
  <c r="E145" i="14"/>
  <c r="H145" i="14" s="1"/>
  <c r="D145" i="14"/>
  <c r="G145" i="14" s="1"/>
  <c r="F144" i="14"/>
  <c r="I144" i="14" s="1"/>
  <c r="E144" i="14"/>
  <c r="H144" i="14" s="1"/>
  <c r="D144" i="14"/>
  <c r="G144" i="14" s="1"/>
  <c r="F143" i="14"/>
  <c r="I143" i="14" s="1"/>
  <c r="E143" i="14"/>
  <c r="H143" i="14" s="1"/>
  <c r="D143" i="14"/>
  <c r="G143" i="14" s="1"/>
  <c r="H142" i="14"/>
  <c r="F142" i="14"/>
  <c r="I142" i="14" s="1"/>
  <c r="E142" i="14"/>
  <c r="D142" i="14"/>
  <c r="G142" i="14" s="1"/>
  <c r="F141" i="14"/>
  <c r="I141" i="14" s="1"/>
  <c r="E141" i="14"/>
  <c r="H141" i="14" s="1"/>
  <c r="D141" i="14"/>
  <c r="G141" i="14" s="1"/>
  <c r="F140" i="14"/>
  <c r="I140" i="14" s="1"/>
  <c r="E140" i="14"/>
  <c r="H140" i="14" s="1"/>
  <c r="D140" i="14"/>
  <c r="G140" i="14" s="1"/>
  <c r="F139" i="14"/>
  <c r="I139" i="14" s="1"/>
  <c r="E139" i="14"/>
  <c r="H139" i="14" s="1"/>
  <c r="D139" i="14"/>
  <c r="G139" i="14" s="1"/>
  <c r="F138" i="14"/>
  <c r="I138" i="14" s="1"/>
  <c r="E138" i="14"/>
  <c r="H138" i="14" s="1"/>
  <c r="D138" i="14"/>
  <c r="G138" i="14" s="1"/>
  <c r="F137" i="14"/>
  <c r="I137" i="14" s="1"/>
  <c r="E137" i="14"/>
  <c r="H137" i="14" s="1"/>
  <c r="D137" i="14"/>
  <c r="G137" i="14" s="1"/>
  <c r="F136" i="14"/>
  <c r="I136" i="14" s="1"/>
  <c r="E136" i="14"/>
  <c r="H136" i="14" s="1"/>
  <c r="D136" i="14"/>
  <c r="G136" i="14" s="1"/>
  <c r="F135" i="14"/>
  <c r="I135" i="14" s="1"/>
  <c r="E135" i="14"/>
  <c r="H135" i="14" s="1"/>
  <c r="D135" i="14"/>
  <c r="G135" i="14" s="1"/>
  <c r="F134" i="14"/>
  <c r="I134" i="14" s="1"/>
  <c r="E134" i="14"/>
  <c r="H134" i="14" s="1"/>
  <c r="D134" i="14"/>
  <c r="G134" i="14" s="1"/>
  <c r="F133" i="14"/>
  <c r="I133" i="14" s="1"/>
  <c r="E133" i="14"/>
  <c r="H133" i="14" s="1"/>
  <c r="D133" i="14"/>
  <c r="G133" i="14" s="1"/>
  <c r="F132" i="14"/>
  <c r="I132" i="14" s="1"/>
  <c r="E132" i="14"/>
  <c r="H132" i="14" s="1"/>
  <c r="D132" i="14"/>
  <c r="G132" i="14" s="1"/>
  <c r="F131" i="14"/>
  <c r="I131" i="14" s="1"/>
  <c r="E131" i="14"/>
  <c r="H131" i="14" s="1"/>
  <c r="D131" i="14"/>
  <c r="G131" i="14" s="1"/>
  <c r="H130" i="14"/>
  <c r="F130" i="14"/>
  <c r="I130" i="14" s="1"/>
  <c r="E130" i="14"/>
  <c r="D130" i="14"/>
  <c r="G130" i="14" s="1"/>
  <c r="F129" i="14"/>
  <c r="I129" i="14" s="1"/>
  <c r="E129" i="14"/>
  <c r="H129" i="14" s="1"/>
  <c r="D129" i="14"/>
  <c r="G129" i="14" s="1"/>
  <c r="F128" i="14"/>
  <c r="I128" i="14" s="1"/>
  <c r="E128" i="14"/>
  <c r="H128" i="14" s="1"/>
  <c r="D128" i="14"/>
  <c r="G128" i="14" s="1"/>
  <c r="F127" i="14"/>
  <c r="I127" i="14" s="1"/>
  <c r="E127" i="14"/>
  <c r="H127" i="14" s="1"/>
  <c r="D127" i="14"/>
  <c r="G127" i="14" s="1"/>
  <c r="F126" i="14"/>
  <c r="I126" i="14" s="1"/>
  <c r="E126" i="14"/>
  <c r="H126" i="14" s="1"/>
  <c r="D126" i="14"/>
  <c r="G126" i="14" s="1"/>
  <c r="F125" i="14"/>
  <c r="I125" i="14" s="1"/>
  <c r="E125" i="14"/>
  <c r="H125" i="14" s="1"/>
  <c r="D125" i="14"/>
  <c r="G125" i="14" s="1"/>
  <c r="F124" i="14"/>
  <c r="I124" i="14" s="1"/>
  <c r="E124" i="14"/>
  <c r="H124" i="14" s="1"/>
  <c r="D124" i="14"/>
  <c r="G124" i="14" s="1"/>
  <c r="F123" i="14"/>
  <c r="I123" i="14" s="1"/>
  <c r="E123" i="14"/>
  <c r="H123" i="14" s="1"/>
  <c r="D123" i="14"/>
  <c r="G123" i="14" s="1"/>
  <c r="H122" i="14"/>
  <c r="F122" i="14"/>
  <c r="I122" i="14" s="1"/>
  <c r="E122" i="14"/>
  <c r="D122" i="14"/>
  <c r="G122" i="14" s="1"/>
  <c r="F121" i="14"/>
  <c r="I121" i="14" s="1"/>
  <c r="E121" i="14"/>
  <c r="H121" i="14" s="1"/>
  <c r="D121" i="14"/>
  <c r="G121" i="14" s="1"/>
  <c r="F120" i="14"/>
  <c r="I120" i="14" s="1"/>
  <c r="E120" i="14"/>
  <c r="H120" i="14" s="1"/>
  <c r="D120" i="14"/>
  <c r="G120" i="14" s="1"/>
  <c r="F119" i="14"/>
  <c r="I119" i="14" s="1"/>
  <c r="E119" i="14"/>
  <c r="H119" i="14" s="1"/>
  <c r="D119" i="14"/>
  <c r="G119" i="14" s="1"/>
  <c r="H118" i="14"/>
  <c r="F118" i="14"/>
  <c r="I118" i="14" s="1"/>
  <c r="E118" i="14"/>
  <c r="D118" i="14"/>
  <c r="G118" i="14" s="1"/>
  <c r="F117" i="14"/>
  <c r="I117" i="14" s="1"/>
  <c r="E117" i="14"/>
  <c r="H117" i="14" s="1"/>
  <c r="D117" i="14"/>
  <c r="G117" i="14" s="1"/>
  <c r="I116" i="14"/>
  <c r="F116" i="14"/>
  <c r="E116" i="14"/>
  <c r="H116" i="14" s="1"/>
  <c r="D116" i="14"/>
  <c r="G116" i="14" s="1"/>
  <c r="F115" i="14"/>
  <c r="I115" i="14" s="1"/>
  <c r="E115" i="14"/>
  <c r="H115" i="14" s="1"/>
  <c r="D115" i="14"/>
  <c r="G115" i="14" s="1"/>
  <c r="F114" i="14"/>
  <c r="I114" i="14" s="1"/>
  <c r="E114" i="14"/>
  <c r="H114" i="14" s="1"/>
  <c r="D114" i="14"/>
  <c r="G114" i="14" s="1"/>
  <c r="H113" i="14"/>
  <c r="F113" i="14"/>
  <c r="I113" i="14" s="1"/>
  <c r="E113" i="14"/>
  <c r="D113" i="14"/>
  <c r="G113" i="14" s="1"/>
  <c r="F112" i="14"/>
  <c r="I112" i="14" s="1"/>
  <c r="E112" i="14"/>
  <c r="H112" i="14" s="1"/>
  <c r="D112" i="14"/>
  <c r="G112" i="14" s="1"/>
  <c r="F111" i="14"/>
  <c r="I111" i="14" s="1"/>
  <c r="E111" i="14"/>
  <c r="H111" i="14" s="1"/>
  <c r="D111" i="14"/>
  <c r="G111" i="14" s="1"/>
  <c r="F110" i="14"/>
  <c r="I110" i="14" s="1"/>
  <c r="E110" i="14"/>
  <c r="H110" i="14" s="1"/>
  <c r="D110" i="14"/>
  <c r="G110" i="14" s="1"/>
  <c r="F109" i="14"/>
  <c r="I109" i="14" s="1"/>
  <c r="E109" i="14"/>
  <c r="H109" i="14" s="1"/>
  <c r="D109" i="14"/>
  <c r="G109" i="14" s="1"/>
  <c r="F108" i="14"/>
  <c r="I108" i="14" s="1"/>
  <c r="E108" i="14"/>
  <c r="H108" i="14" s="1"/>
  <c r="D108" i="14"/>
  <c r="G108" i="14" s="1"/>
  <c r="F107" i="14"/>
  <c r="I107" i="14" s="1"/>
  <c r="E107" i="14"/>
  <c r="H107" i="14" s="1"/>
  <c r="D107" i="14"/>
  <c r="G107" i="14" s="1"/>
  <c r="F106" i="14"/>
  <c r="I106" i="14" s="1"/>
  <c r="E106" i="14"/>
  <c r="H106" i="14" s="1"/>
  <c r="D106" i="14"/>
  <c r="G106" i="14" s="1"/>
  <c r="F105" i="14"/>
  <c r="I105" i="14" s="1"/>
  <c r="E105" i="14"/>
  <c r="H105" i="14" s="1"/>
  <c r="D105" i="14"/>
  <c r="G105" i="14" s="1"/>
  <c r="F104" i="14"/>
  <c r="I104" i="14" s="1"/>
  <c r="E104" i="14"/>
  <c r="H104" i="14" s="1"/>
  <c r="D104" i="14"/>
  <c r="G104" i="14" s="1"/>
  <c r="F103" i="14"/>
  <c r="I103" i="14" s="1"/>
  <c r="E103" i="14"/>
  <c r="H103" i="14" s="1"/>
  <c r="D103" i="14"/>
  <c r="G103" i="14" s="1"/>
  <c r="H102" i="14"/>
  <c r="F102" i="14"/>
  <c r="I102" i="14" s="1"/>
  <c r="E102" i="14"/>
  <c r="D102" i="14"/>
  <c r="G102" i="14" s="1"/>
  <c r="F101" i="14"/>
  <c r="I101" i="14" s="1"/>
  <c r="E101" i="14"/>
  <c r="H101" i="14" s="1"/>
  <c r="D101" i="14"/>
  <c r="G101" i="14" s="1"/>
  <c r="F100" i="14"/>
  <c r="I100" i="14" s="1"/>
  <c r="E100" i="14"/>
  <c r="H100" i="14" s="1"/>
  <c r="D100" i="14"/>
  <c r="G100" i="14" s="1"/>
  <c r="F99" i="14"/>
  <c r="I99" i="14" s="1"/>
  <c r="E99" i="14"/>
  <c r="H99" i="14" s="1"/>
  <c r="D99" i="14"/>
  <c r="G99" i="14" s="1"/>
  <c r="F98" i="14"/>
  <c r="I98" i="14" s="1"/>
  <c r="E98" i="14"/>
  <c r="H98" i="14" s="1"/>
  <c r="D98" i="14"/>
  <c r="G98" i="14" s="1"/>
  <c r="H97" i="14"/>
  <c r="F97" i="14"/>
  <c r="I97" i="14" s="1"/>
  <c r="E97" i="14"/>
  <c r="D97" i="14"/>
  <c r="G97" i="14" s="1"/>
  <c r="F96" i="14"/>
  <c r="I96" i="14" s="1"/>
  <c r="E96" i="14"/>
  <c r="H96" i="14" s="1"/>
  <c r="D96" i="14"/>
  <c r="G96" i="14" s="1"/>
  <c r="F95" i="14"/>
  <c r="I95" i="14" s="1"/>
  <c r="E95" i="14"/>
  <c r="H95" i="14" s="1"/>
  <c r="D95" i="14"/>
  <c r="G95" i="14" s="1"/>
  <c r="F94" i="14"/>
  <c r="I94" i="14" s="1"/>
  <c r="E94" i="14"/>
  <c r="H94" i="14" s="1"/>
  <c r="D94" i="14"/>
  <c r="G94" i="14" s="1"/>
  <c r="F93" i="14"/>
  <c r="I93" i="14" s="1"/>
  <c r="E93" i="14"/>
  <c r="H93" i="14" s="1"/>
  <c r="D93" i="14"/>
  <c r="G93" i="14" s="1"/>
  <c r="F92" i="14"/>
  <c r="I92" i="14" s="1"/>
  <c r="E92" i="14"/>
  <c r="H92" i="14" s="1"/>
  <c r="D92" i="14"/>
  <c r="G92" i="14" s="1"/>
  <c r="F91" i="14"/>
  <c r="I91" i="14" s="1"/>
  <c r="E91" i="14"/>
  <c r="H91" i="14" s="1"/>
  <c r="D91" i="14"/>
  <c r="G91" i="14" s="1"/>
  <c r="F90" i="14"/>
  <c r="I90" i="14" s="1"/>
  <c r="E90" i="14"/>
  <c r="H90" i="14" s="1"/>
  <c r="D90" i="14"/>
  <c r="G90" i="14" s="1"/>
  <c r="H89" i="14"/>
  <c r="F89" i="14"/>
  <c r="I89" i="14" s="1"/>
  <c r="E89" i="14"/>
  <c r="D89" i="14"/>
  <c r="G89" i="14" s="1"/>
  <c r="F88" i="14"/>
  <c r="I88" i="14" s="1"/>
  <c r="E88" i="14"/>
  <c r="H88" i="14" s="1"/>
  <c r="D88" i="14"/>
  <c r="G88" i="14" s="1"/>
  <c r="F87" i="14"/>
  <c r="I87" i="14" s="1"/>
  <c r="E87" i="14"/>
  <c r="H87" i="14" s="1"/>
  <c r="D87" i="14"/>
  <c r="G87" i="14" s="1"/>
  <c r="I86" i="14"/>
  <c r="F86" i="14"/>
  <c r="E86" i="14"/>
  <c r="H86" i="14" s="1"/>
  <c r="D86" i="14"/>
  <c r="G86" i="14" s="1"/>
  <c r="F85" i="14"/>
  <c r="I85" i="14" s="1"/>
  <c r="E85" i="14"/>
  <c r="H85" i="14" s="1"/>
  <c r="D85" i="14"/>
  <c r="G85" i="14" s="1"/>
  <c r="I84" i="14"/>
  <c r="F84" i="14"/>
  <c r="E84" i="14"/>
  <c r="H84" i="14" s="1"/>
  <c r="D84" i="14"/>
  <c r="G84" i="14" s="1"/>
  <c r="F83" i="14"/>
  <c r="I83" i="14" s="1"/>
  <c r="E83" i="14"/>
  <c r="H83" i="14" s="1"/>
  <c r="D83" i="14"/>
  <c r="G83" i="14" s="1"/>
  <c r="I82" i="14"/>
  <c r="H82" i="14"/>
  <c r="F82" i="14"/>
  <c r="E82" i="14"/>
  <c r="D82" i="14"/>
  <c r="G82" i="14" s="1"/>
  <c r="F81" i="14"/>
  <c r="I81" i="14" s="1"/>
  <c r="E81" i="14"/>
  <c r="H81" i="14" s="1"/>
  <c r="D81" i="14"/>
  <c r="G81" i="14" s="1"/>
  <c r="F80" i="14"/>
  <c r="I80" i="14" s="1"/>
  <c r="E80" i="14"/>
  <c r="H80" i="14" s="1"/>
  <c r="D80" i="14"/>
  <c r="G80" i="14" s="1"/>
  <c r="F79" i="14"/>
  <c r="I79" i="14" s="1"/>
  <c r="E79" i="14"/>
  <c r="H79" i="14" s="1"/>
  <c r="D79" i="14"/>
  <c r="G79" i="14" s="1"/>
  <c r="H78" i="14"/>
  <c r="F78" i="14"/>
  <c r="I78" i="14" s="1"/>
  <c r="E78" i="14"/>
  <c r="D78" i="14"/>
  <c r="G78" i="14" s="1"/>
  <c r="F77" i="14"/>
  <c r="I77" i="14" s="1"/>
  <c r="E77" i="14"/>
  <c r="H77" i="14" s="1"/>
  <c r="D77" i="14"/>
  <c r="G77" i="14" s="1"/>
  <c r="F76" i="14"/>
  <c r="I76" i="14" s="1"/>
  <c r="E76" i="14"/>
  <c r="H76" i="14" s="1"/>
  <c r="D76" i="14"/>
  <c r="G76" i="14" s="1"/>
  <c r="F75" i="14"/>
  <c r="I75" i="14" s="1"/>
  <c r="E75" i="14"/>
  <c r="H75" i="14" s="1"/>
  <c r="D75" i="14"/>
  <c r="G75" i="14" s="1"/>
  <c r="I74" i="14"/>
  <c r="F74" i="14"/>
  <c r="E74" i="14"/>
  <c r="H74" i="14" s="1"/>
  <c r="D74" i="14"/>
  <c r="G74" i="14" s="1"/>
  <c r="F73" i="14"/>
  <c r="I73" i="14" s="1"/>
  <c r="E73" i="14"/>
  <c r="H73" i="14" s="1"/>
  <c r="D73" i="14"/>
  <c r="G73" i="14" s="1"/>
  <c r="F72" i="14"/>
  <c r="I72" i="14" s="1"/>
  <c r="E72" i="14"/>
  <c r="H72" i="14" s="1"/>
  <c r="D72" i="14"/>
  <c r="G72" i="14" s="1"/>
  <c r="F71" i="14"/>
  <c r="I71" i="14" s="1"/>
  <c r="E71" i="14"/>
  <c r="H71" i="14" s="1"/>
  <c r="D71" i="14"/>
  <c r="G71" i="14" s="1"/>
  <c r="H70" i="14"/>
  <c r="F70" i="14"/>
  <c r="I70" i="14" s="1"/>
  <c r="E70" i="14"/>
  <c r="D70" i="14"/>
  <c r="G70" i="14" s="1"/>
  <c r="F69" i="14"/>
  <c r="I69" i="14" s="1"/>
  <c r="E69" i="14"/>
  <c r="H69" i="14" s="1"/>
  <c r="D69" i="14"/>
  <c r="G69" i="14" s="1"/>
  <c r="F68" i="14"/>
  <c r="I68" i="14" s="1"/>
  <c r="E68" i="14"/>
  <c r="H68" i="14" s="1"/>
  <c r="D68" i="14"/>
  <c r="G68" i="14" s="1"/>
  <c r="F67" i="14"/>
  <c r="I67" i="14" s="1"/>
  <c r="E67" i="14"/>
  <c r="H67" i="14" s="1"/>
  <c r="D67" i="14"/>
  <c r="G67" i="14" s="1"/>
  <c r="F66" i="14"/>
  <c r="I66" i="14" s="1"/>
  <c r="E66" i="14"/>
  <c r="H66" i="14" s="1"/>
  <c r="D66" i="14"/>
  <c r="G66" i="14" s="1"/>
  <c r="H65" i="14"/>
  <c r="F65" i="14"/>
  <c r="I65" i="14" s="1"/>
  <c r="E65" i="14"/>
  <c r="D65" i="14"/>
  <c r="G65" i="14" s="1"/>
  <c r="F64" i="14"/>
  <c r="I64" i="14" s="1"/>
  <c r="E64" i="14"/>
  <c r="H64" i="14" s="1"/>
  <c r="D64" i="14"/>
  <c r="G64" i="14" s="1"/>
  <c r="F63" i="14"/>
  <c r="I63" i="14" s="1"/>
  <c r="E63" i="14"/>
  <c r="H63" i="14" s="1"/>
  <c r="D63" i="14"/>
  <c r="G63" i="14" s="1"/>
  <c r="F62" i="14"/>
  <c r="I62" i="14" s="1"/>
  <c r="E62" i="14"/>
  <c r="H62" i="14" s="1"/>
  <c r="D62" i="14"/>
  <c r="G62" i="14" s="1"/>
  <c r="F61" i="14"/>
  <c r="I61" i="14" s="1"/>
  <c r="E61" i="14"/>
  <c r="H61" i="14" s="1"/>
  <c r="D61" i="14"/>
  <c r="G61" i="14" s="1"/>
  <c r="F60" i="14"/>
  <c r="I60" i="14" s="1"/>
  <c r="E60" i="14"/>
  <c r="H60" i="14" s="1"/>
  <c r="D60" i="14"/>
  <c r="G60" i="14" s="1"/>
  <c r="F59" i="14"/>
  <c r="I59" i="14" s="1"/>
  <c r="E59" i="14"/>
  <c r="H59" i="14" s="1"/>
  <c r="D59" i="14"/>
  <c r="G59" i="14" s="1"/>
  <c r="F58" i="14"/>
  <c r="I58" i="14" s="1"/>
  <c r="E58" i="14"/>
  <c r="H58" i="14" s="1"/>
  <c r="D58" i="14"/>
  <c r="G58" i="14" s="1"/>
  <c r="H57" i="14"/>
  <c r="F57" i="14"/>
  <c r="I57" i="14" s="1"/>
  <c r="E57" i="14"/>
  <c r="D57" i="14"/>
  <c r="G57" i="14" s="1"/>
  <c r="F56" i="14"/>
  <c r="I56" i="14" s="1"/>
  <c r="E56" i="14"/>
  <c r="H56" i="14" s="1"/>
  <c r="D56" i="14"/>
  <c r="G56" i="14" s="1"/>
  <c r="F55" i="14"/>
  <c r="I55" i="14" s="1"/>
  <c r="E55" i="14"/>
  <c r="H55" i="14" s="1"/>
  <c r="D55" i="14"/>
  <c r="G55" i="14" s="1"/>
  <c r="I54" i="14"/>
  <c r="F54" i="14"/>
  <c r="E54" i="14"/>
  <c r="H54" i="14" s="1"/>
  <c r="D54" i="14"/>
  <c r="G54" i="14" s="1"/>
  <c r="H53" i="14"/>
  <c r="F53" i="14"/>
  <c r="I53" i="14" s="1"/>
  <c r="E53" i="14"/>
  <c r="D53" i="14"/>
  <c r="G53" i="14" s="1"/>
  <c r="F52" i="14"/>
  <c r="I52" i="14" s="1"/>
  <c r="E52" i="14"/>
  <c r="H52" i="14" s="1"/>
  <c r="D52" i="14"/>
  <c r="G52" i="14" s="1"/>
  <c r="F51" i="14"/>
  <c r="I51" i="14" s="1"/>
  <c r="E51" i="14"/>
  <c r="H51" i="14" s="1"/>
  <c r="D51" i="14"/>
  <c r="G51" i="14" s="1"/>
  <c r="F50" i="14"/>
  <c r="I50" i="14" s="1"/>
  <c r="E50" i="14"/>
  <c r="H50" i="14" s="1"/>
  <c r="D50" i="14"/>
  <c r="G50" i="14" s="1"/>
  <c r="F49" i="14"/>
  <c r="I49" i="14" s="1"/>
  <c r="E49" i="14"/>
  <c r="H49" i="14" s="1"/>
  <c r="D49" i="14"/>
  <c r="G49" i="14" s="1"/>
  <c r="F48" i="14"/>
  <c r="I48" i="14" s="1"/>
  <c r="E48" i="14"/>
  <c r="H48" i="14" s="1"/>
  <c r="D48" i="14"/>
  <c r="G48" i="14" s="1"/>
  <c r="F47" i="14"/>
  <c r="I47" i="14" s="1"/>
  <c r="E47" i="14"/>
  <c r="H47" i="14" s="1"/>
  <c r="D47" i="14"/>
  <c r="G47" i="14" s="1"/>
  <c r="F46" i="14"/>
  <c r="I46" i="14" s="1"/>
  <c r="E46" i="14"/>
  <c r="H46" i="14" s="1"/>
  <c r="D46" i="14"/>
  <c r="G46" i="14" s="1"/>
  <c r="H45" i="14"/>
  <c r="F45" i="14"/>
  <c r="I45" i="14" s="1"/>
  <c r="E45" i="14"/>
  <c r="D45" i="14"/>
  <c r="G45" i="14" s="1"/>
  <c r="F44" i="14"/>
  <c r="I44" i="14" s="1"/>
  <c r="E44" i="14"/>
  <c r="H44" i="14" s="1"/>
  <c r="D44" i="14"/>
  <c r="G44" i="14" s="1"/>
  <c r="F43" i="14"/>
  <c r="I43" i="14" s="1"/>
  <c r="E43" i="14"/>
  <c r="H43" i="14" s="1"/>
  <c r="D43" i="14"/>
  <c r="G43" i="14" s="1"/>
  <c r="F42" i="14"/>
  <c r="I42" i="14" s="1"/>
  <c r="E42" i="14"/>
  <c r="H42" i="14" s="1"/>
  <c r="D42" i="14"/>
  <c r="G42" i="14" s="1"/>
  <c r="F41" i="14"/>
  <c r="I41" i="14" s="1"/>
  <c r="E41" i="14"/>
  <c r="H41" i="14" s="1"/>
  <c r="D41" i="14"/>
  <c r="G41" i="14" s="1"/>
  <c r="F40" i="14"/>
  <c r="I40" i="14" s="1"/>
  <c r="E40" i="14"/>
  <c r="H40" i="14" s="1"/>
  <c r="D40" i="14"/>
  <c r="G40" i="14" s="1"/>
  <c r="F39" i="14"/>
  <c r="I39" i="14" s="1"/>
  <c r="E39" i="14"/>
  <c r="H39" i="14" s="1"/>
  <c r="D39" i="14"/>
  <c r="G39" i="14" s="1"/>
  <c r="F38" i="14"/>
  <c r="I38" i="14" s="1"/>
  <c r="E38" i="14"/>
  <c r="H38" i="14" s="1"/>
  <c r="D38" i="14"/>
  <c r="G38" i="14" s="1"/>
  <c r="F37" i="14"/>
  <c r="I37" i="14" s="1"/>
  <c r="E37" i="14"/>
  <c r="H37" i="14" s="1"/>
  <c r="D37" i="14"/>
  <c r="G37" i="14" s="1"/>
  <c r="I36" i="14"/>
  <c r="F36" i="14"/>
  <c r="E36" i="14"/>
  <c r="H36" i="14" s="1"/>
  <c r="D36" i="14"/>
  <c r="G36" i="14" s="1"/>
  <c r="F35" i="14"/>
  <c r="I35" i="14" s="1"/>
  <c r="E35" i="14"/>
  <c r="H35" i="14" s="1"/>
  <c r="D35" i="14"/>
  <c r="G35" i="14" s="1"/>
  <c r="F34" i="14"/>
  <c r="I34" i="14" s="1"/>
  <c r="E34" i="14"/>
  <c r="H34" i="14" s="1"/>
  <c r="D34" i="14"/>
  <c r="G34" i="14" s="1"/>
  <c r="F33" i="14"/>
  <c r="I33" i="14" s="1"/>
  <c r="E33" i="14"/>
  <c r="H33" i="14" s="1"/>
  <c r="D33" i="14"/>
  <c r="G33" i="14" s="1"/>
  <c r="I32" i="14"/>
  <c r="F32" i="14"/>
  <c r="E32" i="14"/>
  <c r="H32" i="14" s="1"/>
  <c r="D32" i="14"/>
  <c r="G32" i="14" s="1"/>
  <c r="F31" i="14"/>
  <c r="I31" i="14" s="1"/>
  <c r="E31" i="14"/>
  <c r="H31" i="14" s="1"/>
  <c r="D31" i="14"/>
  <c r="G31" i="14" s="1"/>
  <c r="F30" i="14"/>
  <c r="I30" i="14" s="1"/>
  <c r="E30" i="14"/>
  <c r="H30" i="14" s="1"/>
  <c r="D30" i="14"/>
  <c r="G30" i="14" s="1"/>
  <c r="I29" i="14"/>
  <c r="F29" i="14"/>
  <c r="E29" i="14"/>
  <c r="H29" i="14" s="1"/>
  <c r="D29" i="14"/>
  <c r="G29" i="14" s="1"/>
  <c r="G28" i="14"/>
  <c r="F28" i="14"/>
  <c r="I28" i="14" s="1"/>
  <c r="E28" i="14"/>
  <c r="H28" i="14" s="1"/>
  <c r="D28" i="14"/>
  <c r="F27" i="14"/>
  <c r="I27" i="14" s="1"/>
  <c r="E27" i="14"/>
  <c r="H27" i="14" s="1"/>
  <c r="D27" i="14"/>
  <c r="G27" i="14" s="1"/>
  <c r="F26" i="14"/>
  <c r="I26" i="14" s="1"/>
  <c r="E26" i="14"/>
  <c r="H26" i="14" s="1"/>
  <c r="D26" i="14"/>
  <c r="G26" i="14" s="1"/>
  <c r="I25" i="14"/>
  <c r="F25" i="14"/>
  <c r="E25" i="14"/>
  <c r="H25" i="14" s="1"/>
  <c r="D25" i="14"/>
  <c r="G25" i="14" s="1"/>
  <c r="I24" i="14"/>
  <c r="F24" i="14"/>
  <c r="E24" i="14"/>
  <c r="H24" i="14" s="1"/>
  <c r="D24" i="14"/>
  <c r="G24" i="14" s="1"/>
  <c r="F23" i="14"/>
  <c r="I23" i="14" s="1"/>
  <c r="E23" i="14"/>
  <c r="H23" i="14" s="1"/>
  <c r="D23" i="14"/>
  <c r="G23" i="14" s="1"/>
  <c r="G22" i="14"/>
  <c r="F22" i="14"/>
  <c r="I22" i="14" s="1"/>
  <c r="E22" i="14"/>
  <c r="H22" i="14" s="1"/>
  <c r="D22" i="14"/>
  <c r="F21" i="14"/>
  <c r="I21" i="14" s="1"/>
  <c r="E21" i="14"/>
  <c r="H21" i="14" s="1"/>
  <c r="D21" i="14"/>
  <c r="G21" i="14" s="1"/>
  <c r="F20" i="14"/>
  <c r="I20" i="14" s="1"/>
  <c r="E20" i="14"/>
  <c r="H20" i="14" s="1"/>
  <c r="D20" i="14"/>
  <c r="G20" i="14" s="1"/>
  <c r="F19" i="14"/>
  <c r="I19" i="14" s="1"/>
  <c r="E19" i="14"/>
  <c r="H19" i="14" s="1"/>
  <c r="D19" i="14"/>
  <c r="F18" i="14"/>
  <c r="I18" i="14" s="1"/>
  <c r="E18" i="14"/>
  <c r="H18" i="14" s="1"/>
  <c r="D18" i="14"/>
  <c r="G18" i="14" s="1"/>
  <c r="F17" i="14"/>
  <c r="I17" i="14" s="1"/>
  <c r="E17" i="14"/>
  <c r="H17" i="14" s="1"/>
  <c r="D17" i="14"/>
  <c r="G17" i="14" s="1"/>
  <c r="F16" i="14"/>
  <c r="I16" i="14" s="1"/>
  <c r="E16" i="14"/>
  <c r="D16" i="14"/>
  <c r="G16" i="14" s="1"/>
  <c r="C14" i="14"/>
  <c r="B14" i="14"/>
  <c r="C4" i="14" s="1"/>
  <c r="A14" i="14"/>
  <c r="C13" i="14"/>
  <c r="B13" i="14"/>
  <c r="A13" i="14"/>
  <c r="C12" i="14"/>
  <c r="P60" i="14" s="1"/>
  <c r="B12" i="14"/>
  <c r="O44" i="14" s="1"/>
  <c r="A12" i="14"/>
  <c r="N58" i="14" s="1"/>
  <c r="AJ2" i="8"/>
  <c r="AE20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3" i="8"/>
  <c r="AE2" i="8" s="1"/>
  <c r="AO2" i="8"/>
  <c r="AS4" i="8"/>
  <c r="B4" i="14" l="1"/>
  <c r="D4" i="14"/>
  <c r="P39" i="14"/>
  <c r="P42" i="14"/>
  <c r="P27" i="14"/>
  <c r="P31" i="14"/>
  <c r="N41" i="14"/>
  <c r="N36" i="14"/>
  <c r="N28" i="14"/>
  <c r="N20" i="14"/>
  <c r="N42" i="14"/>
  <c r="N16" i="14"/>
  <c r="D11" i="14"/>
  <c r="N24" i="14"/>
  <c r="N32" i="14"/>
  <c r="P23" i="14"/>
  <c r="F11" i="14"/>
  <c r="P19" i="14"/>
  <c r="P35" i="14"/>
  <c r="P54" i="14"/>
  <c r="P46" i="14"/>
  <c r="E11" i="14"/>
  <c r="O40" i="14"/>
  <c r="O56" i="14"/>
  <c r="T45" i="14"/>
  <c r="I12" i="14"/>
  <c r="T26" i="14" s="1"/>
  <c r="I13" i="14"/>
  <c r="T23" i="14"/>
  <c r="O24" i="14"/>
  <c r="O28" i="14"/>
  <c r="O32" i="14"/>
  <c r="O36" i="14"/>
  <c r="P40" i="14"/>
  <c r="O41" i="14"/>
  <c r="N45" i="14"/>
  <c r="O48" i="14"/>
  <c r="P56" i="14"/>
  <c r="L121" i="14"/>
  <c r="N139" i="14"/>
  <c r="P158" i="14"/>
  <c r="O16" i="14"/>
  <c r="O20" i="14"/>
  <c r="I14" i="14"/>
  <c r="D6" i="14" s="1"/>
  <c r="P16" i="14"/>
  <c r="P20" i="14"/>
  <c r="L21" i="14"/>
  <c r="P24" i="14"/>
  <c r="L25" i="14"/>
  <c r="P28" i="14"/>
  <c r="P32" i="14"/>
  <c r="P36" i="14"/>
  <c r="P48" i="14"/>
  <c r="L156" i="14"/>
  <c r="N158" i="14"/>
  <c r="N154" i="14"/>
  <c r="N150" i="14"/>
  <c r="N146" i="14"/>
  <c r="N142" i="14"/>
  <c r="N138" i="14"/>
  <c r="N134" i="14"/>
  <c r="N130" i="14"/>
  <c r="N126" i="14"/>
  <c r="N122" i="14"/>
  <c r="N118" i="14"/>
  <c r="N114" i="14"/>
  <c r="N110" i="14"/>
  <c r="N106" i="14"/>
  <c r="N157" i="14"/>
  <c r="N153" i="14"/>
  <c r="N149" i="14"/>
  <c r="N145" i="14"/>
  <c r="N141" i="14"/>
  <c r="N137" i="14"/>
  <c r="N133" i="14"/>
  <c r="N129" i="14"/>
  <c r="N125" i="14"/>
  <c r="N121" i="14"/>
  <c r="N117" i="14"/>
  <c r="N113" i="14"/>
  <c r="N160" i="14"/>
  <c r="N156" i="14"/>
  <c r="N152" i="14"/>
  <c r="N148" i="14"/>
  <c r="N144" i="14"/>
  <c r="N140" i="14"/>
  <c r="N136" i="14"/>
  <c r="N132" i="14"/>
  <c r="N128" i="14"/>
  <c r="N124" i="14"/>
  <c r="N120" i="14"/>
  <c r="N116" i="14"/>
  <c r="N112" i="14"/>
  <c r="N108" i="14"/>
  <c r="N104" i="14"/>
  <c r="N143" i="14"/>
  <c r="N100" i="14"/>
  <c r="N96" i="14"/>
  <c r="N92" i="14"/>
  <c r="N88" i="14"/>
  <c r="N84" i="14"/>
  <c r="N80" i="14"/>
  <c r="N76" i="14"/>
  <c r="N72" i="14"/>
  <c r="N68" i="14"/>
  <c r="N64" i="14"/>
  <c r="N60" i="14"/>
  <c r="N56" i="14"/>
  <c r="N52" i="14"/>
  <c r="N48" i="14"/>
  <c r="N44" i="14"/>
  <c r="N40" i="14"/>
  <c r="N147" i="14"/>
  <c r="N151" i="14"/>
  <c r="N111" i="14"/>
  <c r="N107" i="14"/>
  <c r="N155" i="14"/>
  <c r="N99" i="14"/>
  <c r="N95" i="14"/>
  <c r="N91" i="14"/>
  <c r="N87" i="14"/>
  <c r="N83" i="14"/>
  <c r="N79" i="14"/>
  <c r="N75" i="14"/>
  <c r="N71" i="14"/>
  <c r="N67" i="14"/>
  <c r="N63" i="14"/>
  <c r="N59" i="14"/>
  <c r="N55" i="14"/>
  <c r="N51" i="14"/>
  <c r="N47" i="14"/>
  <c r="N159" i="14"/>
  <c r="N103" i="14"/>
  <c r="N109" i="14"/>
  <c r="N105" i="14"/>
  <c r="N102" i="14"/>
  <c r="N98" i="14"/>
  <c r="N94" i="14"/>
  <c r="N90" i="14"/>
  <c r="N86" i="14"/>
  <c r="N82" i="14"/>
  <c r="N78" i="14"/>
  <c r="N74" i="14"/>
  <c r="N70" i="14"/>
  <c r="N123" i="14"/>
  <c r="N127" i="14"/>
  <c r="N131" i="14"/>
  <c r="N119" i="14"/>
  <c r="N101" i="14"/>
  <c r="N97" i="14"/>
  <c r="N93" i="14"/>
  <c r="N89" i="14"/>
  <c r="N85" i="14"/>
  <c r="N81" i="14"/>
  <c r="N77" i="14"/>
  <c r="N73" i="14"/>
  <c r="N69" i="14"/>
  <c r="N65" i="14"/>
  <c r="N61" i="14"/>
  <c r="N57" i="14"/>
  <c r="N53" i="14"/>
  <c r="N49" i="14"/>
  <c r="N17" i="14"/>
  <c r="G19" i="14"/>
  <c r="N21" i="14"/>
  <c r="N25" i="14"/>
  <c r="N29" i="14"/>
  <c r="N33" i="14"/>
  <c r="N37" i="14"/>
  <c r="L44" i="14"/>
  <c r="T44" i="14"/>
  <c r="T50" i="14"/>
  <c r="L50" i="14"/>
  <c r="O60" i="14"/>
  <c r="T95" i="14"/>
  <c r="P106" i="14"/>
  <c r="T127" i="14"/>
  <c r="L127" i="14"/>
  <c r="O17" i="14"/>
  <c r="O21" i="14"/>
  <c r="O25" i="14"/>
  <c r="O29" i="14"/>
  <c r="O33" i="14"/>
  <c r="O37" i="14"/>
  <c r="N50" i="14"/>
  <c r="T57" i="14"/>
  <c r="L109" i="14"/>
  <c r="T109" i="14"/>
  <c r="L75" i="14"/>
  <c r="O158" i="14"/>
  <c r="O154" i="14"/>
  <c r="O150" i="14"/>
  <c r="O146" i="14"/>
  <c r="O142" i="14"/>
  <c r="O138" i="14"/>
  <c r="O134" i="14"/>
  <c r="O130" i="14"/>
  <c r="O126" i="14"/>
  <c r="O122" i="14"/>
  <c r="O118" i="14"/>
  <c r="O114" i="14"/>
  <c r="O110" i="14"/>
  <c r="O106" i="14"/>
  <c r="O157" i="14"/>
  <c r="O153" i="14"/>
  <c r="O149" i="14"/>
  <c r="O145" i="14"/>
  <c r="O141" i="14"/>
  <c r="O137" i="14"/>
  <c r="O133" i="14"/>
  <c r="O129" i="14"/>
  <c r="O125" i="14"/>
  <c r="O121" i="14"/>
  <c r="O117" i="14"/>
  <c r="O113" i="14"/>
  <c r="O109" i="14"/>
  <c r="O105" i="14"/>
  <c r="O160" i="14"/>
  <c r="O156" i="14"/>
  <c r="O152" i="14"/>
  <c r="O148" i="14"/>
  <c r="O144" i="14"/>
  <c r="O140" i="14"/>
  <c r="O136" i="14"/>
  <c r="O132" i="14"/>
  <c r="O128" i="14"/>
  <c r="O124" i="14"/>
  <c r="O159" i="14"/>
  <c r="O155" i="14"/>
  <c r="O151" i="14"/>
  <c r="O147" i="14"/>
  <c r="O143" i="14"/>
  <c r="O139" i="14"/>
  <c r="O135" i="14"/>
  <c r="O131" i="14"/>
  <c r="O127" i="14"/>
  <c r="O123" i="14"/>
  <c r="O119" i="14"/>
  <c r="O115" i="14"/>
  <c r="O111" i="14"/>
  <c r="O107" i="14"/>
  <c r="O120" i="14"/>
  <c r="O99" i="14"/>
  <c r="O95" i="14"/>
  <c r="O91" i="14"/>
  <c r="O87" i="14"/>
  <c r="O83" i="14"/>
  <c r="O79" i="14"/>
  <c r="O75" i="14"/>
  <c r="O71" i="14"/>
  <c r="O67" i="14"/>
  <c r="O63" i="14"/>
  <c r="O59" i="14"/>
  <c r="O55" i="14"/>
  <c r="O51" i="14"/>
  <c r="O47" i="14"/>
  <c r="O43" i="14"/>
  <c r="O108" i="14"/>
  <c r="O104" i="14"/>
  <c r="O103" i="14"/>
  <c r="O116" i="14"/>
  <c r="O102" i="14"/>
  <c r="O98" i="14"/>
  <c r="O94" i="14"/>
  <c r="O90" i="14"/>
  <c r="O86" i="14"/>
  <c r="O82" i="14"/>
  <c r="O78" i="14"/>
  <c r="O74" i="14"/>
  <c r="O70" i="14"/>
  <c r="O66" i="14"/>
  <c r="O62" i="14"/>
  <c r="O58" i="14"/>
  <c r="O54" i="14"/>
  <c r="O50" i="14"/>
  <c r="O46" i="14"/>
  <c r="O42" i="14"/>
  <c r="O112" i="14"/>
  <c r="O101" i="14"/>
  <c r="O97" i="14"/>
  <c r="O93" i="14"/>
  <c r="O89" i="14"/>
  <c r="O85" i="14"/>
  <c r="O81" i="14"/>
  <c r="O77" i="14"/>
  <c r="O73" i="14"/>
  <c r="O69" i="14"/>
  <c r="O65" i="14"/>
  <c r="O61" i="14"/>
  <c r="O57" i="14"/>
  <c r="O53" i="14"/>
  <c r="O49" i="14"/>
  <c r="O45" i="14"/>
  <c r="P157" i="14"/>
  <c r="P153" i="14"/>
  <c r="P149" i="14"/>
  <c r="P145" i="14"/>
  <c r="P141" i="14"/>
  <c r="P137" i="14"/>
  <c r="P133" i="14"/>
  <c r="P129" i="14"/>
  <c r="P125" i="14"/>
  <c r="P121" i="14"/>
  <c r="P117" i="14"/>
  <c r="P113" i="14"/>
  <c r="P109" i="14"/>
  <c r="P105" i="14"/>
  <c r="P160" i="14"/>
  <c r="P156" i="14"/>
  <c r="P152" i="14"/>
  <c r="P148" i="14"/>
  <c r="P144" i="14"/>
  <c r="P140" i="14"/>
  <c r="P136" i="14"/>
  <c r="P132" i="14"/>
  <c r="P128" i="14"/>
  <c r="P124" i="14"/>
  <c r="P120" i="14"/>
  <c r="P116" i="14"/>
  <c r="P112" i="14"/>
  <c r="P108" i="14"/>
  <c r="P104" i="14"/>
  <c r="P159" i="14"/>
  <c r="P155" i="14"/>
  <c r="P151" i="14"/>
  <c r="P147" i="14"/>
  <c r="P143" i="14"/>
  <c r="P139" i="14"/>
  <c r="P135" i="14"/>
  <c r="P131" i="14"/>
  <c r="P127" i="14"/>
  <c r="P123" i="14"/>
  <c r="P119" i="14"/>
  <c r="P115" i="14"/>
  <c r="P111" i="14"/>
  <c r="P107" i="14"/>
  <c r="P99" i="14"/>
  <c r="P95" i="14"/>
  <c r="P91" i="14"/>
  <c r="P87" i="14"/>
  <c r="P83" i="14"/>
  <c r="P79" i="14"/>
  <c r="P75" i="14"/>
  <c r="P71" i="14"/>
  <c r="P67" i="14"/>
  <c r="P63" i="14"/>
  <c r="P59" i="14"/>
  <c r="P55" i="14"/>
  <c r="P51" i="14"/>
  <c r="P47" i="14"/>
  <c r="P43" i="14"/>
  <c r="P122" i="14"/>
  <c r="P103" i="14"/>
  <c r="P126" i="14"/>
  <c r="P130" i="14"/>
  <c r="P118" i="14"/>
  <c r="P102" i="14"/>
  <c r="P98" i="14"/>
  <c r="P94" i="14"/>
  <c r="P90" i="14"/>
  <c r="P86" i="14"/>
  <c r="P82" i="14"/>
  <c r="P78" i="14"/>
  <c r="P74" i="14"/>
  <c r="P70" i="14"/>
  <c r="P66" i="14"/>
  <c r="P62" i="14"/>
  <c r="P58" i="14"/>
  <c r="P134" i="14"/>
  <c r="P138" i="14"/>
  <c r="P114" i="14"/>
  <c r="P142" i="14"/>
  <c r="P101" i="14"/>
  <c r="P97" i="14"/>
  <c r="P93" i="14"/>
  <c r="P89" i="14"/>
  <c r="P85" i="14"/>
  <c r="P81" i="14"/>
  <c r="P77" i="14"/>
  <c r="P73" i="14"/>
  <c r="P69" i="14"/>
  <c r="P65" i="14"/>
  <c r="P61" i="14"/>
  <c r="P57" i="14"/>
  <c r="P53" i="14"/>
  <c r="P49" i="14"/>
  <c r="P45" i="14"/>
  <c r="P41" i="14"/>
  <c r="P146" i="14"/>
  <c r="P150" i="14"/>
  <c r="P17" i="14"/>
  <c r="P21" i="14"/>
  <c r="P25" i="14"/>
  <c r="P29" i="14"/>
  <c r="P33" i="14"/>
  <c r="P37" i="14"/>
  <c r="P44" i="14"/>
  <c r="L47" i="14"/>
  <c r="P50" i="14"/>
  <c r="L59" i="14"/>
  <c r="N62" i="14"/>
  <c r="L64" i="14"/>
  <c r="L56" i="14"/>
  <c r="N18" i="14"/>
  <c r="N22" i="14"/>
  <c r="N26" i="14"/>
  <c r="N30" i="14"/>
  <c r="N34" i="14"/>
  <c r="N38" i="14"/>
  <c r="L52" i="14"/>
  <c r="T52" i="14"/>
  <c r="T55" i="14"/>
  <c r="O64" i="14"/>
  <c r="L125" i="14"/>
  <c r="T125" i="14"/>
  <c r="N135" i="14"/>
  <c r="L146" i="14"/>
  <c r="T146" i="14"/>
  <c r="P154" i="14"/>
  <c r="H16" i="14"/>
  <c r="O18" i="14"/>
  <c r="O22" i="14"/>
  <c r="O26" i="14"/>
  <c r="O30" i="14"/>
  <c r="O34" i="14"/>
  <c r="O38" i="14"/>
  <c r="L43" i="14"/>
  <c r="O52" i="14"/>
  <c r="L57" i="14"/>
  <c r="T61" i="14"/>
  <c r="P64" i="14"/>
  <c r="T66" i="14"/>
  <c r="L66" i="14"/>
  <c r="T17" i="14"/>
  <c r="P18" i="14"/>
  <c r="P22" i="14"/>
  <c r="P26" i="14"/>
  <c r="P30" i="14"/>
  <c r="P34" i="14"/>
  <c r="P38" i="14"/>
  <c r="T42" i="14"/>
  <c r="L42" i="14"/>
  <c r="N43" i="14"/>
  <c r="T46" i="14"/>
  <c r="L46" i="14"/>
  <c r="P52" i="14"/>
  <c r="L63" i="14"/>
  <c r="N66" i="14"/>
  <c r="L68" i="14"/>
  <c r="L72" i="14"/>
  <c r="L76" i="14"/>
  <c r="L80" i="14"/>
  <c r="L84" i="14"/>
  <c r="L88" i="14"/>
  <c r="L92" i="14"/>
  <c r="L96" i="14"/>
  <c r="L100" i="14"/>
  <c r="T152" i="14"/>
  <c r="L152" i="14"/>
  <c r="L87" i="14"/>
  <c r="N19" i="14"/>
  <c r="N23" i="14"/>
  <c r="N27" i="14"/>
  <c r="N31" i="14"/>
  <c r="N35" i="14"/>
  <c r="N39" i="14"/>
  <c r="T54" i="14"/>
  <c r="L54" i="14"/>
  <c r="T59" i="14"/>
  <c r="O68" i="14"/>
  <c r="T70" i="14"/>
  <c r="L70" i="14"/>
  <c r="O72" i="14"/>
  <c r="T74" i="14"/>
  <c r="L74" i="14"/>
  <c r="O76" i="14"/>
  <c r="T78" i="14"/>
  <c r="L78" i="14"/>
  <c r="O80" i="14"/>
  <c r="T82" i="14"/>
  <c r="L82" i="14"/>
  <c r="O84" i="14"/>
  <c r="T86" i="14"/>
  <c r="L86" i="14"/>
  <c r="O88" i="14"/>
  <c r="T90" i="14"/>
  <c r="L90" i="14"/>
  <c r="O92" i="14"/>
  <c r="T94" i="14"/>
  <c r="L94" i="14"/>
  <c r="O96" i="14"/>
  <c r="T98" i="14"/>
  <c r="L98" i="14"/>
  <c r="O100" i="14"/>
  <c r="T102" i="14"/>
  <c r="L102" i="14"/>
  <c r="L105" i="14"/>
  <c r="T105" i="14"/>
  <c r="L71" i="14"/>
  <c r="O19" i="14"/>
  <c r="O23" i="14"/>
  <c r="O27" i="14"/>
  <c r="O31" i="14"/>
  <c r="O35" i="14"/>
  <c r="O39" i="14"/>
  <c r="N46" i="14"/>
  <c r="N54" i="14"/>
  <c r="L61" i="14"/>
  <c r="T65" i="14"/>
  <c r="P68" i="14"/>
  <c r="P72" i="14"/>
  <c r="P76" i="14"/>
  <c r="P80" i="14"/>
  <c r="P84" i="14"/>
  <c r="P88" i="14"/>
  <c r="P92" i="14"/>
  <c r="P96" i="14"/>
  <c r="P100" i="14"/>
  <c r="P110" i="14"/>
  <c r="N115" i="14"/>
  <c r="T123" i="14"/>
  <c r="L123" i="14"/>
  <c r="L142" i="14"/>
  <c r="T142" i="14"/>
  <c r="T148" i="14"/>
  <c r="L148" i="14"/>
  <c r="T112" i="14"/>
  <c r="L112" i="14"/>
  <c r="L114" i="14"/>
  <c r="T114" i="14"/>
  <c r="L138" i="14"/>
  <c r="T138" i="14"/>
  <c r="T144" i="14"/>
  <c r="L144" i="14"/>
  <c r="T56" i="14"/>
  <c r="T60" i="14"/>
  <c r="T64" i="14"/>
  <c r="T68" i="14"/>
  <c r="T72" i="14"/>
  <c r="T76" i="14"/>
  <c r="T80" i="14"/>
  <c r="T84" i="14"/>
  <c r="T88" i="14"/>
  <c r="T92" i="14"/>
  <c r="T96" i="14"/>
  <c r="T100" i="14"/>
  <c r="T104" i="14"/>
  <c r="T108" i="14"/>
  <c r="L134" i="14"/>
  <c r="T134" i="14"/>
  <c r="T140" i="14"/>
  <c r="L140" i="14"/>
  <c r="L157" i="14"/>
  <c r="T159" i="14"/>
  <c r="T116" i="14"/>
  <c r="L116" i="14"/>
  <c r="L118" i="14"/>
  <c r="T118" i="14"/>
  <c r="L130" i="14"/>
  <c r="T130" i="14"/>
  <c r="T136" i="14"/>
  <c r="L136" i="14"/>
  <c r="L153" i="14"/>
  <c r="T155" i="14"/>
  <c r="T107" i="14"/>
  <c r="T111" i="14"/>
  <c r="L126" i="14"/>
  <c r="T126" i="14"/>
  <c r="T132" i="14"/>
  <c r="L132" i="14"/>
  <c r="L149" i="14"/>
  <c r="T151" i="14"/>
  <c r="L159" i="14"/>
  <c r="T120" i="14"/>
  <c r="L120" i="14"/>
  <c r="L122" i="14"/>
  <c r="T122" i="14"/>
  <c r="T128" i="14"/>
  <c r="L128" i="14"/>
  <c r="L145" i="14"/>
  <c r="T147" i="14"/>
  <c r="L155" i="14"/>
  <c r="L113" i="14"/>
  <c r="T124" i="14"/>
  <c r="L124" i="14"/>
  <c r="L141" i="14"/>
  <c r="T143" i="14"/>
  <c r="T153" i="14"/>
  <c r="L106" i="14"/>
  <c r="L110" i="14"/>
  <c r="T115" i="14"/>
  <c r="L137" i="14"/>
  <c r="T139" i="14"/>
  <c r="L147" i="14"/>
  <c r="L117" i="14"/>
  <c r="L133" i="14"/>
  <c r="T135" i="14"/>
  <c r="L143" i="14"/>
  <c r="T145" i="14"/>
  <c r="L158" i="14"/>
  <c r="T158" i="14"/>
  <c r="L115" i="14"/>
  <c r="T119" i="14"/>
  <c r="L129" i="14"/>
  <c r="T131" i="14"/>
  <c r="L139" i="14"/>
  <c r="T141" i="14"/>
  <c r="L154" i="14"/>
  <c r="T154" i="14"/>
  <c r="T160" i="14"/>
  <c r="P16" i="10"/>
  <c r="O16" i="10"/>
  <c r="S52" i="10"/>
  <c r="R52" i="10"/>
  <c r="U13" i="10"/>
  <c r="U52" i="10" s="1"/>
  <c r="T13" i="10"/>
  <c r="T52" i="10" s="1"/>
  <c r="M21" i="13"/>
  <c r="L21" i="13"/>
  <c r="X37" i="9"/>
  <c r="Y37" i="9"/>
  <c r="Z37" i="9"/>
  <c r="X38" i="9"/>
  <c r="Y38" i="9"/>
  <c r="Z38" i="9"/>
  <c r="X39" i="9"/>
  <c r="Y39" i="9"/>
  <c r="Z39" i="9"/>
  <c r="W39" i="9"/>
  <c r="W38" i="9"/>
  <c r="W37" i="9"/>
  <c r="C14" i="13"/>
  <c r="B4" i="13" s="1"/>
  <c r="B14" i="13"/>
  <c r="D14" i="13"/>
  <c r="E14" i="13"/>
  <c r="C4" i="13" s="1"/>
  <c r="B15" i="13"/>
  <c r="C15" i="13"/>
  <c r="D15" i="13"/>
  <c r="E15" i="13"/>
  <c r="G15" i="13"/>
  <c r="H15" i="13"/>
  <c r="I15" i="13"/>
  <c r="J15" i="13"/>
  <c r="B16" i="13"/>
  <c r="C16" i="13"/>
  <c r="D16" i="13"/>
  <c r="E16" i="13"/>
  <c r="G16" i="13"/>
  <c r="H16" i="13"/>
  <c r="I16" i="13"/>
  <c r="J16" i="13"/>
  <c r="G14" i="13"/>
  <c r="H14" i="13"/>
  <c r="E4" i="13" s="1"/>
  <c r="I14" i="13"/>
  <c r="J14" i="13"/>
  <c r="R38" i="9"/>
  <c r="S38" i="9"/>
  <c r="T38" i="9"/>
  <c r="U38" i="9"/>
  <c r="R39" i="9"/>
  <c r="S39" i="9"/>
  <c r="T39" i="9"/>
  <c r="U39" i="9"/>
  <c r="S37" i="9"/>
  <c r="T37" i="9"/>
  <c r="U37" i="9"/>
  <c r="R37" i="9"/>
  <c r="U17" i="10" l="1"/>
  <c r="P17" i="10" s="1"/>
  <c r="T106" i="14"/>
  <c r="T101" i="14"/>
  <c r="T71" i="14"/>
  <c r="T17" i="10"/>
  <c r="O17" i="10" s="1"/>
  <c r="E10" i="14"/>
  <c r="C3" i="14" s="1"/>
  <c r="B3" i="14"/>
  <c r="D10" i="14"/>
  <c r="T103" i="14"/>
  <c r="L60" i="14"/>
  <c r="F10" i="14"/>
  <c r="D3" i="14" s="1"/>
  <c r="T121" i="14"/>
  <c r="L67" i="14"/>
  <c r="L91" i="14"/>
  <c r="L29" i="14"/>
  <c r="T150" i="14"/>
  <c r="L38" i="14"/>
  <c r="L62" i="14"/>
  <c r="L55" i="14"/>
  <c r="T97" i="14"/>
  <c r="T37" i="14"/>
  <c r="T62" i="14"/>
  <c r="T99" i="14"/>
  <c r="L53" i="14"/>
  <c r="T85" i="14"/>
  <c r="T20" i="14"/>
  <c r="T81" i="14"/>
  <c r="T75" i="14"/>
  <c r="T91" i="14"/>
  <c r="L37" i="14"/>
  <c r="T77" i="14"/>
  <c r="T28" i="14"/>
  <c r="T83" i="14"/>
  <c r="T73" i="14"/>
  <c r="L83" i="14"/>
  <c r="T43" i="14"/>
  <c r="T79" i="14"/>
  <c r="L33" i="14"/>
  <c r="T48" i="14"/>
  <c r="L58" i="14"/>
  <c r="L103" i="14"/>
  <c r="L22" i="14"/>
  <c r="T67" i="14"/>
  <c r="L48" i="14"/>
  <c r="T58" i="14"/>
  <c r="L95" i="14"/>
  <c r="T38" i="14"/>
  <c r="N12" i="14"/>
  <c r="N9" i="14" s="1"/>
  <c r="B5" i="14" s="1"/>
  <c r="T49" i="14"/>
  <c r="T19" i="14"/>
  <c r="T39" i="14"/>
  <c r="T36" i="14"/>
  <c r="L19" i="14"/>
  <c r="H12" i="14"/>
  <c r="S16" i="14" s="1"/>
  <c r="H13" i="14"/>
  <c r="H14" i="14"/>
  <c r="C6" i="14" s="1"/>
  <c r="T93" i="14"/>
  <c r="T69" i="14"/>
  <c r="L99" i="14"/>
  <c r="T35" i="14"/>
  <c r="T32" i="14"/>
  <c r="L39" i="14"/>
  <c r="T34" i="14"/>
  <c r="T41" i="14"/>
  <c r="T21" i="14"/>
  <c r="L35" i="14"/>
  <c r="L30" i="14"/>
  <c r="L34" i="14"/>
  <c r="T33" i="14"/>
  <c r="L17" i="14"/>
  <c r="T89" i="14"/>
  <c r="L23" i="14"/>
  <c r="T30" i="14"/>
  <c r="T24" i="14"/>
  <c r="T31" i="14"/>
  <c r="P12" i="14"/>
  <c r="P9" i="14" s="1"/>
  <c r="D5" i="14" s="1"/>
  <c r="L18" i="14"/>
  <c r="T16" i="14"/>
  <c r="L31" i="14"/>
  <c r="T29" i="14"/>
  <c r="G14" i="14"/>
  <c r="L26" i="14"/>
  <c r="T18" i="14"/>
  <c r="T25" i="14"/>
  <c r="T27" i="14"/>
  <c r="G13" i="14"/>
  <c r="O12" i="14"/>
  <c r="O9" i="14" s="1"/>
  <c r="C5" i="14" s="1"/>
  <c r="T149" i="14"/>
  <c r="L151" i="14"/>
  <c r="L111" i="14"/>
  <c r="L107" i="14"/>
  <c r="T157" i="14"/>
  <c r="L108" i="14"/>
  <c r="L104" i="14"/>
  <c r="T110" i="14"/>
  <c r="T129" i="14"/>
  <c r="T117" i="14"/>
  <c r="L131" i="14"/>
  <c r="L32" i="14"/>
  <c r="L20" i="14"/>
  <c r="L24" i="14"/>
  <c r="T133" i="14"/>
  <c r="L49" i="14"/>
  <c r="L119" i="14"/>
  <c r="L135" i="14"/>
  <c r="L45" i="14"/>
  <c r="T137" i="14"/>
  <c r="L101" i="14"/>
  <c r="L97" i="14"/>
  <c r="L93" i="14"/>
  <c r="L89" i="14"/>
  <c r="L85" i="14"/>
  <c r="L81" i="14"/>
  <c r="L77" i="14"/>
  <c r="L73" i="14"/>
  <c r="L69" i="14"/>
  <c r="T40" i="14"/>
  <c r="L16" i="14"/>
  <c r="T63" i="14"/>
  <c r="L51" i="14"/>
  <c r="L28" i="14"/>
  <c r="T113" i="14"/>
  <c r="L65" i="14"/>
  <c r="T51" i="14"/>
  <c r="L40" i="14"/>
  <c r="L36" i="14"/>
  <c r="L41" i="14"/>
  <c r="L27" i="14"/>
  <c r="T53" i="14"/>
  <c r="T156" i="14"/>
  <c r="L79" i="14"/>
  <c r="L150" i="14"/>
  <c r="T22" i="14"/>
  <c r="G12" i="14"/>
  <c r="T87" i="14"/>
  <c r="T47" i="14"/>
  <c r="AA37" i="9"/>
  <c r="D4" i="13"/>
  <c r="R28" i="9"/>
  <c r="S28" i="9"/>
  <c r="T28" i="9" s="1"/>
  <c r="U28" i="9"/>
  <c r="V28" i="9"/>
  <c r="R29" i="9"/>
  <c r="S29" i="9"/>
  <c r="U29" i="9"/>
  <c r="U30" i="9" s="1"/>
  <c r="X9" i="9" s="1"/>
  <c r="V29" i="9"/>
  <c r="V30" i="9" s="1"/>
  <c r="Y9" i="9" s="1"/>
  <c r="S27" i="9"/>
  <c r="R27" i="9"/>
  <c r="F5" i="13"/>
  <c r="F6" i="13"/>
  <c r="F4" i="13"/>
  <c r="E5" i="13"/>
  <c r="E6" i="13"/>
  <c r="B5" i="13"/>
  <c r="C5" i="13"/>
  <c r="B6" i="13"/>
  <c r="C6" i="13"/>
  <c r="U18" i="10" l="1"/>
  <c r="T18" i="10"/>
  <c r="J19" i="14"/>
  <c r="J16" i="14"/>
  <c r="K157" i="14"/>
  <c r="K153" i="14"/>
  <c r="K149" i="14"/>
  <c r="K145" i="14"/>
  <c r="K141" i="14"/>
  <c r="K137" i="14"/>
  <c r="K133" i="14"/>
  <c r="K129" i="14"/>
  <c r="K125" i="14"/>
  <c r="K113" i="14"/>
  <c r="K121" i="14"/>
  <c r="S119" i="14"/>
  <c r="S51" i="14"/>
  <c r="K117" i="14"/>
  <c r="S107" i="14"/>
  <c r="K61" i="14"/>
  <c r="S43" i="14"/>
  <c r="K49" i="14"/>
  <c r="K57" i="14"/>
  <c r="K38" i="14"/>
  <c r="K34" i="14"/>
  <c r="K30" i="14"/>
  <c r="K26" i="14"/>
  <c r="K65" i="14"/>
  <c r="K101" i="14"/>
  <c r="K97" i="14"/>
  <c r="K93" i="14"/>
  <c r="K89" i="14"/>
  <c r="K85" i="14"/>
  <c r="K81" i="14"/>
  <c r="K77" i="14"/>
  <c r="K73" i="14"/>
  <c r="K69" i="14"/>
  <c r="K45" i="14"/>
  <c r="S67" i="14"/>
  <c r="K53" i="14"/>
  <c r="S63" i="14"/>
  <c r="S115" i="14"/>
  <c r="S38" i="14"/>
  <c r="K33" i="14"/>
  <c r="K20" i="14"/>
  <c r="K27" i="14"/>
  <c r="K23" i="14"/>
  <c r="S60" i="14"/>
  <c r="K150" i="14"/>
  <c r="S27" i="14"/>
  <c r="S64" i="14"/>
  <c r="S95" i="14"/>
  <c r="S62" i="14"/>
  <c r="S112" i="14"/>
  <c r="S144" i="14"/>
  <c r="K116" i="14"/>
  <c r="S159" i="14"/>
  <c r="K109" i="14"/>
  <c r="S120" i="14"/>
  <c r="S151" i="14"/>
  <c r="K135" i="14"/>
  <c r="K24" i="14"/>
  <c r="S29" i="14"/>
  <c r="S20" i="14"/>
  <c r="S22" i="14"/>
  <c r="S23" i="14"/>
  <c r="K55" i="14"/>
  <c r="K106" i="14"/>
  <c r="S69" i="14"/>
  <c r="S97" i="14"/>
  <c r="K43" i="14"/>
  <c r="K62" i="14"/>
  <c r="K75" i="14"/>
  <c r="K112" i="14"/>
  <c r="S59" i="14"/>
  <c r="S78" i="14"/>
  <c r="S94" i="14"/>
  <c r="K144" i="14"/>
  <c r="S121" i="14"/>
  <c r="K114" i="14"/>
  <c r="K155" i="14"/>
  <c r="K120" i="14"/>
  <c r="K108" i="14"/>
  <c r="K139" i="14"/>
  <c r="S135" i="14"/>
  <c r="K158" i="14"/>
  <c r="S122" i="14"/>
  <c r="S24" i="14"/>
  <c r="S21" i="14"/>
  <c r="K29" i="14"/>
  <c r="S25" i="14"/>
  <c r="K79" i="14"/>
  <c r="K95" i="14"/>
  <c r="S53" i="14"/>
  <c r="S31" i="14"/>
  <c r="S106" i="14"/>
  <c r="S73" i="14"/>
  <c r="S99" i="14"/>
  <c r="S58" i="14"/>
  <c r="K72" i="14"/>
  <c r="K84" i="14"/>
  <c r="K96" i="14"/>
  <c r="S47" i="14"/>
  <c r="S42" i="14"/>
  <c r="S61" i="14"/>
  <c r="K78" i="14"/>
  <c r="K94" i="14"/>
  <c r="S114" i="14"/>
  <c r="S155" i="14"/>
  <c r="K147" i="14"/>
  <c r="K143" i="14"/>
  <c r="S139" i="14"/>
  <c r="S126" i="14"/>
  <c r="K21" i="14"/>
  <c r="S34" i="14"/>
  <c r="K25" i="14"/>
  <c r="K28" i="14"/>
  <c r="S77" i="14"/>
  <c r="S101" i="14"/>
  <c r="K71" i="14"/>
  <c r="K59" i="14"/>
  <c r="K58" i="14"/>
  <c r="S72" i="14"/>
  <c r="S84" i="14"/>
  <c r="S96" i="14"/>
  <c r="S49" i="14"/>
  <c r="S133" i="14"/>
  <c r="S41" i="14"/>
  <c r="S125" i="14"/>
  <c r="S147" i="14"/>
  <c r="S143" i="14"/>
  <c r="S130" i="14"/>
  <c r="K32" i="14"/>
  <c r="S28" i="14"/>
  <c r="S35" i="14"/>
  <c r="S79" i="14"/>
  <c r="S65" i="14"/>
  <c r="S55" i="14"/>
  <c r="S82" i="14"/>
  <c r="S98" i="14"/>
  <c r="S136" i="14"/>
  <c r="S128" i="14"/>
  <c r="K118" i="14"/>
  <c r="S111" i="14"/>
  <c r="S137" i="14"/>
  <c r="S134" i="14"/>
  <c r="K19" i="14"/>
  <c r="S71" i="14"/>
  <c r="S32" i="14"/>
  <c r="K83" i="14"/>
  <c r="K99" i="14"/>
  <c r="S129" i="14"/>
  <c r="S50" i="14"/>
  <c r="S81" i="14"/>
  <c r="K18" i="14"/>
  <c r="S57" i="14"/>
  <c r="K154" i="14"/>
  <c r="S46" i="14"/>
  <c r="K82" i="14"/>
  <c r="K98" i="14"/>
  <c r="K48" i="14"/>
  <c r="K67" i="14"/>
  <c r="K136" i="14"/>
  <c r="K128" i="14"/>
  <c r="S118" i="14"/>
  <c r="S113" i="14"/>
  <c r="S141" i="14"/>
  <c r="S138" i="14"/>
  <c r="S19" i="14"/>
  <c r="K39" i="14"/>
  <c r="S39" i="14"/>
  <c r="K50" i="14"/>
  <c r="S83" i="14"/>
  <c r="K76" i="14"/>
  <c r="K88" i="14"/>
  <c r="K100" i="14"/>
  <c r="K46" i="14"/>
  <c r="S48" i="14"/>
  <c r="S140" i="14"/>
  <c r="S132" i="14"/>
  <c r="K107" i="14"/>
  <c r="S124" i="14"/>
  <c r="S142" i="14"/>
  <c r="K36" i="14"/>
  <c r="S75" i="14"/>
  <c r="S37" i="14"/>
  <c r="S30" i="14"/>
  <c r="S148" i="14"/>
  <c r="S85" i="14"/>
  <c r="K22" i="14"/>
  <c r="S76" i="14"/>
  <c r="S88" i="14"/>
  <c r="S100" i="14"/>
  <c r="K51" i="14"/>
  <c r="S70" i="14"/>
  <c r="S86" i="14"/>
  <c r="S102" i="14"/>
  <c r="K140" i="14"/>
  <c r="K132" i="14"/>
  <c r="K111" i="14"/>
  <c r="K124" i="14"/>
  <c r="K115" i="14"/>
  <c r="S145" i="14"/>
  <c r="S146" i="14"/>
  <c r="S36" i="14"/>
  <c r="S26" i="14"/>
  <c r="K37" i="14"/>
  <c r="K87" i="14"/>
  <c r="K103" i="14"/>
  <c r="K44" i="14"/>
  <c r="K148" i="14"/>
  <c r="S87" i="14"/>
  <c r="K52" i="14"/>
  <c r="S54" i="14"/>
  <c r="K70" i="14"/>
  <c r="K86" i="14"/>
  <c r="K102" i="14"/>
  <c r="K123" i="14"/>
  <c r="K41" i="14"/>
  <c r="S104" i="14"/>
  <c r="K142" i="14"/>
  <c r="K134" i="14"/>
  <c r="S149" i="14"/>
  <c r="K119" i="14"/>
  <c r="S150" i="14"/>
  <c r="S17" i="14"/>
  <c r="K40" i="14"/>
  <c r="S103" i="14"/>
  <c r="S44" i="14"/>
  <c r="S89" i="14"/>
  <c r="S52" i="14"/>
  <c r="S66" i="14"/>
  <c r="K54" i="14"/>
  <c r="K110" i="14"/>
  <c r="S123" i="14"/>
  <c r="K42" i="14"/>
  <c r="S105" i="14"/>
  <c r="S157" i="14"/>
  <c r="S153" i="14"/>
  <c r="K122" i="14"/>
  <c r="K127" i="14"/>
  <c r="S152" i="14"/>
  <c r="S154" i="14"/>
  <c r="K35" i="14"/>
  <c r="K92" i="14"/>
  <c r="S74" i="14"/>
  <c r="S117" i="14"/>
  <c r="S109" i="14"/>
  <c r="K131" i="14"/>
  <c r="S158" i="14"/>
  <c r="K60" i="14"/>
  <c r="S92" i="14"/>
  <c r="K74" i="14"/>
  <c r="K138" i="14"/>
  <c r="S131" i="14"/>
  <c r="S80" i="14"/>
  <c r="K104" i="14"/>
  <c r="S127" i="14"/>
  <c r="S91" i="14"/>
  <c r="S93" i="14"/>
  <c r="K31" i="14"/>
  <c r="K66" i="14"/>
  <c r="K146" i="14"/>
  <c r="K159" i="14"/>
  <c r="K91" i="14"/>
  <c r="S45" i="14"/>
  <c r="K63" i="14"/>
  <c r="K56" i="14"/>
  <c r="S90" i="14"/>
  <c r="S156" i="14"/>
  <c r="S108" i="14"/>
  <c r="S40" i="14"/>
  <c r="S56" i="14"/>
  <c r="K90" i="14"/>
  <c r="K130" i="14"/>
  <c r="K156" i="14"/>
  <c r="K152" i="14"/>
  <c r="K80" i="14"/>
  <c r="K17" i="14"/>
  <c r="S18" i="14"/>
  <c r="K47" i="14"/>
  <c r="K68" i="14"/>
  <c r="K151" i="14"/>
  <c r="K126" i="14"/>
  <c r="S116" i="14"/>
  <c r="S160" i="14"/>
  <c r="S110" i="14"/>
  <c r="K64" i="14"/>
  <c r="S68" i="14"/>
  <c r="K105" i="14"/>
  <c r="S33" i="14"/>
  <c r="K16" i="14"/>
  <c r="L11" i="14"/>
  <c r="L10" i="14" s="1"/>
  <c r="L9" i="14" s="1"/>
  <c r="D8" i="14" s="1"/>
  <c r="T12" i="14"/>
  <c r="T9" i="14" s="1"/>
  <c r="D7" i="14" s="1"/>
  <c r="J128" i="14"/>
  <c r="J120" i="14"/>
  <c r="R134" i="14"/>
  <c r="J132" i="14"/>
  <c r="J103" i="14"/>
  <c r="J99" i="14"/>
  <c r="J95" i="14"/>
  <c r="J91" i="14"/>
  <c r="J87" i="14"/>
  <c r="J83" i="14"/>
  <c r="J79" i="14"/>
  <c r="J75" i="14"/>
  <c r="J71" i="14"/>
  <c r="R146" i="14"/>
  <c r="R150" i="14"/>
  <c r="J148" i="14"/>
  <c r="R154" i="14"/>
  <c r="J152" i="14"/>
  <c r="J63" i="14"/>
  <c r="J51" i="14"/>
  <c r="R49" i="14"/>
  <c r="J59" i="14"/>
  <c r="R106" i="14"/>
  <c r="J55" i="14"/>
  <c r="J47" i="14"/>
  <c r="J156" i="14"/>
  <c r="R158" i="14"/>
  <c r="R65" i="14"/>
  <c r="R40" i="14"/>
  <c r="J67" i="14"/>
  <c r="R110" i="14"/>
  <c r="R61" i="14"/>
  <c r="R27" i="14"/>
  <c r="R22" i="14"/>
  <c r="J93" i="14"/>
  <c r="R79" i="14"/>
  <c r="R103" i="14"/>
  <c r="J22" i="14"/>
  <c r="J38" i="14"/>
  <c r="R46" i="14"/>
  <c r="J127" i="14"/>
  <c r="J52" i="14"/>
  <c r="R70" i="14"/>
  <c r="R82" i="14"/>
  <c r="R94" i="14"/>
  <c r="J110" i="14"/>
  <c r="R57" i="14"/>
  <c r="J58" i="14"/>
  <c r="R73" i="14"/>
  <c r="R72" i="14"/>
  <c r="R116" i="14"/>
  <c r="R130" i="14"/>
  <c r="R147" i="14"/>
  <c r="R18" i="14"/>
  <c r="R17" i="14"/>
  <c r="R25" i="14"/>
  <c r="R93" i="14"/>
  <c r="R24" i="14"/>
  <c r="R52" i="14"/>
  <c r="J70" i="14"/>
  <c r="J82" i="14"/>
  <c r="J94" i="14"/>
  <c r="J43" i="14"/>
  <c r="R125" i="14"/>
  <c r="J41" i="14"/>
  <c r="J56" i="14"/>
  <c r="R76" i="14"/>
  <c r="J118" i="14"/>
  <c r="J136" i="14"/>
  <c r="R133" i="14"/>
  <c r="R151" i="14"/>
  <c r="J25" i="14"/>
  <c r="J20" i="14"/>
  <c r="R83" i="14"/>
  <c r="R66" i="14"/>
  <c r="R54" i="14"/>
  <c r="J119" i="14"/>
  <c r="J125" i="14"/>
  <c r="R63" i="14"/>
  <c r="R56" i="14"/>
  <c r="R80" i="14"/>
  <c r="J123" i="14"/>
  <c r="J130" i="14"/>
  <c r="J122" i="14"/>
  <c r="R137" i="14"/>
  <c r="J133" i="14"/>
  <c r="R155" i="14"/>
  <c r="R26" i="14"/>
  <c r="J36" i="14"/>
  <c r="R23" i="14"/>
  <c r="J81" i="14"/>
  <c r="J97" i="14"/>
  <c r="R62" i="14"/>
  <c r="J26" i="14"/>
  <c r="J66" i="14"/>
  <c r="J54" i="14"/>
  <c r="J138" i="14"/>
  <c r="J68" i="14"/>
  <c r="R105" i="14"/>
  <c r="R84" i="14"/>
  <c r="R132" i="14"/>
  <c r="R120" i="14"/>
  <c r="R124" i="14"/>
  <c r="R157" i="14"/>
  <c r="J116" i="14"/>
  <c r="J107" i="14"/>
  <c r="J137" i="14"/>
  <c r="J135" i="14"/>
  <c r="R159" i="14"/>
  <c r="R53" i="14"/>
  <c r="J39" i="14"/>
  <c r="J17" i="14"/>
  <c r="R37" i="14"/>
  <c r="J32" i="14"/>
  <c r="J23" i="14"/>
  <c r="R81" i="14"/>
  <c r="R97" i="14"/>
  <c r="J62" i="14"/>
  <c r="R50" i="14"/>
  <c r="R87" i="14"/>
  <c r="R28" i="14"/>
  <c r="R47" i="14"/>
  <c r="R74" i="14"/>
  <c r="R86" i="14"/>
  <c r="R98" i="14"/>
  <c r="R138" i="14"/>
  <c r="J45" i="14"/>
  <c r="J72" i="14"/>
  <c r="R144" i="14"/>
  <c r="J65" i="14"/>
  <c r="J48" i="14"/>
  <c r="J46" i="14"/>
  <c r="J105" i="14"/>
  <c r="R88" i="14"/>
  <c r="J134" i="14"/>
  <c r="J126" i="14"/>
  <c r="J157" i="14"/>
  <c r="R107" i="14"/>
  <c r="R141" i="14"/>
  <c r="J139" i="14"/>
  <c r="R115" i="14"/>
  <c r="R39" i="14"/>
  <c r="J37" i="14"/>
  <c r="J35" i="14"/>
  <c r="R30" i="14"/>
  <c r="R67" i="14"/>
  <c r="J50" i="14"/>
  <c r="J60" i="14"/>
  <c r="J49" i="14"/>
  <c r="J74" i="14"/>
  <c r="J86" i="14"/>
  <c r="J98" i="14"/>
  <c r="J76" i="14"/>
  <c r="J144" i="14"/>
  <c r="R48" i="14"/>
  <c r="R108" i="14"/>
  <c r="R92" i="14"/>
  <c r="R136" i="14"/>
  <c r="R128" i="14"/>
  <c r="J159" i="14"/>
  <c r="J111" i="14"/>
  <c r="R145" i="14"/>
  <c r="J141" i="14"/>
  <c r="R119" i="14"/>
  <c r="J28" i="14"/>
  <c r="R34" i="14"/>
  <c r="R35" i="14"/>
  <c r="J85" i="14"/>
  <c r="J101" i="14"/>
  <c r="J69" i="14"/>
  <c r="R60" i="14"/>
  <c r="R91" i="14"/>
  <c r="J114" i="14"/>
  <c r="R16" i="14"/>
  <c r="J30" i="14"/>
  <c r="J64" i="14"/>
  <c r="J80" i="14"/>
  <c r="J77" i="14"/>
  <c r="J108" i="14"/>
  <c r="R96" i="14"/>
  <c r="R153" i="14"/>
  <c r="R111" i="14"/>
  <c r="R149" i="14"/>
  <c r="J145" i="14"/>
  <c r="J143" i="14"/>
  <c r="J115" i="14"/>
  <c r="R117" i="14"/>
  <c r="R123" i="14"/>
  <c r="R85" i="14"/>
  <c r="R101" i="14"/>
  <c r="R69" i="14"/>
  <c r="R114" i="14"/>
  <c r="R32" i="14"/>
  <c r="R64" i="14"/>
  <c r="J61" i="14"/>
  <c r="R59" i="14"/>
  <c r="J84" i="14"/>
  <c r="R77" i="14"/>
  <c r="R51" i="14"/>
  <c r="R100" i="14"/>
  <c r="J153" i="14"/>
  <c r="J149" i="14"/>
  <c r="J147" i="14"/>
  <c r="R113" i="14"/>
  <c r="J117" i="14"/>
  <c r="J146" i="14"/>
  <c r="R127" i="14"/>
  <c r="J31" i="14"/>
  <c r="R21" i="14"/>
  <c r="J42" i="14"/>
  <c r="R33" i="14"/>
  <c r="R71" i="14"/>
  <c r="R95" i="14"/>
  <c r="R121" i="14"/>
  <c r="J18" i="14"/>
  <c r="R43" i="14"/>
  <c r="R78" i="14"/>
  <c r="R90" i="14"/>
  <c r="R102" i="14"/>
  <c r="J88" i="14"/>
  <c r="J53" i="14"/>
  <c r="J155" i="14"/>
  <c r="J151" i="14"/>
  <c r="R118" i="14"/>
  <c r="J113" i="14"/>
  <c r="J150" i="14"/>
  <c r="R148" i="14"/>
  <c r="R131" i="14"/>
  <c r="R38" i="14"/>
  <c r="J29" i="14"/>
  <c r="R31" i="14"/>
  <c r="R41" i="14"/>
  <c r="J21" i="14"/>
  <c r="J44" i="14"/>
  <c r="J33" i="14"/>
  <c r="J89" i="14"/>
  <c r="J106" i="14"/>
  <c r="R42" i="14"/>
  <c r="J57" i="14"/>
  <c r="J121" i="14"/>
  <c r="J34" i="14"/>
  <c r="J78" i="14"/>
  <c r="J90" i="14"/>
  <c r="J102" i="14"/>
  <c r="J92" i="14"/>
  <c r="J154" i="14"/>
  <c r="R122" i="14"/>
  <c r="R152" i="14"/>
  <c r="R135" i="14"/>
  <c r="J40" i="14"/>
  <c r="R58" i="14"/>
  <c r="R160" i="14"/>
  <c r="J124" i="14"/>
  <c r="R36" i="14"/>
  <c r="R29" i="14"/>
  <c r="R44" i="14"/>
  <c r="R75" i="14"/>
  <c r="R140" i="14"/>
  <c r="R109" i="14"/>
  <c r="R89" i="14"/>
  <c r="J140" i="14"/>
  <c r="R104" i="14"/>
  <c r="J109" i="14"/>
  <c r="J96" i="14"/>
  <c r="J100" i="14"/>
  <c r="R139" i="14"/>
  <c r="R143" i="14"/>
  <c r="J24" i="14"/>
  <c r="R45" i="14"/>
  <c r="J104" i="14"/>
  <c r="J27" i="14"/>
  <c r="J142" i="14"/>
  <c r="R126" i="14"/>
  <c r="R142" i="14"/>
  <c r="R99" i="14"/>
  <c r="R55" i="14"/>
  <c r="J131" i="14"/>
  <c r="R68" i="14"/>
  <c r="R20" i="14"/>
  <c r="R112" i="14"/>
  <c r="J73" i="14"/>
  <c r="J129" i="14"/>
  <c r="J112" i="14"/>
  <c r="R156" i="14"/>
  <c r="R129" i="14"/>
  <c r="J158" i="14"/>
  <c r="B6" i="14"/>
  <c r="R19" i="14"/>
  <c r="N6" i="13"/>
  <c r="N8" i="13" s="1"/>
  <c r="N9" i="13" s="1"/>
  <c r="N10" i="13" s="1"/>
  <c r="D6" i="13"/>
  <c r="H6" i="13" s="1"/>
  <c r="P6" i="13"/>
  <c r="P8" i="13" s="1"/>
  <c r="P9" i="13" s="1"/>
  <c r="P10" i="13" s="1"/>
  <c r="G4" i="13"/>
  <c r="W29" i="9"/>
  <c r="T29" i="9"/>
  <c r="T31" i="9" s="1"/>
  <c r="W30" i="9"/>
  <c r="S30" i="9"/>
  <c r="R30" i="9"/>
  <c r="Q6" i="13"/>
  <c r="Q8" i="13" s="1"/>
  <c r="Q9" i="13" s="1"/>
  <c r="Q10" i="13" s="1"/>
  <c r="R10" i="13" s="1"/>
  <c r="R11" i="13" s="1"/>
  <c r="G5" i="13"/>
  <c r="D5" i="13"/>
  <c r="G6" i="13"/>
  <c r="M6" i="13"/>
  <c r="M8" i="13" s="1"/>
  <c r="M9" i="13" s="1"/>
  <c r="M10" i="13" s="1"/>
  <c r="W28" i="9"/>
  <c r="T27" i="9"/>
  <c r="D7" i="13"/>
  <c r="Z19" i="9"/>
  <c r="Y19" i="9" s="1"/>
  <c r="J4" i="13" l="1"/>
  <c r="D8" i="13"/>
  <c r="O18" i="10"/>
  <c r="T19" i="10"/>
  <c r="P18" i="10"/>
  <c r="U19" i="10"/>
  <c r="S12" i="14"/>
  <c r="S9" i="14" s="1"/>
  <c r="C7" i="14" s="1"/>
  <c r="J11" i="14"/>
  <c r="J10" i="14" s="1"/>
  <c r="J9" i="14" s="1"/>
  <c r="B8" i="14" s="1"/>
  <c r="R12" i="14"/>
  <c r="R9" i="14" s="1"/>
  <c r="B7" i="14" s="1"/>
  <c r="K11" i="14"/>
  <c r="K10" i="14" s="1"/>
  <c r="K9" i="14" s="1"/>
  <c r="C8" i="14" s="1"/>
  <c r="W31" i="9"/>
  <c r="O10" i="13"/>
  <c r="O11" i="13" s="1"/>
  <c r="G8" i="13"/>
  <c r="I4" i="13"/>
  <c r="X29" i="9"/>
  <c r="Y29" i="9"/>
  <c r="T30" i="9"/>
  <c r="G7" i="13"/>
  <c r="I6" i="13"/>
  <c r="AU3" i="8"/>
  <c r="AU4" i="8"/>
  <c r="AU5" i="8"/>
  <c r="AU6" i="8"/>
  <c r="AU7" i="8"/>
  <c r="AU8" i="8"/>
  <c r="AU9" i="8"/>
  <c r="AU10" i="8"/>
  <c r="AU11" i="8"/>
  <c r="AU12" i="8"/>
  <c r="AU13" i="8"/>
  <c r="AU14" i="8"/>
  <c r="AU15" i="8"/>
  <c r="AU16" i="8"/>
  <c r="AU17" i="8"/>
  <c r="AU18" i="8"/>
  <c r="AU19" i="8"/>
  <c r="AU20" i="8"/>
  <c r="AU21" i="8"/>
  <c r="AU22" i="8"/>
  <c r="AU23" i="8"/>
  <c r="AU24" i="8"/>
  <c r="AU25" i="8"/>
  <c r="AU26" i="8"/>
  <c r="AU27" i="8"/>
  <c r="AU28" i="8"/>
  <c r="AU29" i="8"/>
  <c r="AU30" i="8"/>
  <c r="AU31" i="8"/>
  <c r="AU32" i="8"/>
  <c r="AU33" i="8"/>
  <c r="AU34" i="8"/>
  <c r="AU35" i="8"/>
  <c r="AU36" i="8"/>
  <c r="AU37" i="8"/>
  <c r="AU38" i="8"/>
  <c r="AU39" i="8"/>
  <c r="AU40" i="8"/>
  <c r="AU41" i="8"/>
  <c r="AU42" i="8"/>
  <c r="AU43" i="8"/>
  <c r="AU44" i="8"/>
  <c r="AU45" i="8"/>
  <c r="AU46" i="8"/>
  <c r="AU47" i="8"/>
  <c r="AU48" i="8"/>
  <c r="AU49" i="8"/>
  <c r="AU50" i="8"/>
  <c r="AU51" i="8"/>
  <c r="AU52" i="8"/>
  <c r="AU53" i="8"/>
  <c r="AU54" i="8"/>
  <c r="AU55" i="8"/>
  <c r="AU56" i="8"/>
  <c r="AU57" i="8"/>
  <c r="AU58" i="8"/>
  <c r="AU59" i="8"/>
  <c r="AU60" i="8"/>
  <c r="AU61" i="8"/>
  <c r="AU62" i="8"/>
  <c r="AU63" i="8"/>
  <c r="AU64" i="8"/>
  <c r="AU65" i="8"/>
  <c r="AU66" i="8"/>
  <c r="AU67" i="8"/>
  <c r="AU68" i="8"/>
  <c r="AU69" i="8"/>
  <c r="AU70" i="8"/>
  <c r="AU71" i="8"/>
  <c r="AU72" i="8"/>
  <c r="AU73" i="8"/>
  <c r="AU2" i="8"/>
  <c r="AU74" i="8" s="1"/>
  <c r="AB75" i="8"/>
  <c r="AD10" i="8"/>
  <c r="AD18" i="8"/>
  <c r="AD26" i="8"/>
  <c r="AD34" i="8"/>
  <c r="AD42" i="8"/>
  <c r="AD48" i="8"/>
  <c r="AD50" i="8"/>
  <c r="AD56" i="8"/>
  <c r="AD58" i="8"/>
  <c r="AD64" i="8"/>
  <c r="AD66" i="8"/>
  <c r="AD72" i="8"/>
  <c r="AD74" i="8"/>
  <c r="R7" i="9"/>
  <c r="S4" i="9"/>
  <c r="R4" i="9"/>
  <c r="S3" i="9"/>
  <c r="R3" i="9"/>
  <c r="S2" i="9"/>
  <c r="R2" i="9"/>
  <c r="S8" i="9"/>
  <c r="S9" i="9"/>
  <c r="S7" i="9"/>
  <c r="R8" i="9"/>
  <c r="R9" i="9"/>
  <c r="AS5" i="8"/>
  <c r="AS6" i="8"/>
  <c r="AS7" i="8"/>
  <c r="AS8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3" i="8"/>
  <c r="AR74" i="8"/>
  <c r="AR73" i="8"/>
  <c r="AD73" i="8" s="1"/>
  <c r="AR72" i="8"/>
  <c r="AR71" i="8"/>
  <c r="AD71" i="8" s="1"/>
  <c r="AR70" i="8"/>
  <c r="AD70" i="8" s="1"/>
  <c r="AR69" i="8"/>
  <c r="AD69" i="8" s="1"/>
  <c r="AR68" i="8"/>
  <c r="AD68" i="8" s="1"/>
  <c r="AR67" i="8"/>
  <c r="AD67" i="8" s="1"/>
  <c r="AG67" i="8" s="1"/>
  <c r="AR66" i="8"/>
  <c r="AR65" i="8"/>
  <c r="AD65" i="8" s="1"/>
  <c r="AR64" i="8"/>
  <c r="AR63" i="8"/>
  <c r="AD63" i="8" s="1"/>
  <c r="AR62" i="8"/>
  <c r="AD62" i="8" s="1"/>
  <c r="AR61" i="8"/>
  <c r="AD61" i="8" s="1"/>
  <c r="AR60" i="8"/>
  <c r="AD60" i="8" s="1"/>
  <c r="AR59" i="8"/>
  <c r="AD59" i="8" s="1"/>
  <c r="AR58" i="8"/>
  <c r="AR57" i="8"/>
  <c r="AD57" i="8" s="1"/>
  <c r="AR56" i="8"/>
  <c r="AR55" i="8"/>
  <c r="AD55" i="8" s="1"/>
  <c r="AG55" i="8" s="1"/>
  <c r="AR54" i="8"/>
  <c r="AD54" i="8" s="1"/>
  <c r="AR53" i="8"/>
  <c r="AD53" i="8" s="1"/>
  <c r="AR52" i="8"/>
  <c r="AD52" i="8" s="1"/>
  <c r="AR51" i="8"/>
  <c r="AD51" i="8" s="1"/>
  <c r="AR50" i="8"/>
  <c r="AR49" i="8"/>
  <c r="AD49" i="8" s="1"/>
  <c r="AR48" i="8"/>
  <c r="AR47" i="8"/>
  <c r="AD47" i="8" s="1"/>
  <c r="AR46" i="8"/>
  <c r="AD46" i="8" s="1"/>
  <c r="AR45" i="8"/>
  <c r="AD45" i="8" s="1"/>
  <c r="AR44" i="8"/>
  <c r="AD44" i="8" s="1"/>
  <c r="AR43" i="8"/>
  <c r="AD43" i="8" s="1"/>
  <c r="AG43" i="8" s="1"/>
  <c r="AR42" i="8"/>
  <c r="AR41" i="8"/>
  <c r="AD41" i="8" s="1"/>
  <c r="AR40" i="8"/>
  <c r="AD40" i="8" s="1"/>
  <c r="AR39" i="8"/>
  <c r="AD39" i="8" s="1"/>
  <c r="AR38" i="8"/>
  <c r="AD38" i="8" s="1"/>
  <c r="AR37" i="8"/>
  <c r="AD37" i="8" s="1"/>
  <c r="AR36" i="8"/>
  <c r="AD36" i="8" s="1"/>
  <c r="AR35" i="8"/>
  <c r="AD35" i="8" s="1"/>
  <c r="AR34" i="8"/>
  <c r="AR33" i="8"/>
  <c r="AD33" i="8" s="1"/>
  <c r="AR32" i="8"/>
  <c r="AD32" i="8" s="1"/>
  <c r="AR31" i="8"/>
  <c r="AD31" i="8" s="1"/>
  <c r="AG31" i="8" s="1"/>
  <c r="AR30" i="8"/>
  <c r="AD30" i="8" s="1"/>
  <c r="AR29" i="8"/>
  <c r="AD29" i="8" s="1"/>
  <c r="AR28" i="8"/>
  <c r="AD28" i="8" s="1"/>
  <c r="AR27" i="8"/>
  <c r="AD27" i="8" s="1"/>
  <c r="AR26" i="8"/>
  <c r="AR25" i="8"/>
  <c r="AD25" i="8" s="1"/>
  <c r="AR24" i="8"/>
  <c r="AD24" i="8" s="1"/>
  <c r="AR23" i="8"/>
  <c r="AD23" i="8" s="1"/>
  <c r="AR22" i="8"/>
  <c r="AD22" i="8" s="1"/>
  <c r="AR21" i="8"/>
  <c r="AD21" i="8" s="1"/>
  <c r="AR20" i="8"/>
  <c r="AD20" i="8" s="1"/>
  <c r="AR19" i="8"/>
  <c r="AD19" i="8" s="1"/>
  <c r="AG19" i="8" s="1"/>
  <c r="AR18" i="8"/>
  <c r="AR17" i="8"/>
  <c r="AD17" i="8" s="1"/>
  <c r="AR16" i="8"/>
  <c r="AD16" i="8" s="1"/>
  <c r="AR15" i="8"/>
  <c r="AD15" i="8" s="1"/>
  <c r="AR14" i="8"/>
  <c r="AD14" i="8" s="1"/>
  <c r="AR13" i="8"/>
  <c r="AD13" i="8" s="1"/>
  <c r="AR12" i="8"/>
  <c r="AD12" i="8" s="1"/>
  <c r="AR11" i="8"/>
  <c r="AD11" i="8" s="1"/>
  <c r="AR10" i="8"/>
  <c r="AR9" i="8"/>
  <c r="AD9" i="8" s="1"/>
  <c r="AR8" i="8"/>
  <c r="AD8" i="8" s="1"/>
  <c r="AR7" i="8"/>
  <c r="AD7" i="8" s="1"/>
  <c r="AG7" i="8" s="1"/>
  <c r="AR6" i="8"/>
  <c r="AD6" i="8" s="1"/>
  <c r="AR5" i="8"/>
  <c r="AD5" i="8" s="1"/>
  <c r="AR4" i="8"/>
  <c r="AD4" i="8" s="1"/>
  <c r="AR3" i="8"/>
  <c r="AD3" i="8" s="1"/>
  <c r="AR2" i="8"/>
  <c r="AD2" i="8" s="1"/>
  <c r="AO3" i="8"/>
  <c r="AO4" i="8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67" i="8"/>
  <c r="AO68" i="8"/>
  <c r="AO69" i="8"/>
  <c r="AO70" i="8"/>
  <c r="AO71" i="8"/>
  <c r="AO72" i="8"/>
  <c r="AO73" i="8"/>
  <c r="AO74" i="8"/>
  <c r="AW38" i="8" l="1"/>
  <c r="AG39" i="8"/>
  <c r="AG24" i="8"/>
  <c r="AG32" i="8"/>
  <c r="AW31" i="8"/>
  <c r="AG40" i="8"/>
  <c r="AW64" i="8"/>
  <c r="AG65" i="8"/>
  <c r="AW63" i="8"/>
  <c r="AG63" i="8"/>
  <c r="AG8" i="8"/>
  <c r="AW7" i="8"/>
  <c r="AW24" i="8"/>
  <c r="AG25" i="8"/>
  <c r="AW32" i="8"/>
  <c r="AG33" i="8"/>
  <c r="AW40" i="8"/>
  <c r="AG41" i="8"/>
  <c r="AW48" i="8"/>
  <c r="AG49" i="8"/>
  <c r="AW56" i="8"/>
  <c r="AG57" i="8"/>
  <c r="AG73" i="8"/>
  <c r="AW72" i="8"/>
  <c r="AW15" i="8"/>
  <c r="AG15" i="8"/>
  <c r="AG71" i="8"/>
  <c r="AW71" i="8"/>
  <c r="AW70" i="8"/>
  <c r="AD75" i="8"/>
  <c r="AG3" i="8"/>
  <c r="AW2" i="8"/>
  <c r="AW27" i="8"/>
  <c r="AG27" i="8"/>
  <c r="AW35" i="8"/>
  <c r="AG35" i="8"/>
  <c r="AW51" i="8"/>
  <c r="AG51" i="8"/>
  <c r="AW59" i="8"/>
  <c r="AG59" i="8"/>
  <c r="AG16" i="8"/>
  <c r="AG12" i="8"/>
  <c r="AG36" i="8"/>
  <c r="AG44" i="8"/>
  <c r="AW43" i="8"/>
  <c r="AG52" i="8"/>
  <c r="AG60" i="8"/>
  <c r="AG68" i="8"/>
  <c r="AW67" i="8"/>
  <c r="AW23" i="8"/>
  <c r="AG23" i="8"/>
  <c r="AW16" i="8"/>
  <c r="AG17" i="8"/>
  <c r="AW11" i="8"/>
  <c r="AG11" i="8"/>
  <c r="AG20" i="8"/>
  <c r="AW19" i="8"/>
  <c r="AW4" i="8"/>
  <c r="AG5" i="8"/>
  <c r="AW12" i="8"/>
  <c r="AG13" i="8"/>
  <c r="AW20" i="8"/>
  <c r="AG21" i="8"/>
  <c r="AW28" i="8"/>
  <c r="AG29" i="8"/>
  <c r="AW36" i="8"/>
  <c r="AG37" i="8"/>
  <c r="AW44" i="8"/>
  <c r="AG45" i="8"/>
  <c r="AW52" i="8"/>
  <c r="AG53" i="8"/>
  <c r="AW60" i="8"/>
  <c r="AG61" i="8"/>
  <c r="AG69" i="8"/>
  <c r="AW68" i="8"/>
  <c r="AW47" i="8"/>
  <c r="AG47" i="8"/>
  <c r="AW8" i="8"/>
  <c r="AG9" i="8"/>
  <c r="AG28" i="8"/>
  <c r="AW5" i="8"/>
  <c r="AG6" i="8"/>
  <c r="AW13" i="8"/>
  <c r="AG14" i="8"/>
  <c r="AW21" i="8"/>
  <c r="AG22" i="8"/>
  <c r="AW29" i="8"/>
  <c r="AG30" i="8"/>
  <c r="AW37" i="8"/>
  <c r="AG38" i="8"/>
  <c r="AW45" i="8"/>
  <c r="AG46" i="8"/>
  <c r="AW53" i="8"/>
  <c r="AG54" i="8"/>
  <c r="AW61" i="8"/>
  <c r="AG62" i="8"/>
  <c r="AG70" i="8"/>
  <c r="AW69" i="8"/>
  <c r="AW73" i="8"/>
  <c r="AW41" i="8"/>
  <c r="AG42" i="8"/>
  <c r="AG72" i="8"/>
  <c r="AG64" i="8"/>
  <c r="AG56" i="8"/>
  <c r="AG48" i="8"/>
  <c r="AW55" i="8"/>
  <c r="P19" i="10"/>
  <c r="U20" i="10"/>
  <c r="AW49" i="8"/>
  <c r="AG50" i="8"/>
  <c r="AW9" i="8"/>
  <c r="AG10" i="8"/>
  <c r="AG4" i="8"/>
  <c r="AG74" i="8"/>
  <c r="O19" i="10"/>
  <c r="T20" i="10"/>
  <c r="AW65" i="8"/>
  <c r="AG66" i="8"/>
  <c r="AW25" i="8"/>
  <c r="AG26" i="8"/>
  <c r="AW57" i="8"/>
  <c r="AG58" i="8"/>
  <c r="AW17" i="8"/>
  <c r="AG18" i="8"/>
  <c r="AW33" i="8"/>
  <c r="AG34" i="8"/>
  <c r="AW39" i="8"/>
  <c r="AW66" i="8"/>
  <c r="AW62" i="8"/>
  <c r="AW58" i="8"/>
  <c r="AW54" i="8"/>
  <c r="AW50" i="8"/>
  <c r="AW46" i="8"/>
  <c r="AW42" i="8"/>
  <c r="AW34" i="8"/>
  <c r="AW30" i="8"/>
  <c r="AW26" i="8"/>
  <c r="AW22" i="8"/>
  <c r="AW18" i="8"/>
  <c r="AW14" i="8"/>
  <c r="AW10" i="8"/>
  <c r="AW6" i="8"/>
  <c r="AW3" i="8"/>
  <c r="T3" i="9"/>
  <c r="U3" i="9" s="1"/>
  <c r="T2" i="9"/>
  <c r="T4" i="9"/>
  <c r="U4" i="9" s="1"/>
  <c r="T7" i="9"/>
  <c r="T8" i="9"/>
  <c r="U8" i="9" s="1"/>
  <c r="Y11" i="9"/>
  <c r="Y12" i="9" s="1"/>
  <c r="T9" i="9"/>
  <c r="U9" i="9" s="1"/>
  <c r="X11" i="9"/>
  <c r="X12" i="9" s="1"/>
  <c r="AL68" i="8"/>
  <c r="AC68" i="8" s="1"/>
  <c r="AJ3" i="8"/>
  <c r="AK3" i="8" s="1"/>
  <c r="AL3" i="8" s="1"/>
  <c r="AC3" i="8" s="1"/>
  <c r="AJ4" i="8"/>
  <c r="AK4" i="8"/>
  <c r="AL4" i="8" s="1"/>
  <c r="AC4" i="8" s="1"/>
  <c r="AJ5" i="8"/>
  <c r="AK5" i="8"/>
  <c r="AL5" i="8" s="1"/>
  <c r="AC5" i="8" s="1"/>
  <c r="AF5" i="8" s="1"/>
  <c r="AJ6" i="8"/>
  <c r="AK6" i="8"/>
  <c r="AL6" i="8" s="1"/>
  <c r="AC6" i="8" s="1"/>
  <c r="AF6" i="8" s="1"/>
  <c r="AJ7" i="8"/>
  <c r="AK7" i="8" s="1"/>
  <c r="AL7" i="8" s="1"/>
  <c r="AC7" i="8" s="1"/>
  <c r="AF7" i="8" s="1"/>
  <c r="AJ8" i="8"/>
  <c r="AK8" i="8" s="1"/>
  <c r="AL8" i="8" s="1"/>
  <c r="AC8" i="8" s="1"/>
  <c r="AJ9" i="8"/>
  <c r="AK9" i="8" s="1"/>
  <c r="AL9" i="8" s="1"/>
  <c r="AC9" i="8" s="1"/>
  <c r="AJ10" i="8"/>
  <c r="AK10" i="8"/>
  <c r="AL10" i="8" s="1"/>
  <c r="AC10" i="8" s="1"/>
  <c r="AJ11" i="8"/>
  <c r="AK11" i="8" s="1"/>
  <c r="AL11" i="8" s="1"/>
  <c r="AC11" i="8" s="1"/>
  <c r="AJ12" i="8"/>
  <c r="AK12" i="8"/>
  <c r="AL12" i="8" s="1"/>
  <c r="AC12" i="8" s="1"/>
  <c r="AF12" i="8" s="1"/>
  <c r="AJ13" i="8"/>
  <c r="AK13" i="8"/>
  <c r="AL13" i="8" s="1"/>
  <c r="AC13" i="8" s="1"/>
  <c r="AJ14" i="8"/>
  <c r="AK14" i="8"/>
  <c r="AL14" i="8" s="1"/>
  <c r="AC14" i="8" s="1"/>
  <c r="AJ15" i="8"/>
  <c r="AK15" i="8" s="1"/>
  <c r="AL15" i="8" s="1"/>
  <c r="AC15" i="8" s="1"/>
  <c r="AF15" i="8" s="1"/>
  <c r="AJ16" i="8"/>
  <c r="AK16" i="8" s="1"/>
  <c r="AL16" i="8" s="1"/>
  <c r="AC16" i="8" s="1"/>
  <c r="AJ17" i="8"/>
  <c r="AK17" i="8" s="1"/>
  <c r="AL17" i="8" s="1"/>
  <c r="AC17" i="8" s="1"/>
  <c r="AJ18" i="8"/>
  <c r="AK18" i="8" s="1"/>
  <c r="AL18" i="8" s="1"/>
  <c r="AC18" i="8" s="1"/>
  <c r="AJ19" i="8"/>
  <c r="AK19" i="8"/>
  <c r="AL19" i="8" s="1"/>
  <c r="AC19" i="8" s="1"/>
  <c r="AJ20" i="8"/>
  <c r="AK20" i="8" s="1"/>
  <c r="AL20" i="8" s="1"/>
  <c r="AC20" i="8" s="1"/>
  <c r="AF20" i="8" s="1"/>
  <c r="AJ21" i="8"/>
  <c r="AK21" i="8" s="1"/>
  <c r="AL21" i="8" s="1"/>
  <c r="AC21" i="8" s="1"/>
  <c r="AJ22" i="8"/>
  <c r="AK22" i="8" s="1"/>
  <c r="AL22" i="8" s="1"/>
  <c r="AC22" i="8" s="1"/>
  <c r="AJ23" i="8"/>
  <c r="AK23" i="8"/>
  <c r="AL23" i="8" s="1"/>
  <c r="AC23" i="8" s="1"/>
  <c r="AJ24" i="8"/>
  <c r="AK24" i="8" s="1"/>
  <c r="AL24" i="8" s="1"/>
  <c r="AC24" i="8" s="1"/>
  <c r="AF24" i="8" s="1"/>
  <c r="AJ25" i="8"/>
  <c r="AK25" i="8" s="1"/>
  <c r="AL25" i="8" s="1"/>
  <c r="AC25" i="8" s="1"/>
  <c r="AJ26" i="8"/>
  <c r="AK26" i="8" s="1"/>
  <c r="AL26" i="8" s="1"/>
  <c r="AC26" i="8" s="1"/>
  <c r="AJ27" i="8"/>
  <c r="AK27" i="8"/>
  <c r="AL27" i="8" s="1"/>
  <c r="AC27" i="8" s="1"/>
  <c r="AF27" i="8" s="1"/>
  <c r="AJ28" i="8"/>
  <c r="AK28" i="8" s="1"/>
  <c r="AL28" i="8" s="1"/>
  <c r="AC28" i="8" s="1"/>
  <c r="AJ29" i="8"/>
  <c r="AK29" i="8" s="1"/>
  <c r="AL29" i="8" s="1"/>
  <c r="AC29" i="8" s="1"/>
  <c r="AJ30" i="8"/>
  <c r="AK30" i="8" s="1"/>
  <c r="AL30" i="8" s="1"/>
  <c r="AC30" i="8" s="1"/>
  <c r="AF30" i="8" s="1"/>
  <c r="AJ31" i="8"/>
  <c r="AK31" i="8"/>
  <c r="AL31" i="8" s="1"/>
  <c r="AC31" i="8" s="1"/>
  <c r="AJ32" i="8"/>
  <c r="AK32" i="8" s="1"/>
  <c r="AL32" i="8" s="1"/>
  <c r="AC32" i="8" s="1"/>
  <c r="AF32" i="8" s="1"/>
  <c r="AJ33" i="8"/>
  <c r="AK33" i="8" s="1"/>
  <c r="AL33" i="8" s="1"/>
  <c r="AC33" i="8" s="1"/>
  <c r="AJ34" i="8"/>
  <c r="AK34" i="8" s="1"/>
  <c r="AL34" i="8" s="1"/>
  <c r="AC34" i="8" s="1"/>
  <c r="AJ35" i="8"/>
  <c r="AK35" i="8" s="1"/>
  <c r="AL35" i="8" s="1"/>
  <c r="AC35" i="8" s="1"/>
  <c r="AJ36" i="8"/>
  <c r="AK36" i="8"/>
  <c r="AL36" i="8" s="1"/>
  <c r="AC36" i="8" s="1"/>
  <c r="AJ37" i="8"/>
  <c r="AK37" i="8"/>
  <c r="AL37" i="8" s="1"/>
  <c r="AC37" i="8" s="1"/>
  <c r="AF37" i="8" s="1"/>
  <c r="AJ38" i="8"/>
  <c r="AK38" i="8"/>
  <c r="AL38" i="8" s="1"/>
  <c r="AC38" i="8" s="1"/>
  <c r="AJ39" i="8"/>
  <c r="AK39" i="8"/>
  <c r="AL39" i="8" s="1"/>
  <c r="AC39" i="8" s="1"/>
  <c r="AF39" i="8" s="1"/>
  <c r="AJ40" i="8"/>
  <c r="AK40" i="8"/>
  <c r="AL40" i="8" s="1"/>
  <c r="AC40" i="8" s="1"/>
  <c r="AF40" i="8" s="1"/>
  <c r="AJ41" i="8"/>
  <c r="AK41" i="8"/>
  <c r="AL41" i="8" s="1"/>
  <c r="AC41" i="8" s="1"/>
  <c r="AJ42" i="8"/>
  <c r="AK42" i="8"/>
  <c r="AL42" i="8" s="1"/>
  <c r="AC42" i="8" s="1"/>
  <c r="AJ43" i="8"/>
  <c r="AK43" i="8" s="1"/>
  <c r="AL43" i="8" s="1"/>
  <c r="AC43" i="8" s="1"/>
  <c r="AJ44" i="8"/>
  <c r="AK44" i="8"/>
  <c r="AL44" i="8" s="1"/>
  <c r="AC44" i="8" s="1"/>
  <c r="AJ45" i="8"/>
  <c r="AK45" i="8" s="1"/>
  <c r="AL45" i="8" s="1"/>
  <c r="AC45" i="8" s="1"/>
  <c r="AF45" i="8" s="1"/>
  <c r="AJ46" i="8"/>
  <c r="AK46" i="8" s="1"/>
  <c r="AL46" i="8" s="1"/>
  <c r="AC46" i="8" s="1"/>
  <c r="AJ47" i="8"/>
  <c r="AK47" i="8" s="1"/>
  <c r="AL47" i="8" s="1"/>
  <c r="AC47" i="8" s="1"/>
  <c r="AJ48" i="8"/>
  <c r="AK48" i="8"/>
  <c r="AL48" i="8" s="1"/>
  <c r="AC48" i="8" s="1"/>
  <c r="AJ49" i="8"/>
  <c r="AK49" i="8" s="1"/>
  <c r="AL49" i="8" s="1"/>
  <c r="AC49" i="8" s="1"/>
  <c r="AF49" i="8" s="1"/>
  <c r="AJ50" i="8"/>
  <c r="AK50" i="8" s="1"/>
  <c r="AL50" i="8" s="1"/>
  <c r="AC50" i="8" s="1"/>
  <c r="AJ51" i="8"/>
  <c r="AK51" i="8" s="1"/>
  <c r="AL51" i="8" s="1"/>
  <c r="AC51" i="8" s="1"/>
  <c r="AJ52" i="8"/>
  <c r="AK52" i="8"/>
  <c r="AL52" i="8" s="1"/>
  <c r="AC52" i="8" s="1"/>
  <c r="AF52" i="8" s="1"/>
  <c r="AJ53" i="8"/>
  <c r="AK53" i="8" s="1"/>
  <c r="AL53" i="8" s="1"/>
  <c r="AC53" i="8" s="1"/>
  <c r="AJ54" i="8"/>
  <c r="AK54" i="8" s="1"/>
  <c r="AL54" i="8" s="1"/>
  <c r="AC54" i="8" s="1"/>
  <c r="AJ55" i="8"/>
  <c r="AK55" i="8" s="1"/>
  <c r="AL55" i="8" s="1"/>
  <c r="AC55" i="8" s="1"/>
  <c r="AJ56" i="8"/>
  <c r="AK56" i="8"/>
  <c r="AL56" i="8" s="1"/>
  <c r="AC56" i="8" s="1"/>
  <c r="AJ57" i="8"/>
  <c r="AK57" i="8" s="1"/>
  <c r="AL57" i="8" s="1"/>
  <c r="AC57" i="8" s="1"/>
  <c r="AF57" i="8" s="1"/>
  <c r="AJ58" i="8"/>
  <c r="AK58" i="8" s="1"/>
  <c r="AL58" i="8" s="1"/>
  <c r="AC58" i="8" s="1"/>
  <c r="AJ59" i="8"/>
  <c r="AK59" i="8" s="1"/>
  <c r="AL59" i="8" s="1"/>
  <c r="AC59" i="8" s="1"/>
  <c r="AJ60" i="8"/>
  <c r="AK60" i="8"/>
  <c r="AL60" i="8" s="1"/>
  <c r="AC60" i="8" s="1"/>
  <c r="AJ61" i="8"/>
  <c r="AK61" i="8" s="1"/>
  <c r="AL61" i="8" s="1"/>
  <c r="AC61" i="8" s="1"/>
  <c r="AF61" i="8" s="1"/>
  <c r="AJ62" i="8"/>
  <c r="AK62" i="8" s="1"/>
  <c r="AL62" i="8" s="1"/>
  <c r="AC62" i="8" s="1"/>
  <c r="AJ63" i="8"/>
  <c r="AK63" i="8" s="1"/>
  <c r="AL63" i="8" s="1"/>
  <c r="AC63" i="8" s="1"/>
  <c r="AF63" i="8" s="1"/>
  <c r="AJ64" i="8"/>
  <c r="AK64" i="8"/>
  <c r="AL64" i="8" s="1"/>
  <c r="AC64" i="8" s="1"/>
  <c r="AF64" i="8" s="1"/>
  <c r="AJ65" i="8"/>
  <c r="AK65" i="8" s="1"/>
  <c r="AL65" i="8" s="1"/>
  <c r="AC65" i="8" s="1"/>
  <c r="AJ66" i="8"/>
  <c r="AK66" i="8" s="1"/>
  <c r="AL66" i="8" s="1"/>
  <c r="AC66" i="8" s="1"/>
  <c r="AF66" i="8" s="1"/>
  <c r="AJ67" i="8"/>
  <c r="AK67" i="8" s="1"/>
  <c r="AL67" i="8" s="1"/>
  <c r="AC67" i="8" s="1"/>
  <c r="AJ68" i="8"/>
  <c r="AK68" i="8"/>
  <c r="AJ69" i="8"/>
  <c r="AK69" i="8" s="1"/>
  <c r="AL69" i="8" s="1"/>
  <c r="AC69" i="8" s="1"/>
  <c r="AJ70" i="8"/>
  <c r="AK70" i="8" s="1"/>
  <c r="AL70" i="8" s="1"/>
  <c r="AC70" i="8" s="1"/>
  <c r="AJ71" i="8"/>
  <c r="AK71" i="8" s="1"/>
  <c r="AL71" i="8" s="1"/>
  <c r="AC71" i="8" s="1"/>
  <c r="AJ72" i="8"/>
  <c r="AK72" i="8"/>
  <c r="AL72" i="8" s="1"/>
  <c r="AC72" i="8" s="1"/>
  <c r="AJ73" i="8"/>
  <c r="AK73" i="8" s="1"/>
  <c r="AL73" i="8" s="1"/>
  <c r="AC73" i="8" s="1"/>
  <c r="AJ74" i="8"/>
  <c r="AK74" i="8" s="1"/>
  <c r="AL74" i="8" s="1"/>
  <c r="AC74" i="8" s="1"/>
  <c r="AK2" i="8"/>
  <c r="AL2" i="8" s="1"/>
  <c r="AC2" i="8" s="1"/>
  <c r="J38" i="8"/>
  <c r="AV64" i="8" l="1"/>
  <c r="AF65" i="8"/>
  <c r="AV45" i="8"/>
  <c r="AF46" i="8"/>
  <c r="AF18" i="8"/>
  <c r="AV46" i="8"/>
  <c r="AF47" i="8"/>
  <c r="AV16" i="8"/>
  <c r="AF17" i="8"/>
  <c r="AF72" i="8"/>
  <c r="AV71" i="8"/>
  <c r="AF70" i="8"/>
  <c r="AV69" i="8"/>
  <c r="AF51" i="8"/>
  <c r="AV28" i="8"/>
  <c r="AF29" i="8"/>
  <c r="AV15" i="8"/>
  <c r="AF16" i="8"/>
  <c r="AV24" i="8"/>
  <c r="AF25" i="8"/>
  <c r="AF71" i="8"/>
  <c r="AV70" i="8"/>
  <c r="AV49" i="8"/>
  <c r="AF50" i="8"/>
  <c r="AV27" i="8"/>
  <c r="AF28" i="8"/>
  <c r="AV21" i="8"/>
  <c r="AF22" i="8"/>
  <c r="AF69" i="8"/>
  <c r="AV68" i="8"/>
  <c r="AV61" i="8"/>
  <c r="AF62" i="8"/>
  <c r="AV33" i="8"/>
  <c r="AF34" i="8"/>
  <c r="AV20" i="8"/>
  <c r="AF21" i="8"/>
  <c r="AV52" i="8"/>
  <c r="AF53" i="8"/>
  <c r="AV57" i="8"/>
  <c r="AF58" i="8"/>
  <c r="AF74" i="8"/>
  <c r="AV73" i="8"/>
  <c r="AV54" i="8"/>
  <c r="AF55" i="8"/>
  <c r="AV32" i="8"/>
  <c r="AF33" i="8"/>
  <c r="AV8" i="8"/>
  <c r="AF9" i="8"/>
  <c r="AV58" i="8"/>
  <c r="AF59" i="8"/>
  <c r="AF73" i="8"/>
  <c r="AV72" i="8"/>
  <c r="AF67" i="8"/>
  <c r="AF54" i="8"/>
  <c r="AV25" i="8"/>
  <c r="AF26" i="8"/>
  <c r="AV7" i="8"/>
  <c r="AF8" i="8"/>
  <c r="AW74" i="8"/>
  <c r="AW75" i="8" s="1"/>
  <c r="AG2" i="8"/>
  <c r="AF68" i="8"/>
  <c r="AV67" i="8"/>
  <c r="AV55" i="8"/>
  <c r="AF56" i="8"/>
  <c r="AV18" i="8"/>
  <c r="AF19" i="8"/>
  <c r="AV9" i="8"/>
  <c r="AF10" i="8"/>
  <c r="AV47" i="8"/>
  <c r="AF48" i="8"/>
  <c r="AF35" i="8"/>
  <c r="AV13" i="8"/>
  <c r="AF14" i="8"/>
  <c r="O20" i="10"/>
  <c r="T21" i="10"/>
  <c r="U21" i="10"/>
  <c r="P20" i="10"/>
  <c r="AF3" i="8"/>
  <c r="AV22" i="8"/>
  <c r="AF23" i="8"/>
  <c r="AF43" i="8"/>
  <c r="AV10" i="8"/>
  <c r="AF11" i="8"/>
  <c r="AV59" i="8"/>
  <c r="AF60" i="8"/>
  <c r="AV30" i="8"/>
  <c r="AF31" i="8"/>
  <c r="AV41" i="8"/>
  <c r="AF42" i="8"/>
  <c r="AF13" i="8"/>
  <c r="AV3" i="8"/>
  <c r="AF4" i="8"/>
  <c r="AV40" i="8"/>
  <c r="AF41" i="8"/>
  <c r="AV35" i="8"/>
  <c r="AF36" i="8"/>
  <c r="AV43" i="8"/>
  <c r="AF44" i="8"/>
  <c r="AF38" i="8"/>
  <c r="AV34" i="8"/>
  <c r="AC75" i="8"/>
  <c r="AV2" i="8"/>
  <c r="AV37" i="8"/>
  <c r="AV12" i="8"/>
  <c r="AV36" i="8"/>
  <c r="AV11" i="8"/>
  <c r="AV4" i="8"/>
  <c r="AV60" i="8"/>
  <c r="AV48" i="8"/>
  <c r="AV42" i="8"/>
  <c r="AV23" i="8"/>
  <c r="AV31" i="8"/>
  <c r="AV44" i="8"/>
  <c r="AV53" i="8"/>
  <c r="AV63" i="8"/>
  <c r="AV51" i="8"/>
  <c r="AV39" i="8"/>
  <c r="AV38" i="8"/>
  <c r="AV14" i="8"/>
  <c r="AV29" i="8"/>
  <c r="AV26" i="8"/>
  <c r="AV66" i="8"/>
  <c r="AV65" i="8"/>
  <c r="AV62" i="8"/>
  <c r="AV56" i="8"/>
  <c r="AV6" i="8"/>
  <c r="AV5" i="8"/>
  <c r="AV50" i="8"/>
  <c r="AV17" i="8"/>
  <c r="AV19" i="8"/>
  <c r="V9" i="9"/>
  <c r="Y13" i="9"/>
  <c r="Y14" i="9" s="1"/>
  <c r="AB16" i="9" s="1"/>
  <c r="AB17" i="9" s="1"/>
  <c r="X8" i="8"/>
  <c r="X7" i="8"/>
  <c r="Y2" i="8"/>
  <c r="W74" i="8"/>
  <c r="W66" i="8"/>
  <c r="W52" i="8"/>
  <c r="X6" i="8" s="1"/>
  <c r="W38" i="8"/>
  <c r="X5" i="8" s="1"/>
  <c r="W24" i="8"/>
  <c r="X4" i="8" s="1"/>
  <c r="W10" i="8"/>
  <c r="X3" i="8" s="1"/>
  <c r="W2" i="8"/>
  <c r="X2" i="8" s="1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V74" i="12"/>
  <c r="T74" i="12"/>
  <c r="T73" i="12"/>
  <c r="T72" i="12"/>
  <c r="T71" i="12"/>
  <c r="T70" i="12"/>
  <c r="T69" i="12"/>
  <c r="T68" i="12"/>
  <c r="T67" i="12"/>
  <c r="V66" i="12"/>
  <c r="T66" i="12"/>
  <c r="T65" i="12"/>
  <c r="T64" i="12"/>
  <c r="T63" i="12"/>
  <c r="T62" i="12"/>
  <c r="T61" i="12"/>
  <c r="T60" i="12"/>
  <c r="T59" i="12"/>
  <c r="T58" i="12"/>
  <c r="T57" i="12"/>
  <c r="T56" i="12"/>
  <c r="T55" i="12"/>
  <c r="T54" i="12"/>
  <c r="T53" i="12"/>
  <c r="V52" i="12"/>
  <c r="T52" i="12"/>
  <c r="T51" i="12"/>
  <c r="T50" i="12"/>
  <c r="T49" i="12"/>
  <c r="T48" i="12"/>
  <c r="T47" i="12"/>
  <c r="T46" i="12"/>
  <c r="T45" i="12"/>
  <c r="T44" i="12"/>
  <c r="T43" i="12"/>
  <c r="T42" i="12"/>
  <c r="T41" i="12"/>
  <c r="T40" i="12"/>
  <c r="T39" i="12"/>
  <c r="V38" i="12"/>
  <c r="T38" i="12"/>
  <c r="Q38" i="12"/>
  <c r="O38" i="12"/>
  <c r="L38" i="12"/>
  <c r="J38" i="12"/>
  <c r="H38" i="12"/>
  <c r="G38" i="12"/>
  <c r="F38" i="12"/>
  <c r="A38" i="12"/>
  <c r="T37" i="12"/>
  <c r="O37" i="12"/>
  <c r="L37" i="12"/>
  <c r="J37" i="12"/>
  <c r="H37" i="12"/>
  <c r="G37" i="12"/>
  <c r="F37" i="12"/>
  <c r="A37" i="12"/>
  <c r="T36" i="12"/>
  <c r="O36" i="12"/>
  <c r="L36" i="12"/>
  <c r="J36" i="12"/>
  <c r="G36" i="12"/>
  <c r="H36" i="12" s="1"/>
  <c r="F36" i="12"/>
  <c r="A36" i="12"/>
  <c r="T35" i="12"/>
  <c r="O35" i="12"/>
  <c r="L35" i="12"/>
  <c r="J35" i="12"/>
  <c r="G35" i="12"/>
  <c r="H35" i="12" s="1"/>
  <c r="F35" i="12"/>
  <c r="A35" i="12"/>
  <c r="T34" i="12"/>
  <c r="Q34" i="12"/>
  <c r="O34" i="12"/>
  <c r="L34" i="12"/>
  <c r="J34" i="12"/>
  <c r="G34" i="12"/>
  <c r="H34" i="12" s="1"/>
  <c r="F34" i="12"/>
  <c r="A34" i="12"/>
  <c r="T33" i="12"/>
  <c r="O33" i="12"/>
  <c r="L33" i="12"/>
  <c r="I33" i="12"/>
  <c r="J33" i="12" s="1"/>
  <c r="G33" i="12"/>
  <c r="H33" i="12" s="1"/>
  <c r="F33" i="12"/>
  <c r="A33" i="12"/>
  <c r="T32" i="12"/>
  <c r="O32" i="12"/>
  <c r="L32" i="12"/>
  <c r="I32" i="12"/>
  <c r="J32" i="12" s="1"/>
  <c r="G32" i="12"/>
  <c r="H32" i="12" s="1"/>
  <c r="F32" i="12"/>
  <c r="A32" i="12"/>
  <c r="T31" i="12"/>
  <c r="O31" i="12"/>
  <c r="L31" i="12"/>
  <c r="J31" i="12"/>
  <c r="I31" i="12"/>
  <c r="H31" i="12"/>
  <c r="G31" i="12"/>
  <c r="F31" i="12"/>
  <c r="A31" i="12"/>
  <c r="T30" i="12"/>
  <c r="Q30" i="12"/>
  <c r="O30" i="12"/>
  <c r="L30" i="12"/>
  <c r="I30" i="12"/>
  <c r="J30" i="12" s="1"/>
  <c r="G30" i="12"/>
  <c r="H30" i="12" s="1"/>
  <c r="F30" i="12"/>
  <c r="A30" i="12"/>
  <c r="T29" i="12"/>
  <c r="O29" i="12"/>
  <c r="L29" i="12"/>
  <c r="I29" i="12"/>
  <c r="J29" i="12" s="1"/>
  <c r="H29" i="12"/>
  <c r="F29" i="12"/>
  <c r="A29" i="12"/>
  <c r="T28" i="12"/>
  <c r="O28" i="12"/>
  <c r="L28" i="12"/>
  <c r="I28" i="12"/>
  <c r="J28" i="12" s="1"/>
  <c r="G28" i="12"/>
  <c r="H28" i="12" s="1"/>
  <c r="F28" i="12"/>
  <c r="A28" i="12"/>
  <c r="T27" i="12"/>
  <c r="Q27" i="12"/>
  <c r="O27" i="12"/>
  <c r="L27" i="12"/>
  <c r="J27" i="12"/>
  <c r="I27" i="12"/>
  <c r="H27" i="12"/>
  <c r="G27" i="12"/>
  <c r="F27" i="12"/>
  <c r="A27" i="12"/>
  <c r="T26" i="12"/>
  <c r="O26" i="12"/>
  <c r="L26" i="12"/>
  <c r="I26" i="12"/>
  <c r="J26" i="12" s="1"/>
  <c r="H26" i="12"/>
  <c r="G26" i="12"/>
  <c r="F26" i="12"/>
  <c r="A26" i="12"/>
  <c r="T25" i="12"/>
  <c r="O25" i="12"/>
  <c r="L25" i="12"/>
  <c r="I25" i="12"/>
  <c r="J25" i="12" s="1"/>
  <c r="G25" i="12"/>
  <c r="H25" i="12" s="1"/>
  <c r="F25" i="12"/>
  <c r="A25" i="12"/>
  <c r="V24" i="12"/>
  <c r="T24" i="12"/>
  <c r="Q24" i="12"/>
  <c r="O24" i="12"/>
  <c r="L24" i="12"/>
  <c r="I24" i="12"/>
  <c r="J24" i="12" s="1"/>
  <c r="G24" i="12"/>
  <c r="H24" i="12" s="1"/>
  <c r="F24" i="12"/>
  <c r="A24" i="12"/>
  <c r="T23" i="12"/>
  <c r="O23" i="12"/>
  <c r="L23" i="12"/>
  <c r="I23" i="12"/>
  <c r="J23" i="12" s="1"/>
  <c r="H23" i="12"/>
  <c r="F23" i="12"/>
  <c r="A23" i="12"/>
  <c r="T22" i="12"/>
  <c r="O22" i="12"/>
  <c r="L22" i="12"/>
  <c r="I22" i="12"/>
  <c r="J22" i="12" s="1"/>
  <c r="H22" i="12"/>
  <c r="F22" i="12"/>
  <c r="A22" i="12"/>
  <c r="T21" i="12"/>
  <c r="O21" i="12"/>
  <c r="L21" i="12"/>
  <c r="I21" i="12"/>
  <c r="J21" i="12" s="1"/>
  <c r="H21" i="12"/>
  <c r="F21" i="12"/>
  <c r="A21" i="12"/>
  <c r="T20" i="12"/>
  <c r="Q20" i="12"/>
  <c r="O20" i="12"/>
  <c r="L20" i="12"/>
  <c r="J20" i="12"/>
  <c r="H20" i="12"/>
  <c r="F20" i="12"/>
  <c r="A20" i="12"/>
  <c r="T19" i="12"/>
  <c r="O19" i="12"/>
  <c r="L19" i="12"/>
  <c r="J19" i="12"/>
  <c r="H19" i="12"/>
  <c r="F19" i="12"/>
  <c r="A19" i="12"/>
  <c r="T18" i="12"/>
  <c r="O18" i="12"/>
  <c r="L18" i="12"/>
  <c r="J18" i="12"/>
  <c r="H18" i="12"/>
  <c r="F18" i="12"/>
  <c r="A18" i="12"/>
  <c r="T17" i="12"/>
  <c r="O17" i="12"/>
  <c r="L17" i="12"/>
  <c r="J17" i="12"/>
  <c r="H17" i="12"/>
  <c r="F17" i="12"/>
  <c r="A17" i="12"/>
  <c r="T16" i="12"/>
  <c r="Q16" i="12"/>
  <c r="O16" i="12"/>
  <c r="L16" i="12"/>
  <c r="J16" i="12"/>
  <c r="H16" i="12"/>
  <c r="F16" i="12"/>
  <c r="A16" i="12"/>
  <c r="T15" i="12"/>
  <c r="O15" i="12"/>
  <c r="L15" i="12"/>
  <c r="J15" i="12"/>
  <c r="H15" i="12"/>
  <c r="F15" i="12"/>
  <c r="A15" i="12"/>
  <c r="T14" i="12"/>
  <c r="O14" i="12"/>
  <c r="L14" i="12"/>
  <c r="J14" i="12"/>
  <c r="H14" i="12"/>
  <c r="F14" i="12"/>
  <c r="A14" i="12"/>
  <c r="T13" i="12"/>
  <c r="Q13" i="12"/>
  <c r="O13" i="12"/>
  <c r="L13" i="12"/>
  <c r="J13" i="12"/>
  <c r="H13" i="12"/>
  <c r="F13" i="12"/>
  <c r="A13" i="12"/>
  <c r="T12" i="12"/>
  <c r="O12" i="12"/>
  <c r="L12" i="12"/>
  <c r="J12" i="12"/>
  <c r="H12" i="12"/>
  <c r="F12" i="12"/>
  <c r="A12" i="12"/>
  <c r="T11" i="12"/>
  <c r="O11" i="12"/>
  <c r="L11" i="12"/>
  <c r="J11" i="12"/>
  <c r="H11" i="12"/>
  <c r="F11" i="12"/>
  <c r="A11" i="12"/>
  <c r="V10" i="12"/>
  <c r="T10" i="12"/>
  <c r="Q10" i="12"/>
  <c r="O10" i="12"/>
  <c r="L10" i="12"/>
  <c r="J10" i="12"/>
  <c r="H10" i="12"/>
  <c r="F10" i="12"/>
  <c r="A10" i="12"/>
  <c r="T9" i="12"/>
  <c r="O9" i="12"/>
  <c r="L9" i="12"/>
  <c r="J9" i="12"/>
  <c r="H9" i="12"/>
  <c r="F9" i="12"/>
  <c r="A9" i="12"/>
  <c r="T8" i="12"/>
  <c r="O8" i="12"/>
  <c r="L8" i="12"/>
  <c r="J8" i="12"/>
  <c r="H8" i="12"/>
  <c r="F8" i="12"/>
  <c r="A8" i="12"/>
  <c r="T7" i="12"/>
  <c r="O7" i="12"/>
  <c r="L7" i="12"/>
  <c r="J7" i="12"/>
  <c r="H7" i="12"/>
  <c r="F7" i="12"/>
  <c r="A7" i="12"/>
  <c r="T6" i="12"/>
  <c r="Q6" i="12"/>
  <c r="O6" i="12"/>
  <c r="L6" i="12"/>
  <c r="J6" i="12"/>
  <c r="H6" i="12"/>
  <c r="F6" i="12"/>
  <c r="A6" i="12"/>
  <c r="T5" i="12"/>
  <c r="O5" i="12"/>
  <c r="L5" i="12"/>
  <c r="J5" i="12"/>
  <c r="H5" i="12"/>
  <c r="F5" i="12"/>
  <c r="A5" i="12"/>
  <c r="T4" i="12"/>
  <c r="O4" i="12"/>
  <c r="L4" i="12"/>
  <c r="J4" i="12"/>
  <c r="H4" i="12"/>
  <c r="F4" i="12"/>
  <c r="A4" i="12"/>
  <c r="T3" i="12"/>
  <c r="O3" i="12"/>
  <c r="L3" i="12"/>
  <c r="L39" i="12" s="1"/>
  <c r="J3" i="12"/>
  <c r="H3" i="12"/>
  <c r="F3" i="12"/>
  <c r="A3" i="12"/>
  <c r="V2" i="12"/>
  <c r="T2" i="12"/>
  <c r="Q2" i="12"/>
  <c r="O2" i="12"/>
  <c r="L2" i="12"/>
  <c r="J2" i="12"/>
  <c r="H2" i="12"/>
  <c r="F2" i="12"/>
  <c r="A2" i="12"/>
  <c r="V66" i="8"/>
  <c r="Y7" i="8" s="1"/>
  <c r="V74" i="8"/>
  <c r="Y8" i="8" s="1"/>
  <c r="V52" i="8"/>
  <c r="Y6" i="8" s="1"/>
  <c r="V38" i="8"/>
  <c r="Y5" i="8" s="1"/>
  <c r="V24" i="8"/>
  <c r="Y4" i="8" s="1"/>
  <c r="V10" i="8"/>
  <c r="Y3" i="8" s="1"/>
  <c r="Z3" i="8" s="1"/>
  <c r="V2" i="8"/>
  <c r="T2" i="8"/>
  <c r="Q6" i="8"/>
  <c r="Q10" i="8"/>
  <c r="Q13" i="8"/>
  <c r="Q16" i="8"/>
  <c r="Q20" i="8"/>
  <c r="Q24" i="8"/>
  <c r="Q27" i="8"/>
  <c r="Q30" i="8"/>
  <c r="Q34" i="8"/>
  <c r="Q38" i="8"/>
  <c r="Q2" i="8"/>
  <c r="Q6" i="10"/>
  <c r="Q8" i="10" s="1"/>
  <c r="Q9" i="10" s="1"/>
  <c r="Q10" i="10" s="1"/>
  <c r="P6" i="10"/>
  <c r="P8" i="10" s="1"/>
  <c r="P9" i="10" s="1"/>
  <c r="P10" i="10" s="1"/>
  <c r="N6" i="10"/>
  <c r="Z4" i="8" l="1"/>
  <c r="Z5" i="8" s="1"/>
  <c r="Z6" i="8" s="1"/>
  <c r="Z7" i="8" s="1"/>
  <c r="Z8" i="8" s="1"/>
  <c r="AF2" i="8"/>
  <c r="U22" i="10"/>
  <c r="P21" i="10"/>
  <c r="O21" i="10"/>
  <c r="T22" i="10"/>
  <c r="F39" i="12"/>
  <c r="AV74" i="8"/>
  <c r="AV75" i="8" s="1"/>
  <c r="Y16" i="9"/>
  <c r="Y18" i="9" s="1"/>
  <c r="Y20" i="9" s="1"/>
  <c r="R10" i="10"/>
  <c r="R11" i="10" s="1"/>
  <c r="J39" i="12"/>
  <c r="O22" i="10" l="1"/>
  <c r="T23" i="10"/>
  <c r="U23" i="10"/>
  <c r="P22" i="10"/>
  <c r="N8" i="10"/>
  <c r="N9" i="10" s="1"/>
  <c r="N10" i="10" s="1"/>
  <c r="M6" i="10"/>
  <c r="M8" i="10" s="1"/>
  <c r="M9" i="10" s="1"/>
  <c r="M10" i="10" s="1"/>
  <c r="U24" i="10" l="1"/>
  <c r="P23" i="10"/>
  <c r="T24" i="10"/>
  <c r="O23" i="10"/>
  <c r="O10" i="10"/>
  <c r="O11" i="10" s="1"/>
  <c r="G4" i="10"/>
  <c r="G5" i="10"/>
  <c r="G6" i="10"/>
  <c r="D4" i="10"/>
  <c r="D6" i="10"/>
  <c r="D5" i="10"/>
  <c r="D16" i="10"/>
  <c r="B16" i="10"/>
  <c r="T25" i="10" l="1"/>
  <c r="O24" i="10"/>
  <c r="H6" i="10"/>
  <c r="U25" i="10"/>
  <c r="P24" i="10"/>
  <c r="G8" i="10"/>
  <c r="I6" i="10"/>
  <c r="G7" i="10"/>
  <c r="D8" i="10"/>
  <c r="D7" i="10"/>
  <c r="A5" i="11"/>
  <c r="A6" i="11"/>
  <c r="A7" i="11"/>
  <c r="A8" i="11"/>
  <c r="A9" i="11"/>
  <c r="A10" i="1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1350" i="11"/>
  <c r="A3150" i="11"/>
  <c r="A4" i="11"/>
  <c r="U26" i="10" l="1"/>
  <c r="P25" i="10"/>
  <c r="A86" i="11"/>
  <c r="T26" i="10"/>
  <c r="O25" i="10"/>
  <c r="A81" i="11"/>
  <c r="A79" i="11"/>
  <c r="A122" i="11"/>
  <c r="A123" i="11" s="1"/>
  <c r="A124" i="11" s="1"/>
  <c r="A125" i="11" s="1"/>
  <c r="A126" i="11" s="1"/>
  <c r="A127" i="11" s="1"/>
  <c r="A117" i="11"/>
  <c r="A118" i="11" s="1"/>
  <c r="A119" i="11" s="1"/>
  <c r="A120" i="11" s="1"/>
  <c r="A121" i="11" s="1"/>
  <c r="A87" i="1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80" i="11"/>
  <c r="A113" i="11"/>
  <c r="A114" i="11" s="1"/>
  <c r="A116" i="11"/>
  <c r="A82" i="11"/>
  <c r="A83" i="11" s="1"/>
  <c r="A84" i="11" s="1"/>
  <c r="A85" i="11" s="1"/>
  <c r="A78" i="11"/>
  <c r="A77" i="11"/>
  <c r="M16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16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H33" i="10"/>
  <c r="N51" i="10" s="1"/>
  <c r="H32" i="10"/>
  <c r="N50" i="10" s="1"/>
  <c r="H31" i="10"/>
  <c r="N49" i="10" s="1"/>
  <c r="H30" i="10"/>
  <c r="N48" i="10" s="1"/>
  <c r="H29" i="10"/>
  <c r="N47" i="10" s="1"/>
  <c r="H28" i="10"/>
  <c r="N46" i="10" s="1"/>
  <c r="H27" i="10"/>
  <c r="N45" i="10" s="1"/>
  <c r="H26" i="10"/>
  <c r="N44" i="10" s="1"/>
  <c r="H25" i="10"/>
  <c r="N43" i="10" s="1"/>
  <c r="H24" i="10"/>
  <c r="N42" i="10" s="1"/>
  <c r="H23" i="10"/>
  <c r="N41" i="10" s="1"/>
  <c r="H22" i="10"/>
  <c r="N40" i="10" s="1"/>
  <c r="H21" i="10"/>
  <c r="N39" i="10" s="1"/>
  <c r="H20" i="10"/>
  <c r="N38" i="10" s="1"/>
  <c r="H19" i="10"/>
  <c r="N37" i="10" s="1"/>
  <c r="H18" i="10"/>
  <c r="N36" i="10" s="1"/>
  <c r="H17" i="10"/>
  <c r="N35" i="10" s="1"/>
  <c r="H16" i="10"/>
  <c r="N34" i="10" s="1"/>
  <c r="G16" i="10"/>
  <c r="M34" i="10" s="1"/>
  <c r="C17" i="10"/>
  <c r="N17" i="10" s="1"/>
  <c r="C18" i="10"/>
  <c r="N18" i="10" s="1"/>
  <c r="C19" i="10"/>
  <c r="N19" i="10" s="1"/>
  <c r="C20" i="10"/>
  <c r="N20" i="10" s="1"/>
  <c r="C21" i="10"/>
  <c r="N21" i="10" s="1"/>
  <c r="C22" i="10"/>
  <c r="N22" i="10" s="1"/>
  <c r="C23" i="10"/>
  <c r="N23" i="10" s="1"/>
  <c r="C24" i="10"/>
  <c r="N24" i="10" s="1"/>
  <c r="C25" i="10"/>
  <c r="N25" i="10" s="1"/>
  <c r="C26" i="10"/>
  <c r="N26" i="10" s="1"/>
  <c r="C27" i="10"/>
  <c r="N27" i="10" s="1"/>
  <c r="C28" i="10"/>
  <c r="N28" i="10" s="1"/>
  <c r="C29" i="10"/>
  <c r="N29" i="10" s="1"/>
  <c r="C30" i="10"/>
  <c r="N30" i="10" s="1"/>
  <c r="C31" i="10"/>
  <c r="N31" i="10" s="1"/>
  <c r="C32" i="10"/>
  <c r="N32" i="10" s="1"/>
  <c r="C33" i="10"/>
  <c r="N33" i="10" s="1"/>
  <c r="C16" i="10"/>
  <c r="N16" i="10" s="1"/>
  <c r="G17" i="10"/>
  <c r="M35" i="10" s="1"/>
  <c r="G18" i="10"/>
  <c r="M36" i="10" s="1"/>
  <c r="G19" i="10"/>
  <c r="M37" i="10" s="1"/>
  <c r="G20" i="10"/>
  <c r="M38" i="10" s="1"/>
  <c r="G21" i="10"/>
  <c r="M39" i="10" s="1"/>
  <c r="G22" i="10"/>
  <c r="M40" i="10" s="1"/>
  <c r="G23" i="10"/>
  <c r="M41" i="10" s="1"/>
  <c r="G24" i="10"/>
  <c r="M42" i="10" s="1"/>
  <c r="G25" i="10"/>
  <c r="M43" i="10" s="1"/>
  <c r="G26" i="10"/>
  <c r="M44" i="10" s="1"/>
  <c r="G27" i="10"/>
  <c r="M45" i="10" s="1"/>
  <c r="G28" i="10"/>
  <c r="M46" i="10" s="1"/>
  <c r="G29" i="10"/>
  <c r="M47" i="10" s="1"/>
  <c r="G30" i="10"/>
  <c r="M48" i="10" s="1"/>
  <c r="G31" i="10"/>
  <c r="M49" i="10" s="1"/>
  <c r="G32" i="10"/>
  <c r="M50" i="10" s="1"/>
  <c r="G33" i="10"/>
  <c r="M51" i="10" s="1"/>
  <c r="B17" i="10"/>
  <c r="M17" i="10" s="1"/>
  <c r="B18" i="10"/>
  <c r="M18" i="10" s="1"/>
  <c r="B19" i="10"/>
  <c r="M19" i="10" s="1"/>
  <c r="B20" i="10"/>
  <c r="M20" i="10" s="1"/>
  <c r="B21" i="10"/>
  <c r="M21" i="10" s="1"/>
  <c r="B22" i="10"/>
  <c r="M22" i="10" s="1"/>
  <c r="B23" i="10"/>
  <c r="M23" i="10" s="1"/>
  <c r="B24" i="10"/>
  <c r="M24" i="10" s="1"/>
  <c r="B25" i="10"/>
  <c r="M25" i="10" s="1"/>
  <c r="B26" i="10"/>
  <c r="M26" i="10" s="1"/>
  <c r="B27" i="10"/>
  <c r="M27" i="10" s="1"/>
  <c r="B28" i="10"/>
  <c r="M28" i="10" s="1"/>
  <c r="B29" i="10"/>
  <c r="M29" i="10" s="1"/>
  <c r="B30" i="10"/>
  <c r="M30" i="10" s="1"/>
  <c r="B31" i="10"/>
  <c r="M31" i="10" s="1"/>
  <c r="B32" i="10"/>
  <c r="M32" i="10" s="1"/>
  <c r="B33" i="10"/>
  <c r="M33" i="10" s="1"/>
  <c r="T27" i="10" l="1"/>
  <c r="O26" i="10"/>
  <c r="U27" i="10"/>
  <c r="P26" i="10"/>
  <c r="A115" i="11"/>
  <c r="A164" i="11"/>
  <c r="A100" i="11"/>
  <c r="A149" i="11"/>
  <c r="A128" i="11"/>
  <c r="A129" i="11" s="1"/>
  <c r="A130" i="11" s="1"/>
  <c r="A131" i="11" s="1"/>
  <c r="A132" i="11" s="1"/>
  <c r="S15" i="9"/>
  <c r="S14" i="9"/>
  <c r="S13" i="9"/>
  <c r="S12" i="9"/>
  <c r="R15" i="9"/>
  <c r="R14" i="9"/>
  <c r="R13" i="9"/>
  <c r="R12" i="9"/>
  <c r="M16" i="9"/>
  <c r="L16" i="9"/>
  <c r="M15" i="9"/>
  <c r="L15" i="9"/>
  <c r="M14" i="9"/>
  <c r="L14" i="9"/>
  <c r="M13" i="9"/>
  <c r="L13" i="9"/>
  <c r="A165" i="11" l="1"/>
  <c r="A166" i="11" s="1"/>
  <c r="A167" i="11" s="1"/>
  <c r="A168" i="11" s="1"/>
  <c r="A169" i="11" s="1"/>
  <c r="A170" i="11" s="1"/>
  <c r="A171" i="11" s="1"/>
  <c r="U28" i="10"/>
  <c r="P27" i="10"/>
  <c r="N13" i="9"/>
  <c r="T28" i="10"/>
  <c r="O27" i="10"/>
  <c r="N14" i="9"/>
  <c r="N15" i="9"/>
  <c r="O15" i="9" s="1"/>
  <c r="T12" i="9"/>
  <c r="L19" i="9"/>
  <c r="L20" i="9" s="1"/>
  <c r="L21" i="9" s="1"/>
  <c r="T14" i="9"/>
  <c r="U15" i="9" s="1"/>
  <c r="S18" i="9"/>
  <c r="S19" i="9" s="1"/>
  <c r="S20" i="9" s="1"/>
  <c r="M19" i="9"/>
  <c r="M20" i="9" s="1"/>
  <c r="M21" i="9" s="1"/>
  <c r="T15" i="9"/>
  <c r="R18" i="9"/>
  <c r="R19" i="9" s="1"/>
  <c r="R20" i="9" s="1"/>
  <c r="A133" i="1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82" i="11"/>
  <c r="A101" i="11"/>
  <c r="A150" i="11"/>
  <c r="A172" i="11"/>
  <c r="A221" i="11"/>
  <c r="T13" i="9"/>
  <c r="U14" i="9" s="1"/>
  <c r="N16" i="9"/>
  <c r="O16" i="9" s="1"/>
  <c r="T29" i="10" l="1"/>
  <c r="O28" i="10"/>
  <c r="U29" i="10"/>
  <c r="P28" i="10"/>
  <c r="A183" i="1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O14" i="9"/>
  <c r="O13" i="9"/>
  <c r="U16" i="9"/>
  <c r="V16" i="9"/>
  <c r="U13" i="9"/>
  <c r="A173" i="11"/>
  <c r="A222" i="11"/>
  <c r="A102" i="11"/>
  <c r="A151" i="11"/>
  <c r="A201" i="11" s="1"/>
  <c r="A3" i="8"/>
  <c r="O3" i="8" s="1"/>
  <c r="A4" i="8"/>
  <c r="O4" i="8" s="1"/>
  <c r="A5" i="8"/>
  <c r="O5" i="8" s="1"/>
  <c r="A6" i="8"/>
  <c r="O6" i="8" s="1"/>
  <c r="A7" i="8"/>
  <c r="O7" i="8" s="1"/>
  <c r="A8" i="8"/>
  <c r="O8" i="8" s="1"/>
  <c r="A9" i="8"/>
  <c r="O9" i="8" s="1"/>
  <c r="A10" i="8"/>
  <c r="O10" i="8" s="1"/>
  <c r="A11" i="8"/>
  <c r="O11" i="8" s="1"/>
  <c r="A12" i="8"/>
  <c r="O12" i="8" s="1"/>
  <c r="A13" i="8"/>
  <c r="O13" i="8" s="1"/>
  <c r="A14" i="8"/>
  <c r="O14" i="8" s="1"/>
  <c r="A15" i="8"/>
  <c r="O15" i="8" s="1"/>
  <c r="A16" i="8"/>
  <c r="O16" i="8" s="1"/>
  <c r="A17" i="8"/>
  <c r="O17" i="8" s="1"/>
  <c r="A18" i="8"/>
  <c r="O18" i="8" s="1"/>
  <c r="A19" i="8"/>
  <c r="O19" i="8" s="1"/>
  <c r="A20" i="8"/>
  <c r="O20" i="8" s="1"/>
  <c r="A21" i="8"/>
  <c r="O21" i="8" s="1"/>
  <c r="A22" i="8"/>
  <c r="O22" i="8" s="1"/>
  <c r="A23" i="8"/>
  <c r="O23" i="8" s="1"/>
  <c r="A24" i="8"/>
  <c r="O24" i="8" s="1"/>
  <c r="A25" i="8"/>
  <c r="O25" i="8" s="1"/>
  <c r="A26" i="8"/>
  <c r="O26" i="8" s="1"/>
  <c r="A27" i="8"/>
  <c r="O27" i="8" s="1"/>
  <c r="A28" i="8"/>
  <c r="O28" i="8" s="1"/>
  <c r="A29" i="8"/>
  <c r="O29" i="8" s="1"/>
  <c r="A30" i="8"/>
  <c r="O30" i="8" s="1"/>
  <c r="A31" i="8"/>
  <c r="O31" i="8" s="1"/>
  <c r="A32" i="8"/>
  <c r="O32" i="8" s="1"/>
  <c r="A33" i="8"/>
  <c r="O33" i="8" s="1"/>
  <c r="A34" i="8"/>
  <c r="O34" i="8" s="1"/>
  <c r="A35" i="8"/>
  <c r="O35" i="8" s="1"/>
  <c r="A36" i="8"/>
  <c r="O36" i="8" s="1"/>
  <c r="A37" i="8"/>
  <c r="O37" i="8" s="1"/>
  <c r="A38" i="8"/>
  <c r="O38" i="8" s="1"/>
  <c r="A2" i="8"/>
  <c r="O2" i="8" s="1"/>
  <c r="L3" i="8"/>
  <c r="L4" i="8"/>
  <c r="L5" i="8"/>
  <c r="L6" i="8"/>
  <c r="L7" i="8"/>
  <c r="L8" i="8"/>
  <c r="L9" i="8"/>
  <c r="L10" i="8"/>
  <c r="L39" i="8" s="1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33" i="8"/>
  <c r="J34" i="8"/>
  <c r="J35" i="8"/>
  <c r="J36" i="8"/>
  <c r="J37" i="8"/>
  <c r="J2" i="8"/>
  <c r="I33" i="8"/>
  <c r="I32" i="8"/>
  <c r="J32" i="8" s="1"/>
  <c r="I31" i="8"/>
  <c r="J31" i="8" s="1"/>
  <c r="I30" i="8"/>
  <c r="J30" i="8" s="1"/>
  <c r="I29" i="8"/>
  <c r="J29" i="8" s="1"/>
  <c r="I28" i="8"/>
  <c r="J28" i="8" s="1"/>
  <c r="I27" i="8"/>
  <c r="J27" i="8" s="1"/>
  <c r="I26" i="8"/>
  <c r="J26" i="8" s="1"/>
  <c r="I25" i="8"/>
  <c r="J25" i="8" s="1"/>
  <c r="I24" i="8"/>
  <c r="J24" i="8" s="1"/>
  <c r="I23" i="8"/>
  <c r="J23" i="8" s="1"/>
  <c r="I22" i="8"/>
  <c r="J22" i="8" s="1"/>
  <c r="I21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7" i="8"/>
  <c r="H29" i="8"/>
  <c r="H30" i="8"/>
  <c r="H2" i="8"/>
  <c r="G38" i="8"/>
  <c r="H38" i="8" s="1"/>
  <c r="G37" i="8"/>
  <c r="H37" i="8" s="1"/>
  <c r="G36" i="8"/>
  <c r="H36" i="8" s="1"/>
  <c r="G35" i="8"/>
  <c r="H35" i="8" s="1"/>
  <c r="G34" i="8"/>
  <c r="H34" i="8" s="1"/>
  <c r="G33" i="8"/>
  <c r="H33" i="8" s="1"/>
  <c r="G32" i="8"/>
  <c r="H32" i="8" s="1"/>
  <c r="G31" i="8"/>
  <c r="H31" i="8" s="1"/>
  <c r="G30" i="8"/>
  <c r="G28" i="8"/>
  <c r="H28" i="8" s="1"/>
  <c r="G27" i="8"/>
  <c r="G26" i="8"/>
  <c r="H26" i="8" s="1"/>
  <c r="G25" i="8"/>
  <c r="H25" i="8" s="1"/>
  <c r="G24" i="8"/>
  <c r="H24" i="8" s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2" i="8"/>
  <c r="F39" i="8" l="1"/>
  <c r="U30" i="10"/>
  <c r="P29" i="10"/>
  <c r="T30" i="10"/>
  <c r="O29" i="10"/>
  <c r="A103" i="11"/>
  <c r="A152" i="11"/>
  <c r="A202" i="11" s="1"/>
  <c r="A174" i="11"/>
  <c r="A223" i="11"/>
  <c r="J39" i="8"/>
  <c r="T31" i="10" l="1"/>
  <c r="O30" i="10"/>
  <c r="U31" i="10"/>
  <c r="P30" i="10"/>
  <c r="A175" i="11"/>
  <c r="A224" i="11"/>
  <c r="A104" i="11"/>
  <c r="A153" i="11"/>
  <c r="A203" i="11" s="1"/>
  <c r="T32" i="10" l="1"/>
  <c r="O31" i="10"/>
  <c r="U32" i="10"/>
  <c r="P31" i="10"/>
  <c r="A105" i="11"/>
  <c r="A106" i="11" s="1"/>
  <c r="A107" i="11" s="1"/>
  <c r="A108" i="11" s="1"/>
  <c r="A109" i="11" s="1"/>
  <c r="A110" i="11" s="1"/>
  <c r="A154" i="11"/>
  <c r="A155" i="11" s="1"/>
  <c r="A156" i="11" s="1"/>
  <c r="A157" i="11" s="1"/>
  <c r="A158" i="11" s="1"/>
  <c r="A159" i="11" s="1"/>
  <c r="A176" i="11"/>
  <c r="A177" i="11" s="1"/>
  <c r="A178" i="11" s="1"/>
  <c r="A179" i="11" s="1"/>
  <c r="A180" i="11" s="1"/>
  <c r="A181" i="11" s="1"/>
  <c r="A225" i="1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X24" i="4"/>
  <c r="X30" i="4"/>
  <c r="X31" i="4"/>
  <c r="X32" i="4"/>
  <c r="X37" i="4"/>
  <c r="X38" i="4"/>
  <c r="X39" i="4"/>
  <c r="X40" i="4"/>
  <c r="X41" i="4"/>
  <c r="X45" i="4"/>
  <c r="X46" i="4"/>
  <c r="X47" i="4"/>
  <c r="X48" i="4"/>
  <c r="X49" i="4"/>
  <c r="W18" i="4"/>
  <c r="V18" i="4"/>
  <c r="V17" i="4"/>
  <c r="V16" i="4"/>
  <c r="X17" i="4" s="1"/>
  <c r="V15" i="4"/>
  <c r="R4" i="4"/>
  <c r="Q4" i="4"/>
  <c r="S4" i="4" s="1"/>
  <c r="R3" i="4"/>
  <c r="Q3" i="4"/>
  <c r="U59" i="4"/>
  <c r="T59" i="4"/>
  <c r="O60" i="4"/>
  <c r="P60" i="4"/>
  <c r="Q60" i="4"/>
  <c r="O61" i="4"/>
  <c r="P61" i="4"/>
  <c r="Q61" i="4"/>
  <c r="O62" i="4"/>
  <c r="P62" i="4"/>
  <c r="Q62" i="4"/>
  <c r="O63" i="4"/>
  <c r="P63" i="4"/>
  <c r="Q63" i="4"/>
  <c r="O64" i="4"/>
  <c r="P64" i="4"/>
  <c r="Q64" i="4"/>
  <c r="O65" i="4"/>
  <c r="P65" i="4"/>
  <c r="Q65" i="4"/>
  <c r="O66" i="4"/>
  <c r="P66" i="4"/>
  <c r="Q66" i="4"/>
  <c r="O67" i="4"/>
  <c r="P67" i="4"/>
  <c r="Q67" i="4"/>
  <c r="O68" i="4"/>
  <c r="P68" i="4"/>
  <c r="Q68" i="4"/>
  <c r="O69" i="4"/>
  <c r="P69" i="4"/>
  <c r="Q69" i="4"/>
  <c r="O70" i="4"/>
  <c r="P70" i="4"/>
  <c r="Q70" i="4"/>
  <c r="O71" i="4"/>
  <c r="P71" i="4"/>
  <c r="Q71" i="4"/>
  <c r="O72" i="4"/>
  <c r="P72" i="4"/>
  <c r="Q72" i="4"/>
  <c r="O73" i="4"/>
  <c r="P73" i="4"/>
  <c r="Q73" i="4"/>
  <c r="O74" i="4"/>
  <c r="P74" i="4"/>
  <c r="Q74" i="4"/>
  <c r="O75" i="4"/>
  <c r="P75" i="4"/>
  <c r="Q75" i="4"/>
  <c r="O76" i="4"/>
  <c r="P76" i="4"/>
  <c r="Q76" i="4"/>
  <c r="Q59" i="4"/>
  <c r="P59" i="4"/>
  <c r="O59" i="4"/>
  <c r="V76" i="4"/>
  <c r="U76" i="4"/>
  <c r="T76" i="4"/>
  <c r="V75" i="4"/>
  <c r="U75" i="4"/>
  <c r="T75" i="4"/>
  <c r="V74" i="4"/>
  <c r="U74" i="4"/>
  <c r="T74" i="4"/>
  <c r="V73" i="4"/>
  <c r="U73" i="4"/>
  <c r="T73" i="4"/>
  <c r="V72" i="4"/>
  <c r="U72" i="4"/>
  <c r="T72" i="4"/>
  <c r="V71" i="4"/>
  <c r="U71" i="4"/>
  <c r="T71" i="4"/>
  <c r="V70" i="4"/>
  <c r="U70" i="4"/>
  <c r="T70" i="4"/>
  <c r="V69" i="4"/>
  <c r="U69" i="4"/>
  <c r="T69" i="4"/>
  <c r="V68" i="4"/>
  <c r="U68" i="4"/>
  <c r="T68" i="4"/>
  <c r="V67" i="4"/>
  <c r="U67" i="4"/>
  <c r="T67" i="4"/>
  <c r="V66" i="4"/>
  <c r="U66" i="4"/>
  <c r="T66" i="4"/>
  <c r="V65" i="4"/>
  <c r="U65" i="4"/>
  <c r="T65" i="4"/>
  <c r="V64" i="4"/>
  <c r="U64" i="4"/>
  <c r="T64" i="4"/>
  <c r="V63" i="4"/>
  <c r="U63" i="4"/>
  <c r="T63" i="4"/>
  <c r="V62" i="4"/>
  <c r="U62" i="4"/>
  <c r="T62" i="4"/>
  <c r="V61" i="4"/>
  <c r="U61" i="4"/>
  <c r="T61" i="4"/>
  <c r="V60" i="4"/>
  <c r="U60" i="4"/>
  <c r="T60" i="4"/>
  <c r="V59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60" i="4" l="1"/>
  <c r="W66" i="4"/>
  <c r="R72" i="4"/>
  <c r="W61" i="4"/>
  <c r="X23" i="4"/>
  <c r="X22" i="4"/>
  <c r="X29" i="4"/>
  <c r="X21" i="4"/>
  <c r="W15" i="4"/>
  <c r="X16" i="4"/>
  <c r="X44" i="4"/>
  <c r="X36" i="4"/>
  <c r="X28" i="4"/>
  <c r="X20" i="4"/>
  <c r="W17" i="4"/>
  <c r="X51" i="4"/>
  <c r="X43" i="4"/>
  <c r="X35" i="4"/>
  <c r="X27" i="4"/>
  <c r="X19" i="4"/>
  <c r="U33" i="10"/>
  <c r="P32" i="10"/>
  <c r="S3" i="4"/>
  <c r="O4" i="4"/>
  <c r="W76" i="4" s="1"/>
  <c r="X50" i="4"/>
  <c r="X42" i="4"/>
  <c r="X34" i="4"/>
  <c r="X26" i="4"/>
  <c r="X18" i="4"/>
  <c r="X33" i="4"/>
  <c r="X25" i="4"/>
  <c r="T33" i="10"/>
  <c r="O32" i="10"/>
  <c r="A244" i="11"/>
  <c r="A293" i="11"/>
  <c r="A111" i="11"/>
  <c r="A112" i="11" s="1"/>
  <c r="A160" i="11"/>
  <c r="A204" i="11"/>
  <c r="A205" i="11" s="1"/>
  <c r="A206" i="11" s="1"/>
  <c r="A207" i="11" s="1"/>
  <c r="A208" i="11" s="1"/>
  <c r="A209" i="11" s="1"/>
  <c r="A210" i="11" s="1"/>
  <c r="T4" i="4"/>
  <c r="R65" i="4" l="1"/>
  <c r="W71" i="4"/>
  <c r="R73" i="4"/>
  <c r="W69" i="4"/>
  <c r="W75" i="4"/>
  <c r="R70" i="4"/>
  <c r="W67" i="4"/>
  <c r="R63" i="4"/>
  <c r="T34" i="10"/>
  <c r="O33" i="10"/>
  <c r="R75" i="4"/>
  <c r="R71" i="4"/>
  <c r="W59" i="4"/>
  <c r="R61" i="4"/>
  <c r="R69" i="4"/>
  <c r="R68" i="4"/>
  <c r="W62" i="4"/>
  <c r="W70" i="4"/>
  <c r="R76" i="4"/>
  <c r="R67" i="4"/>
  <c r="R60" i="4"/>
  <c r="W74" i="4"/>
  <c r="W64" i="4"/>
  <c r="R62" i="4"/>
  <c r="U34" i="10"/>
  <c r="P33" i="10"/>
  <c r="W73" i="4"/>
  <c r="R66" i="4"/>
  <c r="W72" i="4"/>
  <c r="R74" i="4"/>
  <c r="R64" i="4"/>
  <c r="W65" i="4"/>
  <c r="W63" i="4"/>
  <c r="R59" i="4"/>
  <c r="W68" i="4"/>
  <c r="A161" i="11"/>
  <c r="A162" i="11" s="1"/>
  <c r="A163" i="11" s="1"/>
  <c r="A245" i="11"/>
  <c r="A294" i="11"/>
  <c r="D9" i="4"/>
  <c r="P9" i="4"/>
  <c r="P8" i="4"/>
  <c r="K9" i="4"/>
  <c r="K8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16" i="4"/>
  <c r="J51" i="4"/>
  <c r="L51" i="4"/>
  <c r="K51" i="4"/>
  <c r="L17" i="4"/>
  <c r="K17" i="4"/>
  <c r="J17" i="4"/>
  <c r="G60" i="4"/>
  <c r="H60" i="4"/>
  <c r="I60" i="4"/>
  <c r="G61" i="4"/>
  <c r="H61" i="4"/>
  <c r="I61" i="4"/>
  <c r="G62" i="4"/>
  <c r="H62" i="4"/>
  <c r="I62" i="4"/>
  <c r="G63" i="4"/>
  <c r="H63" i="4"/>
  <c r="I63" i="4"/>
  <c r="J63" i="4" s="1"/>
  <c r="G64" i="4"/>
  <c r="H64" i="4"/>
  <c r="I64" i="4"/>
  <c r="G65" i="4"/>
  <c r="H65" i="4"/>
  <c r="I65" i="4"/>
  <c r="G66" i="4"/>
  <c r="H66" i="4"/>
  <c r="I66" i="4"/>
  <c r="J66" i="4" s="1"/>
  <c r="G67" i="4"/>
  <c r="H67" i="4"/>
  <c r="I67" i="4"/>
  <c r="J67" i="4" s="1"/>
  <c r="G68" i="4"/>
  <c r="H68" i="4"/>
  <c r="I68" i="4"/>
  <c r="G69" i="4"/>
  <c r="H69" i="4"/>
  <c r="I69" i="4"/>
  <c r="J69" i="4" s="1"/>
  <c r="G70" i="4"/>
  <c r="H70" i="4"/>
  <c r="I70" i="4"/>
  <c r="G71" i="4"/>
  <c r="H71" i="4"/>
  <c r="I71" i="4"/>
  <c r="J71" i="4" s="1"/>
  <c r="G72" i="4"/>
  <c r="H72" i="4"/>
  <c r="I72" i="4"/>
  <c r="G73" i="4"/>
  <c r="H73" i="4"/>
  <c r="I73" i="4"/>
  <c r="J73" i="4" s="1"/>
  <c r="G74" i="4"/>
  <c r="H74" i="4"/>
  <c r="I74" i="4"/>
  <c r="J74" i="4" s="1"/>
  <c r="G75" i="4"/>
  <c r="H75" i="4"/>
  <c r="I75" i="4"/>
  <c r="J75" i="4" s="1"/>
  <c r="G76" i="4"/>
  <c r="H76" i="4"/>
  <c r="I76" i="4"/>
  <c r="I59" i="4"/>
  <c r="J59" i="4" s="1"/>
  <c r="H59" i="4"/>
  <c r="G59" i="4"/>
  <c r="B60" i="4"/>
  <c r="C60" i="4"/>
  <c r="D60" i="4"/>
  <c r="B61" i="4"/>
  <c r="C61" i="4"/>
  <c r="D61" i="4"/>
  <c r="E61" i="4" s="1"/>
  <c r="B62" i="4"/>
  <c r="C62" i="4"/>
  <c r="D62" i="4"/>
  <c r="E62" i="4" s="1"/>
  <c r="B63" i="4"/>
  <c r="C63" i="4"/>
  <c r="D63" i="4"/>
  <c r="E63" i="4" s="1"/>
  <c r="B64" i="4"/>
  <c r="C64" i="4"/>
  <c r="D64" i="4"/>
  <c r="E64" i="4" s="1"/>
  <c r="B65" i="4"/>
  <c r="C65" i="4"/>
  <c r="D65" i="4"/>
  <c r="B66" i="4"/>
  <c r="C66" i="4"/>
  <c r="D66" i="4"/>
  <c r="E66" i="4" s="1"/>
  <c r="B67" i="4"/>
  <c r="C67" i="4"/>
  <c r="D67" i="4"/>
  <c r="E67" i="4" s="1"/>
  <c r="B68" i="4"/>
  <c r="C68" i="4"/>
  <c r="D68" i="4"/>
  <c r="B69" i="4"/>
  <c r="C69" i="4"/>
  <c r="D69" i="4"/>
  <c r="B70" i="4"/>
  <c r="C70" i="4"/>
  <c r="D70" i="4"/>
  <c r="B71" i="4"/>
  <c r="C71" i="4"/>
  <c r="D71" i="4"/>
  <c r="E71" i="4" s="1"/>
  <c r="B72" i="4"/>
  <c r="C72" i="4"/>
  <c r="D72" i="4"/>
  <c r="E72" i="4" s="1"/>
  <c r="B73" i="4"/>
  <c r="C73" i="4"/>
  <c r="D73" i="4"/>
  <c r="B74" i="4"/>
  <c r="C74" i="4"/>
  <c r="D74" i="4"/>
  <c r="E74" i="4" s="1"/>
  <c r="B75" i="4"/>
  <c r="C75" i="4"/>
  <c r="D75" i="4"/>
  <c r="E75" i="4" s="1"/>
  <c r="B76" i="4"/>
  <c r="C76" i="4"/>
  <c r="D76" i="4"/>
  <c r="AI17" i="4"/>
  <c r="AI18" i="4" s="1"/>
  <c r="AI19" i="4" s="1"/>
  <c r="AI20" i="4" s="1"/>
  <c r="AI21" i="4" s="1"/>
  <c r="AI22" i="4" s="1"/>
  <c r="AI23" i="4" s="1"/>
  <c r="AI24" i="4" s="1"/>
  <c r="AI25" i="4" s="1"/>
  <c r="AI26" i="4" s="1"/>
  <c r="AI27" i="4" s="1"/>
  <c r="AI28" i="4" s="1"/>
  <c r="AI29" i="4" s="1"/>
  <c r="AI30" i="4" s="1"/>
  <c r="AI31" i="4" s="1"/>
  <c r="AI32" i="4" s="1"/>
  <c r="AI33" i="4" s="1"/>
  <c r="AI34" i="4" s="1"/>
  <c r="AI35" i="4" s="1"/>
  <c r="AI36" i="4" s="1"/>
  <c r="AI37" i="4" s="1"/>
  <c r="AI38" i="4" s="1"/>
  <c r="AI39" i="4" s="1"/>
  <c r="AI40" i="4" s="1"/>
  <c r="AI41" i="4" s="1"/>
  <c r="AI42" i="4" s="1"/>
  <c r="AI43" i="4" s="1"/>
  <c r="AI44" i="4" s="1"/>
  <c r="AI45" i="4" s="1"/>
  <c r="AI46" i="4" s="1"/>
  <c r="AI47" i="4" s="1"/>
  <c r="AI48" i="4" s="1"/>
  <c r="AI49" i="4" s="1"/>
  <c r="AI50" i="4" s="1"/>
  <c r="AI51" i="4" s="1"/>
  <c r="D59" i="4"/>
  <c r="C59" i="4"/>
  <c r="B59" i="4"/>
  <c r="J76" i="4"/>
  <c r="E76" i="4"/>
  <c r="E73" i="4"/>
  <c r="J72" i="4"/>
  <c r="J70" i="4"/>
  <c r="E70" i="4"/>
  <c r="E69" i="4"/>
  <c r="J68" i="4"/>
  <c r="E68" i="4"/>
  <c r="J65" i="4"/>
  <c r="E65" i="4"/>
  <c r="J64" i="4"/>
  <c r="J62" i="4"/>
  <c r="J61" i="4"/>
  <c r="J60" i="4"/>
  <c r="E60" i="4"/>
  <c r="E59" i="4"/>
  <c r="U35" i="10" l="1"/>
  <c r="P34" i="10"/>
  <c r="T35" i="10"/>
  <c r="O34" i="10"/>
  <c r="A246" i="11"/>
  <c r="A295" i="11"/>
  <c r="A211" i="11"/>
  <c r="A212" i="11" s="1"/>
  <c r="A213" i="11" s="1"/>
  <c r="A214" i="11" s="1"/>
  <c r="A215" i="11" s="1"/>
  <c r="A216" i="11" s="1"/>
  <c r="A217" i="11" s="1"/>
  <c r="A218" i="11" s="1"/>
  <c r="A219" i="11" s="1"/>
  <c r="J14" i="5"/>
  <c r="K14" i="5"/>
  <c r="L14" i="5"/>
  <c r="M14" i="5"/>
  <c r="N14" i="5"/>
  <c r="Q8" i="5"/>
  <c r="R8" i="5"/>
  <c r="Q3" i="5"/>
  <c r="X57" i="5"/>
  <c r="W57" i="5"/>
  <c r="Z23" i="5"/>
  <c r="Y23" i="5"/>
  <c r="AD23" i="5"/>
  <c r="AD24" i="5" s="1"/>
  <c r="AD25" i="5" s="1"/>
  <c r="AD26" i="5" s="1"/>
  <c r="AD27" i="5" s="1"/>
  <c r="AD28" i="5" s="1"/>
  <c r="AD29" i="5" s="1"/>
  <c r="AD30" i="5" s="1"/>
  <c r="AD31" i="5" s="1"/>
  <c r="AD32" i="5" s="1"/>
  <c r="AD33" i="5" s="1"/>
  <c r="AD34" i="5" s="1"/>
  <c r="AD35" i="5" s="1"/>
  <c r="AD36" i="5" s="1"/>
  <c r="AD37" i="5" s="1"/>
  <c r="AD38" i="5" s="1"/>
  <c r="AD39" i="5" s="1"/>
  <c r="AD40" i="5" s="1"/>
  <c r="AD41" i="5" s="1"/>
  <c r="AD42" i="5" s="1"/>
  <c r="AD43" i="5" s="1"/>
  <c r="AD44" i="5" s="1"/>
  <c r="AD45" i="5" s="1"/>
  <c r="AD46" i="5" s="1"/>
  <c r="AD47" i="5" s="1"/>
  <c r="AD48" i="5" s="1"/>
  <c r="AD49" i="5" s="1"/>
  <c r="AD50" i="5" s="1"/>
  <c r="AD51" i="5" s="1"/>
  <c r="AD52" i="5" s="1"/>
  <c r="AD53" i="5" s="1"/>
  <c r="AD54" i="5" s="1"/>
  <c r="AD55" i="5" s="1"/>
  <c r="AD56" i="5" s="1"/>
  <c r="AD57" i="5" s="1"/>
  <c r="AD58" i="5" s="1"/>
  <c r="X81" i="5"/>
  <c r="W81" i="5"/>
  <c r="V81" i="5"/>
  <c r="S81" i="5"/>
  <c r="R81" i="5"/>
  <c r="Q81" i="5"/>
  <c r="X80" i="5"/>
  <c r="W80" i="5"/>
  <c r="V80" i="5"/>
  <c r="S80" i="5"/>
  <c r="R80" i="5"/>
  <c r="Q80" i="5"/>
  <c r="X79" i="5"/>
  <c r="W79" i="5"/>
  <c r="V79" i="5"/>
  <c r="S79" i="5"/>
  <c r="R79" i="5"/>
  <c r="Q79" i="5"/>
  <c r="X78" i="5"/>
  <c r="W78" i="5"/>
  <c r="V78" i="5"/>
  <c r="S78" i="5"/>
  <c r="R78" i="5"/>
  <c r="Q78" i="5"/>
  <c r="X77" i="5"/>
  <c r="W77" i="5"/>
  <c r="V77" i="5"/>
  <c r="S77" i="5"/>
  <c r="T77" i="5" s="1"/>
  <c r="R77" i="5"/>
  <c r="Q77" i="5"/>
  <c r="X76" i="5"/>
  <c r="W76" i="5"/>
  <c r="V76" i="5"/>
  <c r="S76" i="5"/>
  <c r="T76" i="5" s="1"/>
  <c r="R76" i="5"/>
  <c r="Q76" i="5"/>
  <c r="X75" i="5"/>
  <c r="Y75" i="5" s="1"/>
  <c r="W75" i="5"/>
  <c r="V75" i="5"/>
  <c r="S75" i="5"/>
  <c r="R75" i="5"/>
  <c r="Q75" i="5"/>
  <c r="X74" i="5"/>
  <c r="W74" i="5"/>
  <c r="V74" i="5"/>
  <c r="S74" i="5"/>
  <c r="T74" i="5" s="1"/>
  <c r="R74" i="5"/>
  <c r="Q74" i="5"/>
  <c r="X73" i="5"/>
  <c r="W73" i="5"/>
  <c r="V73" i="5"/>
  <c r="S73" i="5"/>
  <c r="R73" i="5"/>
  <c r="Q73" i="5"/>
  <c r="X72" i="5"/>
  <c r="W72" i="5"/>
  <c r="V72" i="5"/>
  <c r="S72" i="5"/>
  <c r="R72" i="5"/>
  <c r="Q72" i="5"/>
  <c r="X71" i="5"/>
  <c r="W71" i="5"/>
  <c r="V71" i="5"/>
  <c r="S71" i="5"/>
  <c r="R71" i="5"/>
  <c r="Q71" i="5"/>
  <c r="X70" i="5"/>
  <c r="W70" i="5"/>
  <c r="V70" i="5"/>
  <c r="S70" i="5"/>
  <c r="R70" i="5"/>
  <c r="Q70" i="5"/>
  <c r="X69" i="5"/>
  <c r="W69" i="5"/>
  <c r="V69" i="5"/>
  <c r="S69" i="5"/>
  <c r="T69" i="5" s="1"/>
  <c r="R69" i="5"/>
  <c r="Q69" i="5"/>
  <c r="X68" i="5"/>
  <c r="W68" i="5"/>
  <c r="V68" i="5"/>
  <c r="S68" i="5"/>
  <c r="T68" i="5" s="1"/>
  <c r="R68" i="5"/>
  <c r="Q68" i="5"/>
  <c r="X67" i="5"/>
  <c r="Y67" i="5" s="1"/>
  <c r="W67" i="5"/>
  <c r="V67" i="5"/>
  <c r="S67" i="5"/>
  <c r="R67" i="5"/>
  <c r="Q67" i="5"/>
  <c r="X66" i="5"/>
  <c r="W66" i="5"/>
  <c r="V66" i="5"/>
  <c r="S66" i="5"/>
  <c r="T66" i="5" s="1"/>
  <c r="R66" i="5"/>
  <c r="Q66" i="5"/>
  <c r="X65" i="5"/>
  <c r="W65" i="5"/>
  <c r="V65" i="5"/>
  <c r="S65" i="5"/>
  <c r="T65" i="5" s="1"/>
  <c r="R65" i="5"/>
  <c r="Q65" i="5"/>
  <c r="X64" i="5"/>
  <c r="W64" i="5"/>
  <c r="V64" i="5"/>
  <c r="S64" i="5"/>
  <c r="T64" i="5" s="1"/>
  <c r="R64" i="5"/>
  <c r="Q64" i="5"/>
  <c r="V9" i="5"/>
  <c r="Q9" i="5"/>
  <c r="U8" i="5"/>
  <c r="T8" i="5"/>
  <c r="V8" i="5" s="1"/>
  <c r="O4" i="5" s="1"/>
  <c r="S8" i="5"/>
  <c r="R3" i="5" s="1"/>
  <c r="I65" i="5"/>
  <c r="J65" i="5"/>
  <c r="K65" i="5"/>
  <c r="I66" i="5"/>
  <c r="J66" i="5"/>
  <c r="K66" i="5"/>
  <c r="I67" i="5"/>
  <c r="J67" i="5"/>
  <c r="K67" i="5"/>
  <c r="I68" i="5"/>
  <c r="J68" i="5"/>
  <c r="K68" i="5"/>
  <c r="I69" i="5"/>
  <c r="J69" i="5"/>
  <c r="K69" i="5"/>
  <c r="I70" i="5"/>
  <c r="J70" i="5"/>
  <c r="K70" i="5"/>
  <c r="I71" i="5"/>
  <c r="J71" i="5"/>
  <c r="K71" i="5"/>
  <c r="I72" i="5"/>
  <c r="J72" i="5"/>
  <c r="K72" i="5"/>
  <c r="I73" i="5"/>
  <c r="J73" i="5"/>
  <c r="K73" i="5"/>
  <c r="I74" i="5"/>
  <c r="J74" i="5"/>
  <c r="K74" i="5"/>
  <c r="I75" i="5"/>
  <c r="J75" i="5"/>
  <c r="K75" i="5"/>
  <c r="I76" i="5"/>
  <c r="J76" i="5"/>
  <c r="K76" i="5"/>
  <c r="I77" i="5"/>
  <c r="J77" i="5"/>
  <c r="K77" i="5"/>
  <c r="I78" i="5"/>
  <c r="J78" i="5"/>
  <c r="K78" i="5"/>
  <c r="I79" i="5"/>
  <c r="J79" i="5"/>
  <c r="K79" i="5"/>
  <c r="I80" i="5"/>
  <c r="J80" i="5"/>
  <c r="K80" i="5"/>
  <c r="I81" i="5"/>
  <c r="J81" i="5"/>
  <c r="K81" i="5"/>
  <c r="K64" i="5"/>
  <c r="J64" i="5"/>
  <c r="I64" i="5"/>
  <c r="D65" i="5"/>
  <c r="E65" i="5"/>
  <c r="F65" i="5"/>
  <c r="D66" i="5"/>
  <c r="E66" i="5"/>
  <c r="F66" i="5"/>
  <c r="D67" i="5"/>
  <c r="E67" i="5"/>
  <c r="F67" i="5"/>
  <c r="D68" i="5"/>
  <c r="E68" i="5"/>
  <c r="F68" i="5"/>
  <c r="D69" i="5"/>
  <c r="E69" i="5"/>
  <c r="F69" i="5"/>
  <c r="D70" i="5"/>
  <c r="E70" i="5"/>
  <c r="F70" i="5"/>
  <c r="D71" i="5"/>
  <c r="E71" i="5"/>
  <c r="F71" i="5"/>
  <c r="D72" i="5"/>
  <c r="E72" i="5"/>
  <c r="F72" i="5"/>
  <c r="D73" i="5"/>
  <c r="E73" i="5"/>
  <c r="F73" i="5"/>
  <c r="D74" i="5"/>
  <c r="E74" i="5"/>
  <c r="F74" i="5"/>
  <c r="D75" i="5"/>
  <c r="E75" i="5"/>
  <c r="F75" i="5"/>
  <c r="D76" i="5"/>
  <c r="E76" i="5"/>
  <c r="F76" i="5"/>
  <c r="D77" i="5"/>
  <c r="E77" i="5"/>
  <c r="F77" i="5"/>
  <c r="D78" i="5"/>
  <c r="E78" i="5"/>
  <c r="F78" i="5"/>
  <c r="D79" i="5"/>
  <c r="E79" i="5"/>
  <c r="F79" i="5"/>
  <c r="D80" i="5"/>
  <c r="E80" i="5"/>
  <c r="F80" i="5"/>
  <c r="D81" i="5"/>
  <c r="E81" i="5"/>
  <c r="F81" i="5"/>
  <c r="F64" i="5"/>
  <c r="E64" i="5"/>
  <c r="D64" i="5"/>
  <c r="D4" i="5"/>
  <c r="E4" i="5"/>
  <c r="F4" i="5"/>
  <c r="I9" i="5"/>
  <c r="O14" i="5" s="1"/>
  <c r="D9" i="5"/>
  <c r="D8" i="5"/>
  <c r="N13" i="5" s="1"/>
  <c r="E8" i="5"/>
  <c r="J13" i="5" s="1"/>
  <c r="Y66" i="5" l="1"/>
  <c r="Y78" i="5"/>
  <c r="Y77" i="5"/>
  <c r="V51" i="5"/>
  <c r="V43" i="5"/>
  <c r="V30" i="5"/>
  <c r="AK51" i="5"/>
  <c r="AK43" i="5"/>
  <c r="AK35" i="5"/>
  <c r="AK27" i="5"/>
  <c r="V32" i="5"/>
  <c r="V55" i="5"/>
  <c r="V50" i="5"/>
  <c r="V42" i="5"/>
  <c r="V27" i="5"/>
  <c r="AK50" i="5"/>
  <c r="AK42" i="5"/>
  <c r="AK34" i="5"/>
  <c r="AK26" i="5"/>
  <c r="V23" i="5"/>
  <c r="V33" i="5"/>
  <c r="X23" i="5"/>
  <c r="V49" i="5"/>
  <c r="V40" i="5"/>
  <c r="AK57" i="5"/>
  <c r="AK49" i="5"/>
  <c r="AK41" i="5"/>
  <c r="AK33" i="5"/>
  <c r="AK25" i="5"/>
  <c r="V24" i="5"/>
  <c r="V34" i="5"/>
  <c r="V35" i="5"/>
  <c r="W23" i="5"/>
  <c r="V48" i="5"/>
  <c r="V39" i="5"/>
  <c r="AK56" i="5"/>
  <c r="AK48" i="5"/>
  <c r="AK40" i="5"/>
  <c r="AK32" i="5"/>
  <c r="AK24" i="5"/>
  <c r="V25" i="5"/>
  <c r="V41" i="5"/>
  <c r="V44" i="5"/>
  <c r="Z57" i="5"/>
  <c r="V4" i="5"/>
  <c r="V47" i="5"/>
  <c r="V38" i="5"/>
  <c r="AK55" i="5"/>
  <c r="AK47" i="5"/>
  <c r="AK39" i="5"/>
  <c r="AK31" i="5"/>
  <c r="AK23" i="5"/>
  <c r="V26" i="5"/>
  <c r="V54" i="5"/>
  <c r="T70" i="5"/>
  <c r="Y57" i="5"/>
  <c r="V22" i="5"/>
  <c r="V46" i="5"/>
  <c r="V37" i="5"/>
  <c r="AK54" i="5"/>
  <c r="AK46" i="5"/>
  <c r="AK38" i="5"/>
  <c r="AK30" i="5"/>
  <c r="Y79" i="5"/>
  <c r="V28" i="5"/>
  <c r="V57" i="5"/>
  <c r="V53" i="5"/>
  <c r="V45" i="5"/>
  <c r="V36" i="5"/>
  <c r="AK53" i="5"/>
  <c r="AK45" i="5"/>
  <c r="AK37" i="5"/>
  <c r="AK29" i="5"/>
  <c r="AK22" i="5"/>
  <c r="V29" i="5"/>
  <c r="V56" i="5"/>
  <c r="V52" i="5"/>
  <c r="AK52" i="5"/>
  <c r="AK44" i="5"/>
  <c r="AK36" i="5"/>
  <c r="AK28" i="5"/>
  <c r="Y65" i="5"/>
  <c r="Y81" i="5"/>
  <c r="T73" i="5"/>
  <c r="V31" i="5"/>
  <c r="T67" i="5"/>
  <c r="T71" i="5"/>
  <c r="T75" i="5"/>
  <c r="Y80" i="5"/>
  <c r="Y70" i="5"/>
  <c r="T72" i="5"/>
  <c r="T80" i="5"/>
  <c r="Y69" i="5"/>
  <c r="T79" i="5"/>
  <c r="Y74" i="5"/>
  <c r="Y64" i="5"/>
  <c r="Y68" i="5"/>
  <c r="Y72" i="5"/>
  <c r="Y76" i="5"/>
  <c r="T36" i="10"/>
  <c r="O35" i="10"/>
  <c r="T78" i="5"/>
  <c r="Y71" i="5"/>
  <c r="U36" i="10"/>
  <c r="P35" i="10"/>
  <c r="Y73" i="5"/>
  <c r="T81" i="5"/>
  <c r="A247" i="11"/>
  <c r="A296" i="11"/>
  <c r="S3" i="5"/>
  <c r="V3" i="5" s="1"/>
  <c r="O36" i="10" l="1"/>
  <c r="T37" i="10"/>
  <c r="P36" i="10"/>
  <c r="U37" i="10"/>
  <c r="A248" i="1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7" i="11"/>
  <c r="U3" i="5"/>
  <c r="U38" i="10" l="1"/>
  <c r="P37" i="10"/>
  <c r="A298" i="1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65" i="11" s="1"/>
  <c r="T38" i="10"/>
  <c r="O37" i="10"/>
  <c r="A316" i="11"/>
  <c r="M5" i="1"/>
  <c r="N5" i="1"/>
  <c r="O5" i="1"/>
  <c r="P5" i="1"/>
  <c r="P4" i="1"/>
  <c r="O4" i="1"/>
  <c r="N4" i="1"/>
  <c r="M4" i="1"/>
  <c r="G5" i="1"/>
  <c r="H5" i="1"/>
  <c r="H4" i="1"/>
  <c r="G4" i="1"/>
  <c r="L9" i="1"/>
  <c r="R4" i="1" s="1"/>
  <c r="G9" i="1"/>
  <c r="I4" i="1" s="1"/>
  <c r="L10" i="1"/>
  <c r="R5" i="1" s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18" i="1"/>
  <c r="G10" i="1"/>
  <c r="Q5" i="1" s="1"/>
  <c r="J16" i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18" i="1"/>
  <c r="F8" i="5"/>
  <c r="L13" i="5" s="1"/>
  <c r="G8" i="5"/>
  <c r="H8" i="5"/>
  <c r="Q4" i="1" l="1"/>
  <c r="I5" i="1"/>
  <c r="T39" i="10"/>
  <c r="O38" i="10"/>
  <c r="M13" i="5"/>
  <c r="K9" i="5"/>
  <c r="M57" i="5"/>
  <c r="M23" i="5"/>
  <c r="L23" i="5"/>
  <c r="J9" i="5"/>
  <c r="K13" i="5"/>
  <c r="L57" i="5"/>
  <c r="U39" i="10"/>
  <c r="P38" i="10"/>
  <c r="A317" i="11"/>
  <c r="A366" i="11"/>
  <c r="D4" i="4"/>
  <c r="E8" i="4"/>
  <c r="D3" i="4" s="1"/>
  <c r="F8" i="4"/>
  <c r="G8" i="4"/>
  <c r="I8" i="4" s="1"/>
  <c r="J9" i="4" s="1"/>
  <c r="H8" i="4"/>
  <c r="D8" i="4"/>
  <c r="J8" i="4" s="1"/>
  <c r="E4" i="4"/>
  <c r="E3" i="4"/>
  <c r="D13" i="4"/>
  <c r="E5" i="1"/>
  <c r="G18" i="1"/>
  <c r="L18" i="1" s="1"/>
  <c r="M18" i="1" s="1"/>
  <c r="O23" i="5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55" i="5" s="1"/>
  <c r="O56" i="5" s="1"/>
  <c r="O57" i="5" s="1"/>
  <c r="O58" i="5" s="1"/>
  <c r="B23" i="5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Q19" i="5"/>
  <c r="D19" i="5"/>
  <c r="D10" i="5" s="1"/>
  <c r="N15" i="5" s="1"/>
  <c r="I8" i="5"/>
  <c r="E3" i="5"/>
  <c r="D3" i="5"/>
  <c r="N16" i="5" l="1"/>
  <c r="U40" i="10"/>
  <c r="P39" i="10"/>
  <c r="T40" i="10"/>
  <c r="O39" i="10"/>
  <c r="D11" i="4"/>
  <c r="D10" i="4"/>
  <c r="O13" i="5"/>
  <c r="B4" i="5"/>
  <c r="A318" i="11"/>
  <c r="A367" i="11"/>
  <c r="F4" i="4"/>
  <c r="U19" i="5"/>
  <c r="U10" i="5" s="1"/>
  <c r="Q10" i="5"/>
  <c r="E19" i="5"/>
  <c r="E10" i="5" s="1"/>
  <c r="D17" i="5"/>
  <c r="F3" i="5"/>
  <c r="H62" i="1"/>
  <c r="I62" i="1" s="1"/>
  <c r="O18" i="1"/>
  <c r="G62" i="1" s="1"/>
  <c r="M15" i="1"/>
  <c r="L19" i="1"/>
  <c r="N18" i="1"/>
  <c r="R19" i="5"/>
  <c r="R10" i="5" s="1"/>
  <c r="F3" i="4"/>
  <c r="H19" i="5"/>
  <c r="H10" i="5" s="1"/>
  <c r="M15" i="5" s="1"/>
  <c r="F19" i="5"/>
  <c r="F10" i="5" s="1"/>
  <c r="G19" i="5"/>
  <c r="G10" i="5" s="1"/>
  <c r="S19" i="5"/>
  <c r="S10" i="5" s="1"/>
  <c r="R5" i="5" s="1"/>
  <c r="T19" i="5"/>
  <c r="T10" i="5" s="1"/>
  <c r="J15" i="5" l="1"/>
  <c r="D5" i="5"/>
  <c r="K5" i="5"/>
  <c r="C11" i="4"/>
  <c r="J10" i="4"/>
  <c r="Q5" i="5"/>
  <c r="S5" i="5" s="1"/>
  <c r="T41" i="10"/>
  <c r="O40" i="10"/>
  <c r="K15" i="5"/>
  <c r="I10" i="5"/>
  <c r="O15" i="5" s="1"/>
  <c r="U41" i="10"/>
  <c r="P40" i="10"/>
  <c r="L15" i="5"/>
  <c r="L5" i="5"/>
  <c r="E5" i="5"/>
  <c r="I3" i="5"/>
  <c r="H3" i="5"/>
  <c r="I25" i="5"/>
  <c r="I33" i="5"/>
  <c r="I41" i="5"/>
  <c r="I49" i="5"/>
  <c r="I57" i="5"/>
  <c r="I54" i="5"/>
  <c r="I40" i="5"/>
  <c r="G75" i="5"/>
  <c r="I26" i="5"/>
  <c r="I34" i="5"/>
  <c r="I42" i="5"/>
  <c r="I50" i="5"/>
  <c r="I22" i="5"/>
  <c r="J23" i="5"/>
  <c r="K23" i="5" s="1"/>
  <c r="I27" i="5"/>
  <c r="I35" i="5"/>
  <c r="I43" i="5"/>
  <c r="I51" i="5"/>
  <c r="I24" i="5"/>
  <c r="I28" i="5"/>
  <c r="I36" i="5"/>
  <c r="I44" i="5"/>
  <c r="I52" i="5"/>
  <c r="J57" i="5"/>
  <c r="K57" i="5" s="1"/>
  <c r="I38" i="5"/>
  <c r="L77" i="5"/>
  <c r="I29" i="5"/>
  <c r="I37" i="5"/>
  <c r="I45" i="5"/>
  <c r="I53" i="5"/>
  <c r="L79" i="5"/>
  <c r="I32" i="5"/>
  <c r="G67" i="5"/>
  <c r="I30" i="5"/>
  <c r="I46" i="5"/>
  <c r="L71" i="5"/>
  <c r="I48" i="5"/>
  <c r="L69" i="5"/>
  <c r="I23" i="5"/>
  <c r="I31" i="5"/>
  <c r="I39" i="5"/>
  <c r="I47" i="5"/>
  <c r="I55" i="5"/>
  <c r="I56" i="5"/>
  <c r="L76" i="5"/>
  <c r="L80" i="5"/>
  <c r="G73" i="5"/>
  <c r="G66" i="5"/>
  <c r="I4" i="5"/>
  <c r="L81" i="5"/>
  <c r="G81" i="5"/>
  <c r="L72" i="5"/>
  <c r="J4" i="5"/>
  <c r="L73" i="5"/>
  <c r="G64" i="5"/>
  <c r="G65" i="5"/>
  <c r="G70" i="5"/>
  <c r="G80" i="5"/>
  <c r="G72" i="5"/>
  <c r="G77" i="5"/>
  <c r="G76" i="5"/>
  <c r="L67" i="5"/>
  <c r="G69" i="5"/>
  <c r="G4" i="5"/>
  <c r="L65" i="5"/>
  <c r="G68" i="5"/>
  <c r="L68" i="5"/>
  <c r="G74" i="5"/>
  <c r="L78" i="5"/>
  <c r="G79" i="5"/>
  <c r="L64" i="5"/>
  <c r="L74" i="5"/>
  <c r="L70" i="5"/>
  <c r="L75" i="5"/>
  <c r="G71" i="5"/>
  <c r="L66" i="5"/>
  <c r="G78" i="5"/>
  <c r="T3" i="5"/>
  <c r="G4" i="4"/>
  <c r="A319" i="1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8" i="1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V10" i="5"/>
  <c r="G3" i="5"/>
  <c r="F62" i="1"/>
  <c r="P18" i="1"/>
  <c r="H63" i="1"/>
  <c r="I63" i="1" s="1"/>
  <c r="N19" i="1"/>
  <c r="O19" i="1"/>
  <c r="L20" i="1"/>
  <c r="M19" i="1"/>
  <c r="V5" i="5" l="1"/>
  <c r="U5" i="5" s="1"/>
  <c r="T5" i="5"/>
  <c r="U42" i="10"/>
  <c r="P41" i="10"/>
  <c r="O16" i="5"/>
  <c r="P15" i="5"/>
  <c r="F5" i="5"/>
  <c r="T42" i="10"/>
  <c r="O41" i="10"/>
  <c r="A388" i="11"/>
  <c r="A437" i="11"/>
  <c r="N20" i="1"/>
  <c r="O20" i="1"/>
  <c r="H64" i="1"/>
  <c r="I64" i="1" s="1"/>
  <c r="G63" i="1"/>
  <c r="S19" i="1"/>
  <c r="R19" i="1"/>
  <c r="P19" i="1"/>
  <c r="R17" i="1" s="1"/>
  <c r="U19" i="1"/>
  <c r="F63" i="1"/>
  <c r="L21" i="1"/>
  <c r="M20" i="1"/>
  <c r="T43" i="10" l="1"/>
  <c r="O42" i="10"/>
  <c r="J5" i="5"/>
  <c r="I5" i="5"/>
  <c r="H5" i="5" s="1"/>
  <c r="G5" i="5"/>
  <c r="U43" i="10"/>
  <c r="P42" i="10"/>
  <c r="A389" i="11"/>
  <c r="A438" i="11"/>
  <c r="H65" i="1"/>
  <c r="I65" i="1" s="1"/>
  <c r="N21" i="1"/>
  <c r="O21" i="1"/>
  <c r="S20" i="1"/>
  <c r="G64" i="1"/>
  <c r="R20" i="1"/>
  <c r="P20" i="1"/>
  <c r="F64" i="1"/>
  <c r="L22" i="1"/>
  <c r="M21" i="1"/>
  <c r="U44" i="10" l="1"/>
  <c r="P43" i="10"/>
  <c r="T44" i="10"/>
  <c r="O43" i="10"/>
  <c r="A390" i="11"/>
  <c r="A439" i="11"/>
  <c r="S21" i="1"/>
  <c r="G65" i="1"/>
  <c r="N22" i="1"/>
  <c r="H66" i="1"/>
  <c r="I66" i="1" s="1"/>
  <c r="O22" i="1"/>
  <c r="R21" i="1"/>
  <c r="F65" i="1"/>
  <c r="P21" i="1"/>
  <c r="L23" i="1"/>
  <c r="M22" i="1"/>
  <c r="T45" i="10" l="1"/>
  <c r="O44" i="10"/>
  <c r="U45" i="10"/>
  <c r="P44" i="10"/>
  <c r="A391" i="1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40" i="1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F66" i="1"/>
  <c r="R22" i="1"/>
  <c r="P22" i="1"/>
  <c r="H67" i="1"/>
  <c r="I67" i="1" s="1"/>
  <c r="N23" i="1"/>
  <c r="O23" i="1"/>
  <c r="G66" i="1"/>
  <c r="S22" i="1"/>
  <c r="L24" i="1"/>
  <c r="M23" i="1"/>
  <c r="U46" i="10" l="1"/>
  <c r="P45" i="10"/>
  <c r="T46" i="10"/>
  <c r="O45" i="10"/>
  <c r="A460" i="11"/>
  <c r="A509" i="11"/>
  <c r="A431" i="11"/>
  <c r="A432" i="11" s="1"/>
  <c r="A433" i="11" s="1"/>
  <c r="A434" i="11" s="1"/>
  <c r="A435" i="11" s="1"/>
  <c r="A480" i="1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S23" i="1"/>
  <c r="G67" i="1"/>
  <c r="F67" i="1"/>
  <c r="P23" i="1"/>
  <c r="R23" i="1"/>
  <c r="O24" i="1"/>
  <c r="N24" i="1"/>
  <c r="H68" i="1"/>
  <c r="I68" i="1" s="1"/>
  <c r="L25" i="1"/>
  <c r="M24" i="1"/>
  <c r="U47" i="10" l="1"/>
  <c r="P46" i="10"/>
  <c r="T47" i="10"/>
  <c r="O46" i="10"/>
  <c r="A499" i="11"/>
  <c r="A500" i="11" s="1"/>
  <c r="A501" i="11" s="1"/>
  <c r="A502" i="11" s="1"/>
  <c r="A503" i="11" s="1"/>
  <c r="A504" i="11" s="1"/>
  <c r="A505" i="11" s="1"/>
  <c r="A506" i="11" s="1"/>
  <c r="A507" i="11" s="1"/>
  <c r="A548" i="11"/>
  <c r="A549" i="11" s="1"/>
  <c r="A550" i="11" s="1"/>
  <c r="A461" i="11"/>
  <c r="A510" i="11"/>
  <c r="F68" i="1"/>
  <c r="P24" i="1"/>
  <c r="R24" i="1"/>
  <c r="H69" i="1"/>
  <c r="I69" i="1" s="1"/>
  <c r="N25" i="1"/>
  <c r="O25" i="1"/>
  <c r="S24" i="1"/>
  <c r="G68" i="1"/>
  <c r="L26" i="1"/>
  <c r="M25" i="1"/>
  <c r="T48" i="10" l="1"/>
  <c r="O47" i="10"/>
  <c r="U48" i="10"/>
  <c r="P47" i="10"/>
  <c r="A462" i="11"/>
  <c r="A463" i="11" s="1"/>
  <c r="A464" i="11" s="1"/>
  <c r="A465" i="11" s="1"/>
  <c r="A466" i="11" s="1"/>
  <c r="A467" i="11" s="1"/>
  <c r="A511" i="11"/>
  <c r="A512" i="11" s="1"/>
  <c r="A513" i="11" s="1"/>
  <c r="A514" i="11" s="1"/>
  <c r="A515" i="11" s="1"/>
  <c r="A516" i="11" s="1"/>
  <c r="A551" i="1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600" i="11"/>
  <c r="A601" i="11" s="1"/>
  <c r="A602" i="11" s="1"/>
  <c r="A603" i="11" s="1"/>
  <c r="G69" i="1"/>
  <c r="S25" i="1"/>
  <c r="H70" i="1"/>
  <c r="I70" i="1" s="1"/>
  <c r="N26" i="1"/>
  <c r="O26" i="1"/>
  <c r="P25" i="1"/>
  <c r="R25" i="1"/>
  <c r="F69" i="1"/>
  <c r="L27" i="1"/>
  <c r="M26" i="1"/>
  <c r="T19" i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O17" i="4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U49" i="10" l="1"/>
  <c r="P48" i="10"/>
  <c r="T49" i="10"/>
  <c r="O48" i="10"/>
  <c r="A604" i="11"/>
  <c r="A653" i="11"/>
  <c r="A562" i="11"/>
  <c r="A563" i="11" s="1"/>
  <c r="A564" i="11" s="1"/>
  <c r="A565" i="11" s="1"/>
  <c r="A566" i="11" s="1"/>
  <c r="A611" i="11"/>
  <c r="A612" i="11" s="1"/>
  <c r="A613" i="11" s="1"/>
  <c r="A614" i="11" s="1"/>
  <c r="A615" i="11" s="1"/>
  <c r="A616" i="11" s="1"/>
  <c r="A468" i="11"/>
  <c r="A469" i="11" s="1"/>
  <c r="A470" i="11" s="1"/>
  <c r="A517" i="11"/>
  <c r="A518" i="11" s="1"/>
  <c r="A519" i="11" s="1"/>
  <c r="N27" i="1"/>
  <c r="H71" i="1"/>
  <c r="I71" i="1" s="1"/>
  <c r="O27" i="1"/>
  <c r="S26" i="1"/>
  <c r="G70" i="1"/>
  <c r="F70" i="1"/>
  <c r="P26" i="1"/>
  <c r="R26" i="1"/>
  <c r="L28" i="1"/>
  <c r="M27" i="1"/>
  <c r="T50" i="10" l="1"/>
  <c r="O49" i="10"/>
  <c r="U50" i="10"/>
  <c r="P49" i="10"/>
  <c r="A471" i="11"/>
  <c r="A520" i="11"/>
  <c r="A567" i="11"/>
  <c r="A605" i="11"/>
  <c r="A606" i="11" s="1"/>
  <c r="A607" i="11" s="1"/>
  <c r="A608" i="11" s="1"/>
  <c r="A609" i="11" s="1"/>
  <c r="A610" i="11" s="1"/>
  <c r="A654" i="11"/>
  <c r="O28" i="1"/>
  <c r="N28" i="1"/>
  <c r="H72" i="1"/>
  <c r="I72" i="1" s="1"/>
  <c r="S27" i="1"/>
  <c r="G71" i="1"/>
  <c r="R27" i="1"/>
  <c r="F71" i="1"/>
  <c r="P27" i="1"/>
  <c r="L29" i="1"/>
  <c r="M28" i="1"/>
  <c r="U51" i="10" l="1"/>
  <c r="P51" i="10" s="1"/>
  <c r="P50" i="10"/>
  <c r="A655" i="1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T51" i="10"/>
  <c r="O51" i="10" s="1"/>
  <c r="O50" i="10"/>
  <c r="A568" i="11"/>
  <c r="A569" i="11" s="1"/>
  <c r="A570" i="11" s="1"/>
  <c r="A617" i="11"/>
  <c r="A618" i="11" s="1"/>
  <c r="A619" i="11" s="1"/>
  <c r="A620" i="11" s="1"/>
  <c r="A472" i="11"/>
  <c r="A473" i="11" s="1"/>
  <c r="A474" i="11" s="1"/>
  <c r="A475" i="11" s="1"/>
  <c r="A476" i="11" s="1"/>
  <c r="A477" i="11" s="1"/>
  <c r="A478" i="11" s="1"/>
  <c r="A479" i="11" s="1"/>
  <c r="A521" i="11"/>
  <c r="H73" i="1"/>
  <c r="I73" i="1" s="1"/>
  <c r="N29" i="1"/>
  <c r="O29" i="1"/>
  <c r="F72" i="1"/>
  <c r="P28" i="1"/>
  <c r="R28" i="1"/>
  <c r="S28" i="1"/>
  <c r="G72" i="1"/>
  <c r="L30" i="1"/>
  <c r="M29" i="1"/>
  <c r="A522" i="11" l="1"/>
  <c r="A523" i="11" s="1"/>
  <c r="A524" i="11" s="1"/>
  <c r="A525" i="11" s="1"/>
  <c r="A526" i="11" s="1"/>
  <c r="A527" i="11" s="1"/>
  <c r="A528" i="11" s="1"/>
  <c r="A529" i="11" s="1"/>
  <c r="A530" i="11" s="1"/>
  <c r="A531" i="11" s="1"/>
  <c r="A581" i="11" s="1"/>
  <c r="A532" i="11"/>
  <c r="A571" i="11"/>
  <c r="A667" i="11"/>
  <c r="A668" i="11" s="1"/>
  <c r="A669" i="11" s="1"/>
  <c r="A670" i="11" s="1"/>
  <c r="S29" i="1"/>
  <c r="G73" i="1"/>
  <c r="O30" i="1"/>
  <c r="H74" i="1"/>
  <c r="I74" i="1" s="1"/>
  <c r="N30" i="1"/>
  <c r="P29" i="1"/>
  <c r="F73" i="1"/>
  <c r="R29" i="1"/>
  <c r="L31" i="1"/>
  <c r="M30" i="1"/>
  <c r="A572" i="11" l="1"/>
  <c r="A573" i="11" s="1"/>
  <c r="A574" i="11"/>
  <c r="A575" i="11" s="1"/>
  <c r="A576" i="11" s="1"/>
  <c r="A577" i="11" s="1"/>
  <c r="A578" i="11" s="1"/>
  <c r="A579" i="11" s="1"/>
  <c r="A623" i="11"/>
  <c r="A624" i="11" s="1"/>
  <c r="A625" i="11" s="1"/>
  <c r="A621" i="11"/>
  <c r="A622" i="11" s="1"/>
  <c r="A533" i="11"/>
  <c r="A582" i="11"/>
  <c r="N31" i="1"/>
  <c r="O31" i="1"/>
  <c r="H75" i="1"/>
  <c r="I75" i="1" s="1"/>
  <c r="R30" i="1"/>
  <c r="F74" i="1"/>
  <c r="P30" i="1"/>
  <c r="G74" i="1"/>
  <c r="S30" i="1"/>
  <c r="L32" i="1"/>
  <c r="M31" i="1"/>
  <c r="A534" i="11" l="1"/>
  <c r="A535" i="11" s="1"/>
  <c r="A536" i="11" s="1"/>
  <c r="A537" i="11" s="1"/>
  <c r="A538" i="11" s="1"/>
  <c r="A539" i="11" s="1"/>
  <c r="A583" i="11"/>
  <c r="A626" i="11"/>
  <c r="A627" i="11" s="1"/>
  <c r="A628" i="11" s="1"/>
  <c r="A629" i="11" s="1"/>
  <c r="A630" i="11" s="1"/>
  <c r="A631" i="11" s="1"/>
  <c r="A632" i="11" s="1"/>
  <c r="A633" i="11" s="1"/>
  <c r="A671" i="11"/>
  <c r="A672" i="11" s="1"/>
  <c r="A673" i="11" s="1"/>
  <c r="A674" i="11" s="1"/>
  <c r="A675" i="11" s="1"/>
  <c r="H76" i="1"/>
  <c r="I76" i="1" s="1"/>
  <c r="N32" i="1"/>
  <c r="O32" i="1"/>
  <c r="S31" i="1"/>
  <c r="G75" i="1"/>
  <c r="R31" i="1"/>
  <c r="P31" i="1"/>
  <c r="F75" i="1"/>
  <c r="L33" i="1"/>
  <c r="M32" i="1"/>
  <c r="A584" i="11" l="1"/>
  <c r="A585" i="11" s="1"/>
  <c r="A586" i="11" s="1"/>
  <c r="A587" i="11" s="1"/>
  <c r="A588" i="11" s="1"/>
  <c r="A676" i="11"/>
  <c r="A725" i="11"/>
  <c r="A540" i="11"/>
  <c r="A541" i="11" s="1"/>
  <c r="A542" i="11" s="1"/>
  <c r="A543" i="11" s="1"/>
  <c r="A544" i="11" s="1"/>
  <c r="A545" i="11" s="1"/>
  <c r="A546" i="11" s="1"/>
  <c r="A547" i="11" s="1"/>
  <c r="A589" i="1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S32" i="1"/>
  <c r="G76" i="1"/>
  <c r="H77" i="1"/>
  <c r="I77" i="1" s="1"/>
  <c r="N33" i="1"/>
  <c r="O33" i="1"/>
  <c r="R32" i="1"/>
  <c r="P32" i="1"/>
  <c r="F76" i="1"/>
  <c r="L34" i="1"/>
  <c r="M33" i="1"/>
  <c r="A634" i="11" l="1"/>
  <c r="A635" i="11" s="1"/>
  <c r="A636" i="11" s="1"/>
  <c r="A637" i="11" s="1"/>
  <c r="A638" i="11" s="1"/>
  <c r="A639" i="11"/>
  <c r="A640" i="11" s="1"/>
  <c r="A641" i="11" s="1"/>
  <c r="A642" i="11" s="1"/>
  <c r="A643" i="11" s="1"/>
  <c r="A644" i="11" s="1"/>
  <c r="A677" i="1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726" i="11"/>
  <c r="A727" i="11" s="1"/>
  <c r="A728" i="11" s="1"/>
  <c r="A729" i="11" s="1"/>
  <c r="A730" i="11" s="1"/>
  <c r="A731" i="11" s="1"/>
  <c r="A732" i="11" s="1"/>
  <c r="A733" i="11" s="1"/>
  <c r="A734" i="11" s="1"/>
  <c r="A735" i="11" s="1"/>
  <c r="A736" i="11" s="1"/>
  <c r="A737" i="11" s="1"/>
  <c r="A738" i="11" s="1"/>
  <c r="A739" i="11" s="1"/>
  <c r="A740" i="11" s="1"/>
  <c r="A741" i="11" s="1"/>
  <c r="A742" i="11" s="1"/>
  <c r="A743" i="11" s="1"/>
  <c r="H78" i="1"/>
  <c r="I78" i="1" s="1"/>
  <c r="O34" i="1"/>
  <c r="N34" i="1"/>
  <c r="F77" i="1"/>
  <c r="R33" i="1"/>
  <c r="P33" i="1"/>
  <c r="S33" i="1"/>
  <c r="G77" i="1"/>
  <c r="L35" i="1"/>
  <c r="M34" i="1"/>
  <c r="A645" i="11" l="1"/>
  <c r="A646" i="11" s="1"/>
  <c r="A647" i="11" s="1"/>
  <c r="A648" i="11" s="1"/>
  <c r="A649" i="11" s="1"/>
  <c r="A650" i="11" s="1"/>
  <c r="A651" i="11" s="1"/>
  <c r="A694" i="1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A710" i="11" s="1"/>
  <c r="A711" i="11" s="1"/>
  <c r="A712" i="11" s="1"/>
  <c r="A713" i="11" s="1"/>
  <c r="A714" i="11" s="1"/>
  <c r="A715" i="11" s="1"/>
  <c r="A716" i="11" s="1"/>
  <c r="A717" i="11" s="1"/>
  <c r="A718" i="11" s="1"/>
  <c r="A719" i="11" s="1"/>
  <c r="A720" i="11" s="1"/>
  <c r="A721" i="11" s="1"/>
  <c r="A722" i="11" s="1"/>
  <c r="A723" i="11" s="1"/>
  <c r="G78" i="1"/>
  <c r="S34" i="1"/>
  <c r="H79" i="1"/>
  <c r="I79" i="1" s="1"/>
  <c r="O35" i="1"/>
  <c r="N35" i="1"/>
  <c r="F78" i="1"/>
  <c r="R34" i="1"/>
  <c r="P34" i="1"/>
  <c r="L36" i="1"/>
  <c r="M35" i="1"/>
  <c r="A744" i="11" l="1"/>
  <c r="A745" i="11" s="1"/>
  <c r="A746" i="11" s="1"/>
  <c r="A747" i="11" s="1"/>
  <c r="P35" i="1"/>
  <c r="F79" i="1"/>
  <c r="R35" i="1"/>
  <c r="O36" i="1"/>
  <c r="M62" i="1"/>
  <c r="N62" i="1" s="1"/>
  <c r="N36" i="1"/>
  <c r="G79" i="1"/>
  <c r="S35" i="1"/>
  <c r="L37" i="1"/>
  <c r="M36" i="1"/>
  <c r="A748" i="11" l="1"/>
  <c r="A749" i="11" s="1"/>
  <c r="A750" i="11" s="1"/>
  <c r="A751" i="11" s="1"/>
  <c r="A752" i="11" s="1"/>
  <c r="A753" i="11" s="1"/>
  <c r="A754" i="11" s="1"/>
  <c r="A755" i="11" s="1"/>
  <c r="A756" i="11" s="1"/>
  <c r="A757" i="11" s="1"/>
  <c r="A758" i="11" s="1"/>
  <c r="A759" i="11" s="1"/>
  <c r="A760" i="11" s="1"/>
  <c r="A761" i="11" s="1"/>
  <c r="A762" i="11" s="1"/>
  <c r="A763" i="11" s="1"/>
  <c r="A764" i="11" s="1"/>
  <c r="A765" i="11" s="1"/>
  <c r="A766" i="11" s="1"/>
  <c r="A767" i="11" s="1"/>
  <c r="A768" i="11" s="1"/>
  <c r="A769" i="11" s="1"/>
  <c r="A770" i="11" s="1"/>
  <c r="A771" i="11" s="1"/>
  <c r="A772" i="11" s="1"/>
  <c r="A773" i="11" s="1"/>
  <c r="A774" i="11" s="1"/>
  <c r="A775" i="11" s="1"/>
  <c r="A776" i="11" s="1"/>
  <c r="A777" i="11" s="1"/>
  <c r="A778" i="11" s="1"/>
  <c r="A779" i="11" s="1"/>
  <c r="A780" i="11" s="1"/>
  <c r="A781" i="11" s="1"/>
  <c r="A782" i="11" s="1"/>
  <c r="A783" i="11" s="1"/>
  <c r="A784" i="11" s="1"/>
  <c r="A785" i="11" s="1"/>
  <c r="A786" i="11" s="1"/>
  <c r="A787" i="11" s="1"/>
  <c r="A788" i="11" s="1"/>
  <c r="A789" i="11" s="1"/>
  <c r="A790" i="11" s="1"/>
  <c r="A791" i="11" s="1"/>
  <c r="A792" i="11" s="1"/>
  <c r="A793" i="11" s="1"/>
  <c r="A794" i="11" s="1"/>
  <c r="A795" i="11" s="1"/>
  <c r="A797" i="11"/>
  <c r="A798" i="11" s="1"/>
  <c r="K62" i="1"/>
  <c r="R36" i="1"/>
  <c r="P36" i="1"/>
  <c r="M63" i="1"/>
  <c r="N63" i="1" s="1"/>
  <c r="N37" i="1"/>
  <c r="O37" i="1"/>
  <c r="L62" i="1"/>
  <c r="S36" i="1"/>
  <c r="L38" i="1"/>
  <c r="M37" i="1"/>
  <c r="A799" i="11" l="1"/>
  <c r="A800" i="11" s="1"/>
  <c r="A801" i="11" s="1"/>
  <c r="A802" i="11" s="1"/>
  <c r="A803" i="11" s="1"/>
  <c r="A804" i="11" s="1"/>
  <c r="A805" i="11" s="1"/>
  <c r="A806" i="11" s="1"/>
  <c r="A807" i="11" s="1"/>
  <c r="A808" i="11" s="1"/>
  <c r="A809" i="11" s="1"/>
  <c r="A810" i="11" s="1"/>
  <c r="A811" i="11" s="1"/>
  <c r="A812" i="11" s="1"/>
  <c r="A813" i="11" s="1"/>
  <c r="A814" i="11" s="1"/>
  <c r="A815" i="11" s="1"/>
  <c r="A816" i="11" s="1"/>
  <c r="A817" i="11" s="1"/>
  <c r="A818" i="11" s="1"/>
  <c r="A819" i="11" s="1"/>
  <c r="A869" i="11" s="1"/>
  <c r="A870" i="11" s="1"/>
  <c r="A871" i="11" s="1"/>
  <c r="A872" i="11" s="1"/>
  <c r="A873" i="11" s="1"/>
  <c r="A874" i="11" s="1"/>
  <c r="A875" i="11" s="1"/>
  <c r="A876" i="11" s="1"/>
  <c r="A877" i="11" s="1"/>
  <c r="A878" i="11" s="1"/>
  <c r="A879" i="11" s="1"/>
  <c r="A880" i="11" s="1"/>
  <c r="A881" i="11" s="1"/>
  <c r="A882" i="11" s="1"/>
  <c r="A883" i="11" s="1"/>
  <c r="A884" i="11" s="1"/>
  <c r="A885" i="11" s="1"/>
  <c r="A886" i="11" s="1"/>
  <c r="A887" i="11" s="1"/>
  <c r="A888" i="11" s="1"/>
  <c r="A889" i="11" s="1"/>
  <c r="A890" i="11" s="1"/>
  <c r="A891" i="11" s="1"/>
  <c r="A820" i="11"/>
  <c r="A821" i="11" s="1"/>
  <c r="A822" i="11" s="1"/>
  <c r="A823" i="11" s="1"/>
  <c r="A824" i="11" s="1"/>
  <c r="A825" i="11" s="1"/>
  <c r="A826" i="11" s="1"/>
  <c r="A827" i="11" s="1"/>
  <c r="A828" i="11" s="1"/>
  <c r="A829" i="11" s="1"/>
  <c r="A830" i="11" s="1"/>
  <c r="A831" i="11" s="1"/>
  <c r="A832" i="11" s="1"/>
  <c r="A833" i="11" s="1"/>
  <c r="A834" i="11" s="1"/>
  <c r="A835" i="11" s="1"/>
  <c r="A836" i="11" s="1"/>
  <c r="A837" i="11" s="1"/>
  <c r="A838" i="11" s="1"/>
  <c r="A839" i="11" s="1"/>
  <c r="A840" i="11" s="1"/>
  <c r="A841" i="11" s="1"/>
  <c r="A842" i="11" s="1"/>
  <c r="A843" i="11" s="1"/>
  <c r="A844" i="11" s="1"/>
  <c r="A845" i="11" s="1"/>
  <c r="A846" i="11" s="1"/>
  <c r="A847" i="11" s="1"/>
  <c r="A848" i="11" s="1"/>
  <c r="A849" i="11" s="1"/>
  <c r="A850" i="11" s="1"/>
  <c r="A851" i="11" s="1"/>
  <c r="A852" i="11" s="1"/>
  <c r="A853" i="11" s="1"/>
  <c r="A854" i="11" s="1"/>
  <c r="A855" i="11" s="1"/>
  <c r="A856" i="11" s="1"/>
  <c r="A857" i="11" s="1"/>
  <c r="A858" i="11" s="1"/>
  <c r="A859" i="11" s="1"/>
  <c r="A860" i="11" s="1"/>
  <c r="A861" i="11" s="1"/>
  <c r="A862" i="11" s="1"/>
  <c r="A863" i="11" s="1"/>
  <c r="A864" i="11" s="1"/>
  <c r="A865" i="11" s="1"/>
  <c r="A866" i="11" s="1"/>
  <c r="A867" i="11" s="1"/>
  <c r="S37" i="1"/>
  <c r="L63" i="1"/>
  <c r="M64" i="1"/>
  <c r="N64" i="1" s="1"/>
  <c r="N38" i="1"/>
  <c r="O38" i="1"/>
  <c r="P37" i="1"/>
  <c r="R37" i="1"/>
  <c r="K63" i="1"/>
  <c r="L39" i="1"/>
  <c r="M38" i="1"/>
  <c r="A892" i="11" l="1"/>
  <c r="A941" i="11"/>
  <c r="K64" i="1"/>
  <c r="R38" i="1"/>
  <c r="P38" i="1"/>
  <c r="N39" i="1"/>
  <c r="O39" i="1"/>
  <c r="M65" i="1"/>
  <c r="N65" i="1" s="1"/>
  <c r="S38" i="1"/>
  <c r="L64" i="1"/>
  <c r="L40" i="1"/>
  <c r="M39" i="1"/>
  <c r="A893" i="11" l="1"/>
  <c r="A942" i="11"/>
  <c r="S39" i="1"/>
  <c r="L65" i="1"/>
  <c r="R39" i="1"/>
  <c r="P39" i="1"/>
  <c r="K65" i="1"/>
  <c r="M66" i="1"/>
  <c r="N66" i="1" s="1"/>
  <c r="O40" i="1"/>
  <c r="N40" i="1"/>
  <c r="L41" i="1"/>
  <c r="M40" i="1"/>
  <c r="A894" i="11" l="1"/>
  <c r="A943" i="11"/>
  <c r="M67" i="1"/>
  <c r="N67" i="1" s="1"/>
  <c r="O41" i="1"/>
  <c r="N41" i="1"/>
  <c r="L66" i="1"/>
  <c r="S40" i="1"/>
  <c r="K66" i="1"/>
  <c r="R40" i="1"/>
  <c r="P40" i="1"/>
  <c r="L42" i="1"/>
  <c r="M41" i="1"/>
  <c r="G15" i="1"/>
  <c r="H13" i="1"/>
  <c r="I13" i="1"/>
  <c r="J13" i="1"/>
  <c r="K13" i="1"/>
  <c r="G13" i="1"/>
  <c r="B17" i="4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Q13" i="4"/>
  <c r="H13" i="4"/>
  <c r="H10" i="4" s="1"/>
  <c r="I9" i="4"/>
  <c r="G3" i="3"/>
  <c r="E3" i="3"/>
  <c r="A39" i="3"/>
  <c r="I38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E28" i="3" s="1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E20" i="3" s="1"/>
  <c r="G19" i="3"/>
  <c r="A19" i="3"/>
  <c r="G18" i="3"/>
  <c r="A18" i="3"/>
  <c r="E18" i="3" s="1"/>
  <c r="G17" i="3"/>
  <c r="A17" i="3"/>
  <c r="E17" i="3" s="1"/>
  <c r="G16" i="3"/>
  <c r="A16" i="3"/>
  <c r="G15" i="3"/>
  <c r="A15" i="3"/>
  <c r="G14" i="3"/>
  <c r="A14" i="3"/>
  <c r="G13" i="3"/>
  <c r="A13" i="3"/>
  <c r="E13" i="3" s="1"/>
  <c r="G12" i="3"/>
  <c r="A12" i="3"/>
  <c r="E12" i="3" s="1"/>
  <c r="G11" i="3"/>
  <c r="A11" i="3"/>
  <c r="G10" i="3"/>
  <c r="A10" i="3"/>
  <c r="E10" i="3" s="1"/>
  <c r="G9" i="3"/>
  <c r="A9" i="3"/>
  <c r="E9" i="3" s="1"/>
  <c r="G8" i="3"/>
  <c r="A8" i="3"/>
  <c r="G7" i="3"/>
  <c r="A7" i="3"/>
  <c r="G6" i="3"/>
  <c r="A6" i="3"/>
  <c r="G5" i="3"/>
  <c r="A5" i="3"/>
  <c r="G4" i="3"/>
  <c r="A4" i="3"/>
  <c r="A3" i="3"/>
  <c r="E19" i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V15" i="1"/>
  <c r="Y15" i="1" s="1"/>
  <c r="E21" i="3" l="1"/>
  <c r="H21" i="3" s="1"/>
  <c r="E25" i="3"/>
  <c r="S13" i="4"/>
  <c r="V13" i="4"/>
  <c r="W13" i="4"/>
  <c r="E22" i="3"/>
  <c r="A895" i="11"/>
  <c r="A944" i="11"/>
  <c r="H15" i="1"/>
  <c r="G11" i="1"/>
  <c r="P41" i="1"/>
  <c r="K67" i="1"/>
  <c r="R41" i="1"/>
  <c r="S41" i="1"/>
  <c r="L67" i="1"/>
  <c r="O42" i="1"/>
  <c r="N42" i="1"/>
  <c r="M68" i="1"/>
  <c r="N68" i="1" s="1"/>
  <c r="L43" i="1"/>
  <c r="M42" i="1"/>
  <c r="J15" i="1"/>
  <c r="I4" i="3"/>
  <c r="I3" i="3"/>
  <c r="I15" i="1"/>
  <c r="G12" i="1"/>
  <c r="H12" i="1"/>
  <c r="K15" i="1"/>
  <c r="F13" i="4"/>
  <c r="T13" i="4"/>
  <c r="U13" i="4"/>
  <c r="E13" i="4"/>
  <c r="G13" i="4"/>
  <c r="G10" i="4" s="1"/>
  <c r="I10" i="4" s="1"/>
  <c r="R13" i="4"/>
  <c r="E29" i="3"/>
  <c r="H29" i="3" s="1"/>
  <c r="E34" i="3"/>
  <c r="E7" i="3"/>
  <c r="E15" i="3"/>
  <c r="E19" i="3"/>
  <c r="H18" i="3" s="1"/>
  <c r="E23" i="3"/>
  <c r="H22" i="3" s="1"/>
  <c r="E26" i="3"/>
  <c r="H25" i="3" s="1"/>
  <c r="E31" i="3"/>
  <c r="E4" i="3"/>
  <c r="E32" i="3"/>
  <c r="E5" i="3"/>
  <c r="E24" i="3"/>
  <c r="E35" i="3"/>
  <c r="H34" i="3" s="1"/>
  <c r="E38" i="3"/>
  <c r="E27" i="3"/>
  <c r="H27" i="3" s="1"/>
  <c r="E16" i="3"/>
  <c r="H16" i="3" s="1"/>
  <c r="E30" i="3"/>
  <c r="E8" i="3"/>
  <c r="H7" i="3" s="1"/>
  <c r="E33" i="3"/>
  <c r="H33" i="3" s="1"/>
  <c r="H19" i="3"/>
  <c r="E11" i="3"/>
  <c r="H10" i="3" s="1"/>
  <c r="E36" i="3"/>
  <c r="H35" i="3" s="1"/>
  <c r="E6" i="3"/>
  <c r="H6" i="3" s="1"/>
  <c r="E14" i="3"/>
  <c r="H13" i="3" s="1"/>
  <c r="E39" i="3"/>
  <c r="H9" i="3"/>
  <c r="H12" i="3"/>
  <c r="H20" i="3"/>
  <c r="H15" i="3"/>
  <c r="H17" i="3"/>
  <c r="E37" i="3"/>
  <c r="D4" i="2"/>
  <c r="W15" i="1"/>
  <c r="X15" i="1"/>
  <c r="Z15" i="1"/>
  <c r="Q5" i="4" l="1"/>
  <c r="R14" i="4"/>
  <c r="D5" i="4"/>
  <c r="E10" i="4"/>
  <c r="E11" i="4" s="1"/>
  <c r="H11" i="3"/>
  <c r="I6" i="1"/>
  <c r="Q6" i="1"/>
  <c r="Q7" i="1" s="1"/>
  <c r="H28" i="3"/>
  <c r="H30" i="3"/>
  <c r="H31" i="3"/>
  <c r="E5" i="4"/>
  <c r="F10" i="4"/>
  <c r="F11" i="4" s="1"/>
  <c r="H4" i="3"/>
  <c r="R5" i="4"/>
  <c r="S14" i="4"/>
  <c r="A896" i="11"/>
  <c r="A945" i="11"/>
  <c r="J5" i="1"/>
  <c r="I11" i="1"/>
  <c r="L68" i="1"/>
  <c r="S42" i="1"/>
  <c r="K12" i="1"/>
  <c r="K11" i="1"/>
  <c r="P6" i="1" s="1"/>
  <c r="J12" i="1"/>
  <c r="J11" i="1"/>
  <c r="N6" i="1" s="1"/>
  <c r="K68" i="1"/>
  <c r="P42" i="1"/>
  <c r="R42" i="1"/>
  <c r="M69" i="1"/>
  <c r="N69" i="1" s="1"/>
  <c r="N43" i="1"/>
  <c r="O43" i="1"/>
  <c r="H11" i="1"/>
  <c r="L44" i="1"/>
  <c r="M43" i="1"/>
  <c r="H4" i="4"/>
  <c r="I3" i="4"/>
  <c r="I5" i="3"/>
  <c r="I12" i="1"/>
  <c r="H3" i="3"/>
  <c r="H38" i="3"/>
  <c r="H32" i="3"/>
  <c r="H23" i="3"/>
  <c r="H8" i="3"/>
  <c r="H36" i="3"/>
  <c r="H26" i="3"/>
  <c r="H5" i="3"/>
  <c r="H24" i="3"/>
  <c r="H14" i="3"/>
  <c r="H37" i="3"/>
  <c r="D5" i="2"/>
  <c r="O6" i="1" l="1"/>
  <c r="H6" i="1"/>
  <c r="N7" i="1" s="1"/>
  <c r="F5" i="4"/>
  <c r="G5" i="4" s="1"/>
  <c r="H5" i="4" s="1"/>
  <c r="M6" i="1"/>
  <c r="G6" i="1"/>
  <c r="M7" i="1" s="1"/>
  <c r="S5" i="4"/>
  <c r="T5" i="4" s="1"/>
  <c r="A897" i="11"/>
  <c r="A898" i="11" s="1"/>
  <c r="A899" i="11" s="1"/>
  <c r="A900" i="11" s="1"/>
  <c r="A946" i="11"/>
  <c r="A947" i="11" s="1"/>
  <c r="A948" i="11" s="1"/>
  <c r="A949" i="11" s="1"/>
  <c r="M70" i="1"/>
  <c r="N70" i="1" s="1"/>
  <c r="N44" i="1"/>
  <c r="O44" i="1"/>
  <c r="S43" i="1"/>
  <c r="L69" i="1"/>
  <c r="L11" i="1"/>
  <c r="R6" i="1" s="1"/>
  <c r="R7" i="1" s="1"/>
  <c r="R43" i="1"/>
  <c r="P43" i="1"/>
  <c r="K69" i="1"/>
  <c r="L45" i="1"/>
  <c r="M44" i="1"/>
  <c r="I6" i="3"/>
  <c r="D6" i="2"/>
  <c r="A901" i="11" l="1"/>
  <c r="A902" i="11" s="1"/>
  <c r="A903" i="11" s="1"/>
  <c r="A904" i="11" s="1"/>
  <c r="A905" i="11" s="1"/>
  <c r="A906" i="11" s="1"/>
  <c r="A907" i="11" s="1"/>
  <c r="A908" i="11" s="1"/>
  <c r="A909" i="11" s="1"/>
  <c r="A910" i="11" s="1"/>
  <c r="A911" i="11" s="1"/>
  <c r="A912" i="11" s="1"/>
  <c r="A913" i="11" s="1"/>
  <c r="A914" i="11" s="1"/>
  <c r="A915" i="11" s="1"/>
  <c r="A950" i="11"/>
  <c r="A951" i="11" s="1"/>
  <c r="A952" i="11" s="1"/>
  <c r="A953" i="11" s="1"/>
  <c r="A954" i="11" s="1"/>
  <c r="A955" i="11" s="1"/>
  <c r="A956" i="11" s="1"/>
  <c r="A957" i="11" s="1"/>
  <c r="A958" i="11" s="1"/>
  <c r="A959" i="11" s="1"/>
  <c r="A960" i="11" s="1"/>
  <c r="A961" i="11" s="1"/>
  <c r="A962" i="11" s="1"/>
  <c r="A963" i="11" s="1"/>
  <c r="J6" i="1"/>
  <c r="K6" i="1" s="1"/>
  <c r="L7" i="1"/>
  <c r="O7" i="1"/>
  <c r="S44" i="1"/>
  <c r="L70" i="1"/>
  <c r="P44" i="1"/>
  <c r="R44" i="1"/>
  <c r="K70" i="1"/>
  <c r="M71" i="1"/>
  <c r="N71" i="1" s="1"/>
  <c r="N45" i="1"/>
  <c r="O45" i="1"/>
  <c r="L46" i="1"/>
  <c r="M45" i="1"/>
  <c r="I7" i="3"/>
  <c r="D7" i="2"/>
  <c r="A964" i="11" l="1"/>
  <c r="A1014" i="11" s="1"/>
  <c r="A1013" i="11"/>
  <c r="A916" i="11"/>
  <c r="A917" i="11" s="1"/>
  <c r="A918" i="11" s="1"/>
  <c r="A919" i="11" s="1"/>
  <c r="A920" i="11" s="1"/>
  <c r="A921" i="11" s="1"/>
  <c r="A922" i="11" s="1"/>
  <c r="A923" i="11" s="1"/>
  <c r="A924" i="11" s="1"/>
  <c r="A925" i="11" s="1"/>
  <c r="A965" i="11"/>
  <c r="S45" i="1"/>
  <c r="L71" i="1"/>
  <c r="R45" i="1"/>
  <c r="K71" i="1"/>
  <c r="P45" i="1"/>
  <c r="O46" i="1"/>
  <c r="M72" i="1"/>
  <c r="N72" i="1" s="1"/>
  <c r="N46" i="1"/>
  <c r="L47" i="1"/>
  <c r="M46" i="1"/>
  <c r="I8" i="3"/>
  <c r="D8" i="2"/>
  <c r="A966" i="11" l="1"/>
  <c r="A1015" i="11"/>
  <c r="A1065" i="11" s="1"/>
  <c r="A926" i="11"/>
  <c r="A927" i="11" s="1"/>
  <c r="A975" i="11"/>
  <c r="A976" i="11" s="1"/>
  <c r="P46" i="1"/>
  <c r="K72" i="1"/>
  <c r="R46" i="1"/>
  <c r="L72" i="1"/>
  <c r="S46" i="1"/>
  <c r="N47" i="1"/>
  <c r="O47" i="1"/>
  <c r="M73" i="1"/>
  <c r="N73" i="1" s="1"/>
  <c r="L48" i="1"/>
  <c r="M47" i="1"/>
  <c r="I9" i="3"/>
  <c r="D9" i="2"/>
  <c r="A928" i="11" l="1"/>
  <c r="A929" i="11" s="1"/>
  <c r="A930" i="11" s="1"/>
  <c r="A977" i="11"/>
  <c r="A978" i="11" s="1"/>
  <c r="A979" i="11" s="1"/>
  <c r="A967" i="11"/>
  <c r="A1016" i="11"/>
  <c r="A1066" i="11" s="1"/>
  <c r="O48" i="1"/>
  <c r="N48" i="1"/>
  <c r="M74" i="1"/>
  <c r="N74" i="1" s="1"/>
  <c r="S47" i="1"/>
  <c r="L73" i="1"/>
  <c r="P47" i="1"/>
  <c r="K73" i="1"/>
  <c r="R47" i="1"/>
  <c r="L49" i="1"/>
  <c r="M48" i="1"/>
  <c r="I10" i="3"/>
  <c r="D10" i="2"/>
  <c r="A968" i="11" l="1"/>
  <c r="A1017" i="11"/>
  <c r="A1067" i="11" s="1"/>
  <c r="A931" i="11"/>
  <c r="A932" i="11" s="1"/>
  <c r="A933" i="11" s="1"/>
  <c r="A934" i="11" s="1"/>
  <c r="A935" i="11" s="1"/>
  <c r="A936" i="11" s="1"/>
  <c r="A937" i="11" s="1"/>
  <c r="A938" i="11" s="1"/>
  <c r="A939" i="11" s="1"/>
  <c r="A980" i="11"/>
  <c r="A981" i="11" s="1"/>
  <c r="A982" i="11" s="1"/>
  <c r="A983" i="11" s="1"/>
  <c r="M75" i="1"/>
  <c r="N75" i="1" s="1"/>
  <c r="N49" i="1"/>
  <c r="O49" i="1"/>
  <c r="K74" i="1"/>
  <c r="P48" i="1"/>
  <c r="R48" i="1"/>
  <c r="L74" i="1"/>
  <c r="S48" i="1"/>
  <c r="L50" i="1"/>
  <c r="M49" i="1"/>
  <c r="I11" i="3"/>
  <c r="D12" i="2"/>
  <c r="D11" i="2"/>
  <c r="A984" i="11" l="1"/>
  <c r="A985" i="11" s="1"/>
  <c r="A986" i="11" s="1"/>
  <c r="A987" i="11"/>
  <c r="A988" i="11" s="1"/>
  <c r="A989" i="11" s="1"/>
  <c r="A990" i="11" s="1"/>
  <c r="A991" i="11" s="1"/>
  <c r="A992" i="11" s="1"/>
  <c r="A993" i="11" s="1"/>
  <c r="A994" i="11" s="1"/>
  <c r="A995" i="11" s="1"/>
  <c r="A996" i="11" s="1"/>
  <c r="A997" i="11" s="1"/>
  <c r="A998" i="11" s="1"/>
  <c r="A999" i="11" s="1"/>
  <c r="A1000" i="11" s="1"/>
  <c r="A1001" i="11" s="1"/>
  <c r="A1002" i="11" s="1"/>
  <c r="A1003" i="11" s="1"/>
  <c r="A1004" i="11" s="1"/>
  <c r="A1005" i="11" s="1"/>
  <c r="A1006" i="11" s="1"/>
  <c r="A1007" i="11" s="1"/>
  <c r="A1008" i="11" s="1"/>
  <c r="A1009" i="11" s="1"/>
  <c r="A1010" i="11" s="1"/>
  <c r="A1011" i="11" s="1"/>
  <c r="A1061" i="11" s="1"/>
  <c r="A1062" i="11" s="1"/>
  <c r="A1063" i="11" s="1"/>
  <c r="A1064" i="11" s="1"/>
  <c r="A1036" i="11"/>
  <c r="A969" i="11"/>
  <c r="A970" i="11" s="1"/>
  <c r="A971" i="11" s="1"/>
  <c r="A972" i="11" s="1"/>
  <c r="A973" i="11" s="1"/>
  <c r="A974" i="11" s="1"/>
  <c r="A1018" i="11"/>
  <c r="A1019" i="11" s="1"/>
  <c r="A1020" i="11" s="1"/>
  <c r="A1021" i="11" s="1"/>
  <c r="A1022" i="11" s="1"/>
  <c r="A1023" i="11" s="1"/>
  <c r="A1024" i="11" s="1"/>
  <c r="A1025" i="11" s="1"/>
  <c r="A1026" i="11" s="1"/>
  <c r="A1027" i="11" s="1"/>
  <c r="A1028" i="11" s="1"/>
  <c r="A1029" i="11" s="1"/>
  <c r="A1030" i="11" s="1"/>
  <c r="A1031" i="11" s="1"/>
  <c r="A1032" i="11" s="1"/>
  <c r="A1033" i="11" s="1"/>
  <c r="A1034" i="11" s="1"/>
  <c r="A1035" i="11" s="1"/>
  <c r="A1085" i="11" s="1"/>
  <c r="M76" i="1"/>
  <c r="N76" i="1" s="1"/>
  <c r="N50" i="1"/>
  <c r="O50" i="1"/>
  <c r="P49" i="1"/>
  <c r="R49" i="1"/>
  <c r="K75" i="1"/>
  <c r="L75" i="1"/>
  <c r="S49" i="1"/>
  <c r="L51" i="1"/>
  <c r="M50" i="1"/>
  <c r="I12" i="3"/>
  <c r="A1037" i="11" l="1"/>
  <c r="A1086" i="11"/>
  <c r="A1068" i="11"/>
  <c r="O51" i="1"/>
  <c r="M77" i="1"/>
  <c r="N77" i="1" s="1"/>
  <c r="N51" i="1"/>
  <c r="S50" i="1"/>
  <c r="L76" i="1"/>
  <c r="K76" i="1"/>
  <c r="R50" i="1"/>
  <c r="P50" i="1"/>
  <c r="L52" i="1"/>
  <c r="M51" i="1"/>
  <c r="I13" i="3"/>
  <c r="A1069" i="11" l="1"/>
  <c r="A1070" i="11" s="1"/>
  <c r="A1118" i="11"/>
  <c r="A1119" i="11" s="1"/>
  <c r="A1038" i="11"/>
  <c r="A1087" i="11"/>
  <c r="R51" i="1"/>
  <c r="K77" i="1"/>
  <c r="P51" i="1"/>
  <c r="N52" i="1"/>
  <c r="M78" i="1"/>
  <c r="N78" i="1" s="1"/>
  <c r="O52" i="1"/>
  <c r="S51" i="1"/>
  <c r="L77" i="1"/>
  <c r="L53" i="1"/>
  <c r="M52" i="1"/>
  <c r="I14" i="3"/>
  <c r="A1039" i="11" l="1"/>
  <c r="A1088" i="11"/>
  <c r="A1071" i="11"/>
  <c r="A1072" i="11" s="1"/>
  <c r="A1073" i="11" s="1"/>
  <c r="A1074" i="11" s="1"/>
  <c r="A1075" i="11" s="1"/>
  <c r="A1076" i="11" s="1"/>
  <c r="A1077" i="11" s="1"/>
  <c r="A1078" i="11" s="1"/>
  <c r="A1079" i="11" s="1"/>
  <c r="A1080" i="11" s="1"/>
  <c r="A1081" i="11" s="1"/>
  <c r="A1082" i="11" s="1"/>
  <c r="A1083" i="11" s="1"/>
  <c r="A1120" i="11"/>
  <c r="A1121" i="11" s="1"/>
  <c r="M53" i="1"/>
  <c r="M79" i="1"/>
  <c r="N53" i="1"/>
  <c r="O53" i="1"/>
  <c r="S52" i="1"/>
  <c r="L78" i="1"/>
  <c r="P52" i="1"/>
  <c r="R52" i="1"/>
  <c r="K78" i="1"/>
  <c r="I15" i="3"/>
  <c r="A1122" i="11" l="1"/>
  <c r="A1123" i="11" s="1"/>
  <c r="A1124" i="11" s="1"/>
  <c r="A1125" i="11" s="1"/>
  <c r="A1126" i="11" s="1"/>
  <c r="A1127" i="11" s="1"/>
  <c r="A1171" i="11"/>
  <c r="A1172" i="11" s="1"/>
  <c r="A1173" i="11" s="1"/>
  <c r="A1174" i="11" s="1"/>
  <c r="A1175" i="11" s="1"/>
  <c r="A1176" i="11" s="1"/>
  <c r="A1040" i="11"/>
  <c r="A1041" i="11" s="1"/>
  <c r="A1042" i="11" s="1"/>
  <c r="A1043" i="11" s="1"/>
  <c r="A1044" i="11" s="1"/>
  <c r="A1089" i="11"/>
  <c r="A1090" i="11" s="1"/>
  <c r="A1091" i="11" s="1"/>
  <c r="A1092" i="11" s="1"/>
  <c r="A1093" i="11" s="1"/>
  <c r="L79" i="1"/>
  <c r="L80" i="1" s="1"/>
  <c r="S53" i="1"/>
  <c r="P53" i="1"/>
  <c r="K79" i="1"/>
  <c r="K80" i="1" s="1"/>
  <c r="R53" i="1"/>
  <c r="N79" i="1"/>
  <c r="M81" i="1"/>
  <c r="M80" i="1"/>
  <c r="I16" i="3"/>
  <c r="A1045" i="11" l="1"/>
  <c r="A1046" i="11" s="1"/>
  <c r="A1047" i="11" s="1"/>
  <c r="A1048" i="11" s="1"/>
  <c r="A1049" i="11" s="1"/>
  <c r="A1050" i="11" s="1"/>
  <c r="A1051" i="11" s="1"/>
  <c r="A1052" i="11" s="1"/>
  <c r="A1053" i="11" s="1"/>
  <c r="A1094" i="11"/>
  <c r="A1095" i="11" s="1"/>
  <c r="A1096" i="11" s="1"/>
  <c r="A1097" i="11" s="1"/>
  <c r="A1098" i="11" s="1"/>
  <c r="A1099" i="11" s="1"/>
  <c r="A1100" i="11" s="1"/>
  <c r="A1101" i="11" s="1"/>
  <c r="A1102" i="11" s="1"/>
  <c r="A1128" i="11"/>
  <c r="A1129" i="11" s="1"/>
  <c r="A1130" i="11" s="1"/>
  <c r="A1131" i="11" s="1"/>
  <c r="A1132" i="11" s="1"/>
  <c r="A1133" i="11" s="1"/>
  <c r="A1134" i="11" s="1"/>
  <c r="A1135" i="11" s="1"/>
  <c r="A1136" i="11" s="1"/>
  <c r="A1137" i="11" s="1"/>
  <c r="A1138" i="11" s="1"/>
  <c r="A1139" i="11" s="1"/>
  <c r="A1140" i="11" s="1"/>
  <c r="A1141" i="11" s="1"/>
  <c r="A1142" i="11" s="1"/>
  <c r="A1143" i="11" s="1"/>
  <c r="A1144" i="11" s="1"/>
  <c r="A1145" i="11" s="1"/>
  <c r="A1146" i="11" s="1"/>
  <c r="A1147" i="11" s="1"/>
  <c r="A1148" i="11" s="1"/>
  <c r="A1149" i="11" s="1"/>
  <c r="A1150" i="11" s="1"/>
  <c r="A1151" i="11" s="1"/>
  <c r="A1152" i="11" s="1"/>
  <c r="A1177" i="11"/>
  <c r="I17" i="3"/>
  <c r="A1178" i="11" l="1"/>
  <c r="A1179" i="11" s="1"/>
  <c r="A1202" i="11"/>
  <c r="A1180" i="11"/>
  <c r="A1229" i="11"/>
  <c r="A1054" i="11"/>
  <c r="A1055" i="11" s="1"/>
  <c r="A1103" i="11"/>
  <c r="A1104" i="11" s="1"/>
  <c r="I18" i="3"/>
  <c r="A1056" i="11" l="1"/>
  <c r="A1057" i="11" s="1"/>
  <c r="A1058" i="11" s="1"/>
  <c r="A1059" i="11" s="1"/>
  <c r="A1060" i="11" s="1"/>
  <c r="A1105" i="11"/>
  <c r="A1106" i="11" s="1"/>
  <c r="A1107" i="11" s="1"/>
  <c r="A1181" i="11"/>
  <c r="A1230" i="11"/>
  <c r="A1153" i="11"/>
  <c r="A1154" i="11" s="1"/>
  <c r="I19" i="3"/>
  <c r="A1155" i="11" l="1"/>
  <c r="A1203" i="11"/>
  <c r="A1204" i="11" s="1"/>
  <c r="A1205" i="11" s="1"/>
  <c r="A1206" i="11" s="1"/>
  <c r="A1108" i="11"/>
  <c r="A1157" i="11"/>
  <c r="A1182" i="11"/>
  <c r="A1231" i="11"/>
  <c r="I20" i="3"/>
  <c r="A1183" i="11" l="1"/>
  <c r="A1184" i="11" s="1"/>
  <c r="A1185" i="11" s="1"/>
  <c r="A1186" i="11" s="1"/>
  <c r="A1187" i="11" s="1"/>
  <c r="A1232" i="11"/>
  <c r="A1233" i="11" s="1"/>
  <c r="A1234" i="11" s="1"/>
  <c r="A1235" i="11" s="1"/>
  <c r="A1236" i="11" s="1"/>
  <c r="A1109" i="11"/>
  <c r="A1158" i="11"/>
  <c r="A1207" i="11"/>
  <c r="A1208" i="11" s="1"/>
  <c r="I21" i="3"/>
  <c r="A1110" i="11" l="1"/>
  <c r="A1159" i="11"/>
  <c r="A1209" i="11"/>
  <c r="A1188" i="11"/>
  <c r="A1237" i="11"/>
  <c r="I22" i="3"/>
  <c r="A1189" i="11" l="1"/>
  <c r="A1190" i="11" s="1"/>
  <c r="A1191" i="11" s="1"/>
  <c r="A1192" i="11" s="1"/>
  <c r="A1193" i="11" s="1"/>
  <c r="A1194" i="11" s="1"/>
  <c r="A1195" i="11" s="1"/>
  <c r="A1196" i="11" s="1"/>
  <c r="A1197" i="11" s="1"/>
  <c r="A1198" i="11" s="1"/>
  <c r="A1199" i="11" s="1"/>
  <c r="A1200" i="11" s="1"/>
  <c r="A1201" i="11" s="1"/>
  <c r="A1251" i="11" s="1"/>
  <c r="A1238" i="11"/>
  <c r="A1239" i="11" s="1"/>
  <c r="A1240" i="11" s="1"/>
  <c r="A1241" i="11" s="1"/>
  <c r="A1242" i="11" s="1"/>
  <c r="A1243" i="11" s="1"/>
  <c r="A1244" i="11" s="1"/>
  <c r="A1245" i="11" s="1"/>
  <c r="A1246" i="11" s="1"/>
  <c r="A1247" i="11" s="1"/>
  <c r="A1248" i="11" s="1"/>
  <c r="A1249" i="11" s="1"/>
  <c r="A1250" i="11" s="1"/>
  <c r="A1111" i="11"/>
  <c r="A1160" i="11"/>
  <c r="A1210" i="11" s="1"/>
  <c r="I23" i="3"/>
  <c r="A1112" i="11" l="1"/>
  <c r="A1113" i="11" s="1"/>
  <c r="A1114" i="11" s="1"/>
  <c r="A1115" i="11" s="1"/>
  <c r="A1116" i="11" s="1"/>
  <c r="A1117" i="11" s="1"/>
  <c r="A1167" i="11" s="1"/>
  <c r="A1168" i="11" s="1"/>
  <c r="A1169" i="11" s="1"/>
  <c r="A1170" i="11" s="1"/>
  <c r="A1161" i="11"/>
  <c r="A1162" i="11" s="1"/>
  <c r="A1163" i="11" s="1"/>
  <c r="A1164" i="11" s="1"/>
  <c r="A1165" i="11" s="1"/>
  <c r="A1166" i="11" s="1"/>
  <c r="A1252" i="11"/>
  <c r="A1301" i="11"/>
  <c r="A1351" i="11" s="1"/>
  <c r="I24" i="3"/>
  <c r="A1253" i="11" l="1"/>
  <c r="A1302" i="11"/>
  <c r="A1352" i="11" s="1"/>
  <c r="A1211" i="11"/>
  <c r="A1212" i="11" s="1"/>
  <c r="A1213" i="11" s="1"/>
  <c r="A1214" i="11" s="1"/>
  <c r="A1215" i="11" s="1"/>
  <c r="A1216" i="11" s="1"/>
  <c r="A1217" i="11" s="1"/>
  <c r="A1218" i="11" s="1"/>
  <c r="A1219" i="11" s="1"/>
  <c r="A1220" i="11" s="1"/>
  <c r="A1221" i="11" s="1"/>
  <c r="A1222" i="11" s="1"/>
  <c r="A1223" i="11" s="1"/>
  <c r="A1224" i="11" s="1"/>
  <c r="A1225" i="11" s="1"/>
  <c r="A1226" i="11" s="1"/>
  <c r="A1227" i="11" s="1"/>
  <c r="I25" i="3"/>
  <c r="A1254" i="11" l="1"/>
  <c r="A1303" i="11"/>
  <c r="A1353" i="11" s="1"/>
  <c r="I26" i="3"/>
  <c r="A1255" i="11" l="1"/>
  <c r="A1256" i="11" s="1"/>
  <c r="A1257" i="11" s="1"/>
  <c r="A1258" i="11" s="1"/>
  <c r="A1259" i="11" s="1"/>
  <c r="A1260" i="11" s="1"/>
  <c r="A1261" i="11" s="1"/>
  <c r="A1262" i="11" s="1"/>
  <c r="A1263" i="11" s="1"/>
  <c r="A1264" i="11" s="1"/>
  <c r="A1265" i="11" s="1"/>
  <c r="A1266" i="11" s="1"/>
  <c r="A1304" i="11"/>
  <c r="A1305" i="11" s="1"/>
  <c r="A1306" i="11" s="1"/>
  <c r="A1307" i="11" s="1"/>
  <c r="A1308" i="11" s="1"/>
  <c r="A1309" i="11" s="1"/>
  <c r="A1310" i="11" s="1"/>
  <c r="A1311" i="11" s="1"/>
  <c r="A1312" i="11" s="1"/>
  <c r="A1313" i="11" s="1"/>
  <c r="A1314" i="11" s="1"/>
  <c r="A1315" i="11" s="1"/>
  <c r="I27" i="3"/>
  <c r="A1267" i="11" l="1"/>
  <c r="A1268" i="11" s="1"/>
  <c r="A1269" i="11" s="1"/>
  <c r="A1270" i="11" s="1"/>
  <c r="A1271" i="11" s="1"/>
  <c r="A1272" i="11" s="1"/>
  <c r="A1273" i="11" s="1"/>
  <c r="A1274" i="11" s="1"/>
  <c r="A1275" i="11" s="1"/>
  <c r="A1276" i="11" s="1"/>
  <c r="A1316" i="11"/>
  <c r="A1317" i="11" s="1"/>
  <c r="A1318" i="11" s="1"/>
  <c r="A1319" i="11" s="1"/>
  <c r="A1320" i="11" s="1"/>
  <c r="A1321" i="11" s="1"/>
  <c r="A1322" i="11" s="1"/>
  <c r="A1323" i="11" s="1"/>
  <c r="A1354" i="11"/>
  <c r="A1355" i="11" s="1"/>
  <c r="A1356" i="11" s="1"/>
  <c r="A1357" i="11" s="1"/>
  <c r="A1358" i="11" s="1"/>
  <c r="A1359" i="11" s="1"/>
  <c r="A1360" i="11" s="1"/>
  <c r="A1361" i="11" s="1"/>
  <c r="A1362" i="11" s="1"/>
  <c r="A1363" i="11" s="1"/>
  <c r="A1364" i="11" s="1"/>
  <c r="A1365" i="11" s="1"/>
  <c r="A1366" i="11" s="1"/>
  <c r="A1367" i="11" s="1"/>
  <c r="A1368" i="11" s="1"/>
  <c r="A1369" i="11" s="1"/>
  <c r="A1370" i="11" s="1"/>
  <c r="A1371" i="11" s="1"/>
  <c r="I28" i="3"/>
  <c r="A1324" i="11" l="1"/>
  <c r="A1373" i="11"/>
  <c r="A1277" i="11"/>
  <c r="A1278" i="11" s="1"/>
  <c r="A1279" i="11" s="1"/>
  <c r="A1280" i="11" s="1"/>
  <c r="A1281" i="11" s="1"/>
  <c r="A1282" i="11" s="1"/>
  <c r="A1283" i="11" s="1"/>
  <c r="A1284" i="11" s="1"/>
  <c r="A1285" i="11" s="1"/>
  <c r="A1286" i="11" s="1"/>
  <c r="A1287" i="11" s="1"/>
  <c r="A1288" i="11" s="1"/>
  <c r="A1326" i="11"/>
  <c r="A1327" i="11" s="1"/>
  <c r="A1328" i="11" s="1"/>
  <c r="A1329" i="11" s="1"/>
  <c r="A1330" i="11" s="1"/>
  <c r="A1331" i="11" s="1"/>
  <c r="A1332" i="11" s="1"/>
  <c r="A1333" i="11" s="1"/>
  <c r="A1334" i="11" s="1"/>
  <c r="A1335" i="11" s="1"/>
  <c r="A1336" i="11" s="1"/>
  <c r="A1337" i="11" s="1"/>
  <c r="I29" i="3"/>
  <c r="A1289" i="11" l="1"/>
  <c r="A1290" i="11" s="1"/>
  <c r="A1291" i="11" s="1"/>
  <c r="A1292" i="11" s="1"/>
  <c r="A1293" i="11" s="1"/>
  <c r="A1294" i="11" s="1"/>
  <c r="A1295" i="11" s="1"/>
  <c r="A1338" i="11"/>
  <c r="A1339" i="11" s="1"/>
  <c r="A1340" i="11" s="1"/>
  <c r="A1341" i="11" s="1"/>
  <c r="A1342" i="11" s="1"/>
  <c r="A1343" i="11" s="1"/>
  <c r="A1344" i="11" s="1"/>
  <c r="A1325" i="11"/>
  <c r="A1375" i="11" s="1"/>
  <c r="A1376" i="11" s="1"/>
  <c r="A1377" i="11" s="1"/>
  <c r="A1378" i="11" s="1"/>
  <c r="A1379" i="11" s="1"/>
  <c r="A1380" i="11" s="1"/>
  <c r="A1381" i="11" s="1"/>
  <c r="A1382" i="11" s="1"/>
  <c r="A1383" i="11" s="1"/>
  <c r="A1384" i="11" s="1"/>
  <c r="A1385" i="11" s="1"/>
  <c r="A1386" i="11" s="1"/>
  <c r="A1387" i="11" s="1"/>
  <c r="A1388" i="11" s="1"/>
  <c r="A1389" i="11" s="1"/>
  <c r="A1390" i="11" s="1"/>
  <c r="A1391" i="11" s="1"/>
  <c r="A1392" i="11" s="1"/>
  <c r="A1393" i="11" s="1"/>
  <c r="A1394" i="11" s="1"/>
  <c r="A1374" i="11"/>
  <c r="I30" i="3"/>
  <c r="A1296" i="11" l="1"/>
  <c r="A1297" i="11" s="1"/>
  <c r="A1298" i="11" s="1"/>
  <c r="A1299" i="11" s="1"/>
  <c r="A1345" i="11"/>
  <c r="A1346" i="11" s="1"/>
  <c r="I31" i="3"/>
  <c r="A1347" i="11" l="1"/>
  <c r="A1348" i="11" s="1"/>
  <c r="A1349" i="11" s="1"/>
  <c r="A1395" i="11"/>
  <c r="I32" i="3"/>
  <c r="A1396" i="11" l="1"/>
  <c r="A1445" i="11"/>
  <c r="I33" i="3"/>
  <c r="A1397" i="11" l="1"/>
  <c r="A1446" i="11"/>
  <c r="I34" i="3"/>
  <c r="A1398" i="11" l="1"/>
  <c r="A1399" i="11" s="1"/>
  <c r="A1400" i="11" s="1"/>
  <c r="A1401" i="11" s="1"/>
  <c r="A1402" i="11" s="1"/>
  <c r="A1403" i="11" s="1"/>
  <c r="A1404" i="11" s="1"/>
  <c r="A1405" i="11" s="1"/>
  <c r="A1406" i="11" s="1"/>
  <c r="A1407" i="11" s="1"/>
  <c r="A1408" i="11" s="1"/>
  <c r="A1409" i="11" s="1"/>
  <c r="A1410" i="11" s="1"/>
  <c r="A1411" i="11" s="1"/>
  <c r="A1412" i="11" s="1"/>
  <c r="A1413" i="11" s="1"/>
  <c r="A1414" i="11" s="1"/>
  <c r="A1415" i="11" s="1"/>
  <c r="A1416" i="11" s="1"/>
  <c r="A1417" i="11" s="1"/>
  <c r="A1418" i="11" s="1"/>
  <c r="A1419" i="11" s="1"/>
  <c r="A1447" i="11"/>
  <c r="A1448" i="11" s="1"/>
  <c r="A1449" i="11" s="1"/>
  <c r="A1450" i="11" s="1"/>
  <c r="A1451" i="11" s="1"/>
  <c r="A1452" i="11" s="1"/>
  <c r="A1453" i="11" s="1"/>
  <c r="A1454" i="11" s="1"/>
  <c r="A1455" i="11" s="1"/>
  <c r="A1456" i="11" s="1"/>
  <c r="A1457" i="11" s="1"/>
  <c r="A1458" i="11" s="1"/>
  <c r="A1459" i="11" s="1"/>
  <c r="A1460" i="11" s="1"/>
  <c r="A1461" i="11" s="1"/>
  <c r="A1462" i="11" s="1"/>
  <c r="A1463" i="11" s="1"/>
  <c r="A1464" i="11" s="1"/>
  <c r="A1465" i="11" s="1"/>
  <c r="A1466" i="11" s="1"/>
  <c r="A1467" i="11" s="1"/>
  <c r="I35" i="3"/>
  <c r="A1468" i="11" l="1"/>
  <c r="A1518" i="11" s="1"/>
  <c r="A1517" i="11"/>
  <c r="A1420" i="11"/>
  <c r="A1421" i="11" s="1"/>
  <c r="A1422" i="11" s="1"/>
  <c r="A1423" i="11" s="1"/>
  <c r="A1469" i="11"/>
  <c r="A1470" i="11" s="1"/>
  <c r="A1471" i="11" s="1"/>
  <c r="A1472" i="11" s="1"/>
  <c r="I37" i="3"/>
  <c r="I36" i="3"/>
  <c r="A1424" i="11" l="1"/>
  <c r="A1425" i="11" s="1"/>
  <c r="A1426" i="11" s="1"/>
  <c r="A1427" i="11" s="1"/>
  <c r="A1428" i="11" s="1"/>
  <c r="A1429" i="11" s="1"/>
  <c r="A1430" i="11" s="1"/>
  <c r="A1431" i="11" s="1"/>
  <c r="A1473" i="11"/>
  <c r="A1474" i="11" s="1"/>
  <c r="A1519" i="11"/>
  <c r="A1520" i="11" s="1"/>
  <c r="A1521" i="11" s="1"/>
  <c r="A1522" i="11" s="1"/>
  <c r="A1523" i="11" s="1"/>
  <c r="A1475" i="11" l="1"/>
  <c r="A1476" i="11" s="1"/>
  <c r="A1477" i="11" s="1"/>
  <c r="A1478" i="11" s="1"/>
  <c r="A1479" i="11" s="1"/>
  <c r="A1480" i="11" s="1"/>
  <c r="A1524" i="11"/>
  <c r="A1525" i="11" s="1"/>
  <c r="A1526" i="11" s="1"/>
  <c r="A1527" i="11" s="1"/>
  <c r="A1528" i="11" s="1"/>
  <c r="A1529" i="11" s="1"/>
  <c r="A1530" i="11" s="1"/>
  <c r="A1432" i="11"/>
  <c r="A1433" i="11" s="1"/>
  <c r="A1434" i="11" s="1"/>
  <c r="A1435" i="11" s="1"/>
  <c r="A1436" i="11" s="1"/>
  <c r="A1437" i="11" s="1"/>
  <c r="A1438" i="11" s="1"/>
  <c r="A1481" i="11"/>
  <c r="A1482" i="11" l="1"/>
  <c r="A1531" i="11"/>
  <c r="A1439" i="11"/>
  <c r="A1440" i="11" s="1"/>
  <c r="A1441" i="11" s="1"/>
  <c r="A1442" i="11" s="1"/>
  <c r="A1443" i="11" s="1"/>
  <c r="A1488" i="11"/>
  <c r="A1483" i="11"/>
  <c r="A1484" i="11" s="1"/>
  <c r="A1485" i="11" s="1"/>
  <c r="A1486" i="11" s="1"/>
  <c r="A1487" i="11" s="1"/>
  <c r="A1532" i="11"/>
  <c r="A1533" i="11" s="1"/>
  <c r="A1534" i="11" s="1"/>
  <c r="A1535" i="11" s="1"/>
  <c r="A1536" i="11" s="1"/>
  <c r="A1537" i="11" s="1"/>
  <c r="A1538" i="11" s="1"/>
  <c r="A1489" i="11" l="1"/>
  <c r="A1490" i="11" s="1"/>
  <c r="A1491" i="11"/>
  <c r="A1492" i="11" s="1"/>
  <c r="A1493" i="11" s="1"/>
  <c r="A1494" i="11" s="1"/>
  <c r="A1495" i="11" s="1"/>
  <c r="A1496" i="11" s="1"/>
  <c r="A1497" i="11" s="1"/>
  <c r="A1540" i="11"/>
  <c r="A1539" i="11" l="1"/>
  <c r="A1589" i="11" s="1"/>
  <c r="A1541" i="11"/>
  <c r="A1542" i="11" s="1"/>
  <c r="A1543" i="11" s="1"/>
  <c r="A1544" i="11" s="1"/>
  <c r="A1545" i="11" s="1"/>
  <c r="A1546" i="11" s="1"/>
  <c r="A1596" i="11" s="1"/>
  <c r="A1590" i="11"/>
  <c r="A1498" i="11"/>
  <c r="A1499" i="11" s="1"/>
  <c r="A1500" i="11" s="1"/>
  <c r="A1501" i="11" s="1"/>
  <c r="A1502" i="11" s="1"/>
  <c r="A1503" i="11" s="1"/>
  <c r="A1504" i="11" s="1"/>
  <c r="A1505" i="11" s="1"/>
  <c r="A1506" i="11" s="1"/>
  <c r="A1507" i="11" s="1"/>
  <c r="A1508" i="11" s="1"/>
  <c r="A1509" i="11" s="1"/>
  <c r="A1510" i="11" s="1"/>
  <c r="A1511" i="11" s="1"/>
  <c r="A1512" i="11" s="1"/>
  <c r="A1513" i="11" s="1"/>
  <c r="A1514" i="11" s="1"/>
  <c r="A1515" i="11" s="1"/>
  <c r="A1547" i="11"/>
  <c r="A1548" i="11" s="1"/>
  <c r="A1549" i="11" s="1"/>
  <c r="A1550" i="11" s="1"/>
  <c r="A1591" i="11" l="1"/>
  <c r="A1592" i="11" s="1"/>
  <c r="A1593" i="11" s="1"/>
  <c r="A1594" i="11" s="1"/>
  <c r="A1595" i="11" s="1"/>
  <c r="A1551" i="11"/>
  <c r="A1552" i="11" s="1"/>
  <c r="A1553" i="11" s="1"/>
  <c r="A1554" i="11" s="1"/>
  <c r="A1555" i="11" s="1"/>
  <c r="A1556" i="11" s="1"/>
  <c r="A1557" i="11" s="1"/>
  <c r="A1558" i="11" s="1"/>
  <c r="A1597" i="11"/>
  <c r="A1598" i="11" s="1"/>
  <c r="A1599" i="11" s="1"/>
  <c r="A1600" i="11" s="1"/>
  <c r="A1601" i="11" s="1"/>
  <c r="A1602" i="11" s="1"/>
  <c r="A1603" i="11" s="1"/>
  <c r="A1604" i="11" s="1"/>
  <c r="A1605" i="11" s="1"/>
  <c r="A1606" i="11" l="1"/>
  <c r="A1607" i="11" s="1"/>
  <c r="A1559" i="11"/>
  <c r="A1560" i="11" s="1"/>
  <c r="A1561" i="11" s="1"/>
  <c r="A1562" i="11" s="1"/>
  <c r="A1563" i="11" s="1"/>
  <c r="A1564" i="11" s="1"/>
  <c r="A1565" i="11" s="1"/>
  <c r="A1566" i="11" s="1"/>
  <c r="A1567" i="11" s="1"/>
  <c r="A1568" i="11" s="1"/>
  <c r="A1569" i="11" s="1"/>
  <c r="A1608" i="11"/>
  <c r="A1609" i="11" l="1"/>
  <c r="A1610" i="11" s="1"/>
  <c r="A1611" i="11" s="1"/>
  <c r="A1570" i="11"/>
  <c r="A1571" i="11" s="1"/>
  <c r="A1572" i="11" s="1"/>
  <c r="A1573" i="11" s="1"/>
  <c r="A1574" i="11" s="1"/>
  <c r="A1575" i="11" s="1"/>
  <c r="A1576" i="11" s="1"/>
  <c r="A1577" i="11" s="1"/>
  <c r="A1578" i="11" s="1"/>
  <c r="A1579" i="11" s="1"/>
  <c r="A1580" i="11" s="1"/>
  <c r="A1581" i="11" s="1"/>
  <c r="A1582" i="11" s="1"/>
  <c r="A1583" i="11" s="1"/>
  <c r="A1584" i="11" s="1"/>
  <c r="A1585" i="11" s="1"/>
  <c r="A1586" i="11" s="1"/>
  <c r="A1587" i="11" s="1"/>
  <c r="A1619" i="11"/>
  <c r="A1620" i="11" s="1"/>
  <c r="A1621" i="11" s="1"/>
  <c r="A1622" i="11" s="1"/>
  <c r="A1623" i="11" s="1"/>
  <c r="A1624" i="11" s="1"/>
  <c r="A1625" i="11" s="1"/>
  <c r="A1626" i="11" s="1"/>
  <c r="A1627" i="11" s="1"/>
  <c r="A1612" i="11"/>
  <c r="A1613" i="11" s="1"/>
  <c r="A1614" i="11" s="1"/>
  <c r="A1615" i="11" s="1"/>
  <c r="A1616" i="11" s="1"/>
  <c r="A1617" i="11" s="1"/>
  <c r="A1618" i="11" s="1"/>
  <c r="A1661" i="11"/>
  <c r="A1662" i="11" s="1"/>
  <c r="A1663" i="11" s="1"/>
  <c r="A1664" i="11" s="1"/>
  <c r="A1665" i="11" s="1"/>
  <c r="A1666" i="11" s="1"/>
  <c r="A1667" i="11" s="1"/>
  <c r="A1668" i="11" s="1"/>
  <c r="A1669" i="11" s="1"/>
  <c r="A1670" i="11" s="1"/>
  <c r="A1671" i="11" s="1"/>
  <c r="A1672" i="11" s="1"/>
  <c r="A1673" i="11" s="1"/>
  <c r="A1674" i="11" s="1"/>
  <c r="A1675" i="11" s="1"/>
  <c r="A1676" i="11" s="1"/>
  <c r="A1677" i="11" s="1"/>
  <c r="A1628" i="11" l="1"/>
  <c r="A1629" i="11" s="1"/>
  <c r="A1630" i="11" s="1"/>
  <c r="A1631" i="11" s="1"/>
  <c r="A1632" i="11" s="1"/>
  <c r="A1633" i="11" s="1"/>
  <c r="A1634" i="11" s="1"/>
  <c r="A1635" i="11" s="1"/>
  <c r="A1636" i="11" s="1"/>
  <c r="A1637" i="11" s="1"/>
  <c r="A1638" i="11" s="1"/>
  <c r="A1639" i="11" s="1"/>
  <c r="A1640" i="11" s="1"/>
  <c r="A1641" i="11" s="1"/>
  <c r="A1642" i="11" s="1"/>
  <c r="A1643" i="11" s="1"/>
  <c r="A1644" i="11" s="1"/>
  <c r="A1645" i="11" s="1"/>
  <c r="A1646" i="11" s="1"/>
  <c r="A1647" i="11" s="1"/>
  <c r="A1648" i="11" s="1"/>
  <c r="A1649" i="11" s="1"/>
  <c r="A1650" i="11" s="1"/>
  <c r="A1651" i="11" s="1"/>
  <c r="A1652" i="11" s="1"/>
  <c r="A1653" i="11" s="1"/>
  <c r="A1654" i="11" s="1"/>
  <c r="A1655" i="11" s="1"/>
  <c r="A1656" i="11" s="1"/>
  <c r="A1657" i="11" s="1"/>
  <c r="A1658" i="11" s="1"/>
  <c r="A1659" i="11" s="1"/>
  <c r="A1678" i="11" l="1"/>
  <c r="A1679" i="11" s="1"/>
  <c r="A1680" i="11" s="1"/>
  <c r="A1681" i="11" s="1"/>
  <c r="A1682" i="11" s="1"/>
  <c r="A1683" i="11" s="1"/>
  <c r="A1684" i="11" l="1"/>
  <c r="A1685" i="11" s="1"/>
  <c r="A1686" i="11" s="1"/>
  <c r="A1687" i="11" s="1"/>
  <c r="A1688" i="11" s="1"/>
  <c r="A1689" i="11" s="1"/>
  <c r="A1690" i="11" s="1"/>
  <c r="A1691" i="11" s="1"/>
  <c r="A1692" i="11" s="1"/>
  <c r="A1693" i="11" s="1"/>
  <c r="A1694" i="11" s="1"/>
  <c r="A1695" i="11" s="1"/>
  <c r="A1696" i="11" s="1"/>
  <c r="A1697" i="11" s="1"/>
  <c r="A1698" i="11" s="1"/>
  <c r="A1699" i="11" s="1"/>
  <c r="A1733" i="11"/>
  <c r="A1734" i="11" s="1"/>
  <c r="A1735" i="11" s="1"/>
  <c r="A1736" i="11" s="1"/>
  <c r="A1737" i="11" s="1"/>
  <c r="A1738" i="11" s="1"/>
  <c r="A1739" i="11" s="1"/>
  <c r="A1740" i="11" s="1"/>
  <c r="A1741" i="11" s="1"/>
  <c r="A1742" i="11" s="1"/>
  <c r="A1743" i="11" s="1"/>
  <c r="A1744" i="11" s="1"/>
  <c r="A1745" i="11" s="1"/>
  <c r="A1746" i="11" s="1"/>
  <c r="A1747" i="11" s="1"/>
  <c r="A1748" i="11" s="1"/>
  <c r="A1700" i="11" l="1"/>
  <c r="A1701" i="11" s="1"/>
  <c r="A1702" i="11" s="1"/>
  <c r="A1703" i="11" s="1"/>
  <c r="A1704" i="11" s="1"/>
  <c r="A1705" i="11" s="1"/>
  <c r="A1706" i="11" s="1"/>
  <c r="A1707" i="11" s="1"/>
  <c r="A1708" i="11" s="1"/>
  <c r="A1709" i="11" s="1"/>
  <c r="A1710" i="11" s="1"/>
  <c r="A1711" i="11" s="1"/>
  <c r="A1712" i="11" s="1"/>
  <c r="A1713" i="11" s="1"/>
  <c r="A1714" i="11" s="1"/>
  <c r="A1749" i="11"/>
  <c r="A1750" i="11" s="1"/>
  <c r="A1751" i="11" s="1"/>
  <c r="A1752" i="11" s="1"/>
  <c r="A1753" i="11" s="1"/>
  <c r="A1754" i="11" s="1"/>
  <c r="A1755" i="11" s="1"/>
  <c r="A1756" i="11" l="1"/>
  <c r="A1805" i="11"/>
  <c r="A1715" i="11"/>
  <c r="A1716" i="11" s="1"/>
  <c r="A1717" i="11" s="1"/>
  <c r="A1718" i="11" s="1"/>
  <c r="A1719" i="11" s="1"/>
  <c r="A1720" i="11" s="1"/>
  <c r="A1721" i="11" s="1"/>
  <c r="A1722" i="11" s="1"/>
  <c r="A1723" i="11" s="1"/>
  <c r="A1724" i="11" s="1"/>
  <c r="A1764" i="11"/>
  <c r="A1765" i="11" s="1"/>
  <c r="A1766" i="11" l="1"/>
  <c r="A1767" i="11" s="1"/>
  <c r="A1768" i="11" s="1"/>
  <c r="A1769" i="11" s="1"/>
  <c r="A1770" i="11" s="1"/>
  <c r="A1771" i="11" s="1"/>
  <c r="A1821" i="11" s="1"/>
  <c r="A1822" i="11" s="1"/>
  <c r="A1823" i="11" s="1"/>
  <c r="A1772" i="11"/>
  <c r="A1773" i="11" s="1"/>
  <c r="A1725" i="11"/>
  <c r="A1726" i="11" s="1"/>
  <c r="A1727" i="11" s="1"/>
  <c r="A1728" i="11" s="1"/>
  <c r="A1729" i="11" s="1"/>
  <c r="A1730" i="11" s="1"/>
  <c r="A1731" i="11" s="1"/>
  <c r="A1774" i="11"/>
  <c r="A1757" i="11"/>
  <c r="A1806" i="11"/>
  <c r="A1775" i="11" l="1"/>
  <c r="A1776" i="11" s="1"/>
  <c r="A1777" i="11" s="1"/>
  <c r="A1778" i="11" s="1"/>
  <c r="A1779" i="11" s="1"/>
  <c r="A1780" i="11" s="1"/>
  <c r="A1781" i="11" s="1"/>
  <c r="A1782" i="11" s="1"/>
  <c r="A1783" i="11" s="1"/>
  <c r="A1784" i="11" s="1"/>
  <c r="A1785" i="11" s="1"/>
  <c r="A1786" i="11" s="1"/>
  <c r="A1787" i="11" s="1"/>
  <c r="A1788" i="11" s="1"/>
  <c r="A1789" i="11" s="1"/>
  <c r="A1790" i="11" s="1"/>
  <c r="A1791" i="11" s="1"/>
  <c r="A1792" i="11" s="1"/>
  <c r="A1793" i="11" s="1"/>
  <c r="A1794" i="11" s="1"/>
  <c r="A1795" i="11" s="1"/>
  <c r="A1796" i="11" s="1"/>
  <c r="A1797" i="11" s="1"/>
  <c r="A1798" i="11" s="1"/>
  <c r="A1799" i="11" s="1"/>
  <c r="A1800" i="11" s="1"/>
  <c r="A1801" i="11" s="1"/>
  <c r="A1802" i="11" s="1"/>
  <c r="A1852" i="11" s="1"/>
  <c r="A1853" i="11" s="1"/>
  <c r="A1854" i="11" s="1"/>
  <c r="A1855" i="11" s="1"/>
  <c r="A1856" i="11" s="1"/>
  <c r="A1906" i="11" s="1"/>
  <c r="A1907" i="11" s="1"/>
  <c r="A1758" i="11"/>
  <c r="A1807" i="11"/>
  <c r="A1857" i="11" s="1"/>
  <c r="A1803" i="11"/>
  <c r="A1824" i="11"/>
  <c r="A1825" i="11" s="1"/>
  <c r="A1826" i="11" s="1"/>
  <c r="A1827" i="11" s="1"/>
  <c r="A1957" i="11" l="1"/>
  <c r="A1828" i="11"/>
  <c r="A1877" i="11"/>
  <c r="A1759" i="11"/>
  <c r="A1808" i="11"/>
  <c r="A1858" i="11" s="1"/>
  <c r="A1760" i="11" l="1"/>
  <c r="A1809" i="11"/>
  <c r="A1829" i="11"/>
  <c r="A1878" i="11"/>
  <c r="A1859" i="11"/>
  <c r="A1908" i="11"/>
  <c r="A1958" i="11" s="1"/>
  <c r="A1909" i="11" l="1"/>
  <c r="A1830" i="11"/>
  <c r="A1879" i="11"/>
  <c r="A1761" i="11"/>
  <c r="A1762" i="11" s="1"/>
  <c r="A1763" i="11" s="1"/>
  <c r="A1810" i="11"/>
  <c r="A1811" i="11" s="1"/>
  <c r="A1812" i="11" s="1"/>
  <c r="A1813" i="11" s="1"/>
  <c r="A1814" i="11" s="1"/>
  <c r="A1815" i="11" s="1"/>
  <c r="A1816" i="11" s="1"/>
  <c r="A1817" i="11" s="1"/>
  <c r="A1818" i="11" s="1"/>
  <c r="A1819" i="11" s="1"/>
  <c r="A1820" i="11" s="1"/>
  <c r="A1831" i="11" l="1"/>
  <c r="A1880" i="11"/>
  <c r="A1860" i="11"/>
  <c r="A1861" i="11" s="1"/>
  <c r="A1862" i="11" s="1"/>
  <c r="A1959" i="11"/>
  <c r="A1863" i="11" l="1"/>
  <c r="A1864" i="11" s="1"/>
  <c r="A1865" i="11" s="1"/>
  <c r="A1866" i="11" s="1"/>
  <c r="A1912" i="11"/>
  <c r="A1913" i="11" s="1"/>
  <c r="A1914" i="11" s="1"/>
  <c r="A1915" i="11" s="1"/>
  <c r="A1832" i="11"/>
  <c r="A1881" i="11"/>
  <c r="A1910" i="11"/>
  <c r="A1911" i="11" s="1"/>
  <c r="A1833" i="11" l="1"/>
  <c r="A1834" i="11" s="1"/>
  <c r="A1835" i="11" s="1"/>
  <c r="A1836" i="11" s="1"/>
  <c r="A1837" i="11" s="1"/>
  <c r="A1838" i="11" s="1"/>
  <c r="A1882" i="11"/>
  <c r="A1883" i="11" s="1"/>
  <c r="A1884" i="11" s="1"/>
  <c r="A1885" i="11" s="1"/>
  <c r="A1886" i="11" s="1"/>
  <c r="A1887" i="11" s="1"/>
  <c r="A1867" i="11"/>
  <c r="A1868" i="11" s="1"/>
  <c r="A1916" i="11"/>
  <c r="A1917" i="11" s="1"/>
  <c r="A1960" i="11"/>
  <c r="A1961" i="11" s="1"/>
  <c r="A1962" i="11" s="1"/>
  <c r="A1963" i="11" s="1"/>
  <c r="A1964" i="11" s="1"/>
  <c r="A1965" i="11" s="1"/>
  <c r="A1966" i="11" s="1"/>
  <c r="A1967" i="11" s="1"/>
  <c r="A1869" i="11" l="1"/>
  <c r="A1870" i="11" s="1"/>
  <c r="A1871" i="11" s="1"/>
  <c r="A1872" i="11" s="1"/>
  <c r="A1873" i="11" s="1"/>
  <c r="A1874" i="11" s="1"/>
  <c r="A1918" i="11"/>
  <c r="A1919" i="11" s="1"/>
  <c r="A1920" i="11" s="1"/>
  <c r="A1921" i="11" s="1"/>
  <c r="A1922" i="11" s="1"/>
  <c r="A1923" i="11" s="1"/>
  <c r="A1839" i="11"/>
  <c r="A1840" i="11" s="1"/>
  <c r="A1841" i="11" s="1"/>
  <c r="A1842" i="11" s="1"/>
  <c r="A1843" i="11" s="1"/>
  <c r="A1844" i="11" s="1"/>
  <c r="A1888" i="11"/>
  <c r="A1889" i="11" s="1"/>
  <c r="A1890" i="11" s="1"/>
  <c r="A1891" i="11" l="1"/>
  <c r="A1892" i="11" s="1"/>
  <c r="A1893" i="11" s="1"/>
  <c r="A1845" i="11"/>
  <c r="A1846" i="11" s="1"/>
  <c r="A1847" i="11" s="1"/>
  <c r="A1848" i="11" s="1"/>
  <c r="A1849" i="11" s="1"/>
  <c r="A1850" i="11" s="1"/>
  <c r="A1851" i="11" s="1"/>
  <c r="A1894" i="11"/>
  <c r="A1895" i="11" s="1"/>
  <c r="A1896" i="11" s="1"/>
  <c r="A1875" i="11"/>
  <c r="A1924" i="11"/>
  <c r="A1925" i="11" s="1"/>
  <c r="A1926" i="11" s="1"/>
  <c r="A1968" i="11"/>
  <c r="A1969" i="11" s="1"/>
  <c r="A1970" i="11" s="1"/>
  <c r="A1971" i="11" s="1"/>
  <c r="A1897" i="11" l="1"/>
  <c r="A1898" i="11" s="1"/>
  <c r="A1899" i="11" s="1"/>
  <c r="A1972" i="11"/>
  <c r="A2021" i="11"/>
  <c r="A1927" i="11"/>
  <c r="A1928" i="11" s="1"/>
  <c r="A1929" i="11" s="1"/>
  <c r="A1930" i="11" s="1"/>
  <c r="A1931" i="11" s="1"/>
  <c r="A1932" i="11" s="1"/>
  <c r="A1933" i="11" s="1"/>
  <c r="A1934" i="11" s="1"/>
  <c r="A1935" i="11" s="1"/>
  <c r="A1936" i="11" s="1"/>
  <c r="A1937" i="11" s="1"/>
  <c r="A1938" i="11" s="1"/>
  <c r="A1939" i="11" s="1"/>
  <c r="A1940" i="11" s="1"/>
  <c r="A1941" i="11" s="1"/>
  <c r="A1942" i="11" s="1"/>
  <c r="A1943" i="11" s="1"/>
  <c r="A1944" i="11" s="1"/>
  <c r="A1945" i="11" s="1"/>
  <c r="A1946" i="11" s="1"/>
  <c r="A1947" i="11" s="1"/>
  <c r="A1976" i="11"/>
  <c r="A1900" i="11"/>
  <c r="A1949" i="11"/>
  <c r="A1977" i="11" l="1"/>
  <c r="A1978" i="11" s="1"/>
  <c r="A1979" i="11" s="1"/>
  <c r="A1980" i="11" s="1"/>
  <c r="A1981" i="11" s="1"/>
  <c r="A2031" i="11" s="1"/>
  <c r="A2032" i="11" s="1"/>
  <c r="A2033" i="11" s="1"/>
  <c r="A2034" i="11" s="1"/>
  <c r="A1901" i="11"/>
  <c r="A1950" i="11"/>
  <c r="A1982" i="11"/>
  <c r="A1983" i="11" s="1"/>
  <c r="A1984" i="11" s="1"/>
  <c r="A1985" i="11" s="1"/>
  <c r="A1973" i="11"/>
  <c r="A2022" i="11"/>
  <c r="A1974" i="11" l="1"/>
  <c r="A2023" i="11"/>
  <c r="A1986" i="11"/>
  <c r="A1987" i="11" s="1"/>
  <c r="A1988" i="11" s="1"/>
  <c r="A1989" i="11" s="1"/>
  <c r="A1990" i="11" s="1"/>
  <c r="A1991" i="11" s="1"/>
  <c r="A2035" i="11"/>
  <c r="A2036" i="11" s="1"/>
  <c r="A2037" i="11" s="1"/>
  <c r="A2038" i="11" s="1"/>
  <c r="A2039" i="11" s="1"/>
  <c r="A2040" i="11" s="1"/>
  <c r="A1902" i="11"/>
  <c r="A1951" i="11"/>
  <c r="A2001" i="11" s="1"/>
  <c r="A1903" i="11" l="1"/>
  <c r="A1952" i="11"/>
  <c r="A2002" i="11" s="1"/>
  <c r="A1992" i="11"/>
  <c r="A1993" i="11" s="1"/>
  <c r="A2041" i="11"/>
  <c r="A2042" i="11" s="1"/>
  <c r="A1975" i="11"/>
  <c r="A2025" i="11" s="1"/>
  <c r="A2026" i="11" s="1"/>
  <c r="A2027" i="11" s="1"/>
  <c r="A2028" i="11" s="1"/>
  <c r="A2029" i="11" s="1"/>
  <c r="A2030" i="11" s="1"/>
  <c r="A2024" i="11"/>
  <c r="A1994" i="11" l="1"/>
  <c r="A1995" i="11" s="1"/>
  <c r="A1996" i="11" s="1"/>
  <c r="A1997" i="11" s="1"/>
  <c r="A1998" i="11" s="1"/>
  <c r="A2043" i="11"/>
  <c r="A1904" i="11"/>
  <c r="A1905" i="11" s="1"/>
  <c r="A1953" i="11"/>
  <c r="A1954" i="11" l="1"/>
  <c r="A1955" i="11" s="1"/>
  <c r="A1956" i="11" s="1"/>
  <c r="A2044" i="11"/>
  <c r="A2093" i="11"/>
  <c r="A1999" i="11"/>
  <c r="A2000" i="11" s="1"/>
  <c r="A2048" i="11"/>
  <c r="A2049" i="11" s="1"/>
  <c r="A2050" i="11" s="1"/>
  <c r="A2051" i="11" s="1"/>
  <c r="A2052" i="11" s="1"/>
  <c r="A2053" i="11" s="1"/>
  <c r="A2003" i="11"/>
  <c r="A2004" i="11" s="1"/>
  <c r="A2005" i="11" l="1"/>
  <c r="A2006" i="11" s="1"/>
  <c r="A2007" i="11" s="1"/>
  <c r="A2008" i="11" s="1"/>
  <c r="A2009" i="11" s="1"/>
  <c r="A2010" i="11" s="1"/>
  <c r="A2011" i="11" s="1"/>
  <c r="A2012" i="11" s="1"/>
  <c r="A2013" i="11" s="1"/>
  <c r="A2014" i="11" s="1"/>
  <c r="A2015" i="11" s="1"/>
  <c r="A2016" i="11" s="1"/>
  <c r="A2017" i="11" s="1"/>
  <c r="A2018" i="11" s="1"/>
  <c r="A2019" i="11" s="1"/>
  <c r="A2069" i="11" s="1"/>
  <c r="A2070" i="11" s="1"/>
  <c r="A2071" i="11" s="1"/>
  <c r="A2072" i="11" s="1"/>
  <c r="A2073" i="11" s="1"/>
  <c r="A2074" i="11" s="1"/>
  <c r="A2075" i="11" s="1"/>
  <c r="A2076" i="11" s="1"/>
  <c r="A2077" i="11" s="1"/>
  <c r="A2078" i="11" s="1"/>
  <c r="A2079" i="11" s="1"/>
  <c r="A2080" i="11" s="1"/>
  <c r="A2081" i="11" s="1"/>
  <c r="A2082" i="11" s="1"/>
  <c r="A2083" i="11" s="1"/>
  <c r="A2084" i="11" s="1"/>
  <c r="A2085" i="11" s="1"/>
  <c r="A2086" i="11" s="1"/>
  <c r="A2087" i="11" s="1"/>
  <c r="A2088" i="11" s="1"/>
  <c r="A2089" i="11" s="1"/>
  <c r="A2090" i="11" s="1"/>
  <c r="A2091" i="11" s="1"/>
  <c r="A2054" i="11"/>
  <c r="A2055" i="11" s="1"/>
  <c r="A2056" i="11" s="1"/>
  <c r="A2057" i="11" s="1"/>
  <c r="A2058" i="11" s="1"/>
  <c r="A2059" i="11" s="1"/>
  <c r="A2060" i="11" s="1"/>
  <c r="A2061" i="11" s="1"/>
  <c r="A2062" i="11" s="1"/>
  <c r="A2063" i="11" s="1"/>
  <c r="A2064" i="11" s="1"/>
  <c r="A2065" i="11" s="1"/>
  <c r="A2066" i="11" s="1"/>
  <c r="A2067" i="11" s="1"/>
  <c r="A2068" i="11" s="1"/>
  <c r="A2045" i="11"/>
  <c r="A2094" i="11"/>
  <c r="A2046" i="11" l="1"/>
  <c r="A2095" i="11"/>
  <c r="A2047" i="11" l="1"/>
  <c r="A2096" i="11"/>
  <c r="A2097" i="11" s="1"/>
  <c r="A2098" i="11" s="1"/>
  <c r="A2099" i="11" s="1"/>
  <c r="A2100" i="11" s="1"/>
  <c r="A2101" i="11" s="1"/>
  <c r="A2102" i="11" s="1"/>
  <c r="A2103" i="11" s="1"/>
  <c r="A2104" i="11" s="1"/>
  <c r="A2105" i="11" s="1"/>
  <c r="A2106" i="11" s="1"/>
  <c r="A2107" i="11" s="1"/>
  <c r="A2108" i="11" s="1"/>
  <c r="A2109" i="11" s="1"/>
  <c r="A2110" i="11" s="1"/>
  <c r="A2111" i="11" s="1"/>
  <c r="A2112" i="11" s="1"/>
  <c r="A2113" i="11" s="1"/>
  <c r="A2114" i="11" s="1"/>
  <c r="A2115" i="11" s="1"/>
  <c r="A2116" i="11" l="1"/>
  <c r="A2165" i="11"/>
  <c r="A2117" i="11" l="1"/>
  <c r="A2166" i="11"/>
  <c r="A2118" i="11" l="1"/>
  <c r="A2167" i="11"/>
  <c r="A2119" i="11" l="1"/>
  <c r="A2120" i="11" s="1"/>
  <c r="A2121" i="11" s="1"/>
  <c r="A2122" i="11" s="1"/>
  <c r="A2123" i="11" s="1"/>
  <c r="A2124" i="11" s="1"/>
  <c r="A2125" i="11" s="1"/>
  <c r="A2126" i="11" s="1"/>
  <c r="A2127" i="11" s="1"/>
  <c r="A2128" i="11" s="1"/>
  <c r="A2129" i="11" s="1"/>
  <c r="A2130" i="11" s="1"/>
  <c r="A2131" i="11" s="1"/>
  <c r="A2132" i="11" s="1"/>
  <c r="A2133" i="11" s="1"/>
  <c r="A2134" i="11" s="1"/>
  <c r="A2135" i="11" s="1"/>
  <c r="A2136" i="11" s="1"/>
  <c r="A2137" i="11" s="1"/>
  <c r="A2138" i="11" s="1"/>
  <c r="A2139" i="11" s="1"/>
  <c r="A2140" i="11" s="1"/>
  <c r="A2141" i="11" s="1"/>
  <c r="A2142" i="11" s="1"/>
  <c r="A2143" i="11" s="1"/>
  <c r="A2144" i="11" s="1"/>
  <c r="A2145" i="11" s="1"/>
  <c r="A2146" i="11" s="1"/>
  <c r="A2147" i="11" s="1"/>
  <c r="A2148" i="11" s="1"/>
  <c r="A2149" i="11" s="1"/>
  <c r="A2150" i="11" s="1"/>
  <c r="A2151" i="11" s="1"/>
  <c r="A2152" i="11" s="1"/>
  <c r="A2153" i="11" s="1"/>
  <c r="A2154" i="11" s="1"/>
  <c r="A2155" i="11" s="1"/>
  <c r="A2156" i="11" s="1"/>
  <c r="A2157" i="11" s="1"/>
  <c r="A2158" i="11" s="1"/>
  <c r="A2159" i="11" s="1"/>
  <c r="A2160" i="11" s="1"/>
  <c r="A2161" i="11" s="1"/>
  <c r="A2162" i="11" s="1"/>
  <c r="A2163" i="11" s="1"/>
  <c r="A2168" i="11"/>
  <c r="A2169" i="11" s="1"/>
  <c r="A2170" i="11" s="1"/>
  <c r="A2171" i="11" s="1"/>
  <c r="A2172" i="11" s="1"/>
  <c r="A2173" i="11" s="1"/>
  <c r="A2174" i="11" s="1"/>
  <c r="A2175" i="11" l="1"/>
  <c r="A2176" i="11" s="1"/>
  <c r="A2177" i="11" s="1"/>
  <c r="A2178" i="11" s="1"/>
  <c r="A2179" i="11" s="1"/>
  <c r="A2180" i="11" s="1"/>
  <c r="A2181" i="11" s="1"/>
  <c r="A2182" i="11" s="1"/>
  <c r="A2183" i="11" s="1"/>
  <c r="A2184" i="11" s="1"/>
  <c r="A2185" i="11" s="1"/>
  <c r="A2186" i="11" s="1"/>
  <c r="A2187" i="11" s="1"/>
  <c r="A2237" i="11" s="1"/>
  <c r="A2188" i="11"/>
  <c r="A2189" i="11" l="1"/>
  <c r="A2238" i="11"/>
  <c r="A2190" i="11" l="1"/>
  <c r="A2191" i="11" s="1"/>
  <c r="A2192" i="11" s="1"/>
  <c r="A2193" i="11" s="1"/>
  <c r="A2194" i="11" s="1"/>
  <c r="A2195" i="11" s="1"/>
  <c r="A2239" i="11"/>
  <c r="A2240" i="11" s="1"/>
  <c r="A2241" i="11" s="1"/>
  <c r="A2242" i="11" s="1"/>
  <c r="A2243" i="11" s="1"/>
  <c r="A2244" i="11" s="1"/>
  <c r="A2196" i="11" l="1"/>
  <c r="A2197" i="11" s="1"/>
  <c r="A2198" i="11" s="1"/>
  <c r="A2199" i="11" s="1"/>
  <c r="A2245" i="11"/>
  <c r="A2246" i="11" s="1"/>
  <c r="A2247" i="11" s="1"/>
  <c r="A2248" i="11" s="1"/>
  <c r="A2200" i="11" l="1"/>
  <c r="A2201" i="11" s="1"/>
  <c r="A2202" i="11" s="1"/>
  <c r="A2203" i="11" s="1"/>
  <c r="A2204" i="11" s="1"/>
  <c r="A2205" i="11" s="1"/>
  <c r="A2249" i="11"/>
  <c r="A2250" i="11" s="1"/>
  <c r="A2251" i="11" s="1"/>
  <c r="A2252" i="11" s="1"/>
  <c r="A2253" i="11" s="1"/>
  <c r="A2254" i="11" s="1"/>
  <c r="A2206" i="11" l="1"/>
  <c r="A2207" i="11" s="1"/>
  <c r="A2208" i="11" s="1"/>
  <c r="A2209" i="11" s="1"/>
  <c r="A2210" i="11" s="1"/>
  <c r="A2211" i="11" s="1"/>
  <c r="A2212" i="11" s="1"/>
  <c r="A2213" i="11" s="1"/>
  <c r="A2214" i="11" s="1"/>
  <c r="A2215" i="11" s="1"/>
  <c r="A2216" i="11" s="1"/>
  <c r="A2217" i="11" s="1"/>
  <c r="A2218" i="11" s="1"/>
  <c r="A2219" i="11" s="1"/>
  <c r="A2220" i="11" s="1"/>
  <c r="A2221" i="11" s="1"/>
  <c r="A2222" i="11" s="1"/>
  <c r="A2223" i="11" s="1"/>
  <c r="A2255" i="11"/>
  <c r="A2256" i="11" s="1"/>
  <c r="A2257" i="11" s="1"/>
  <c r="A2258" i="11" s="1"/>
  <c r="A2259" i="11" s="1"/>
  <c r="A2260" i="11" l="1"/>
  <c r="A2309" i="11"/>
  <c r="A2359" i="11" s="1"/>
  <c r="A2224" i="11"/>
  <c r="A2225" i="11" s="1"/>
  <c r="A2226" i="11" s="1"/>
  <c r="A2227" i="11" s="1"/>
  <c r="A2228" i="11" s="1"/>
  <c r="A2229" i="11" s="1"/>
  <c r="A2230" i="11" s="1"/>
  <c r="A2231" i="11" s="1"/>
  <c r="A2232" i="11" s="1"/>
  <c r="A2233" i="11" s="1"/>
  <c r="A2234" i="11" s="1"/>
  <c r="A2235" i="11" s="1"/>
  <c r="A2273" i="11"/>
  <c r="A2274" i="11" l="1"/>
  <c r="A2275" i="11" s="1"/>
  <c r="A2276" i="11" s="1"/>
  <c r="A2277" i="11" s="1"/>
  <c r="A2278" i="11" s="1"/>
  <c r="A2279" i="11" s="1"/>
  <c r="A2280" i="11" s="1"/>
  <c r="A2281" i="11" s="1"/>
  <c r="A2282" i="11" s="1"/>
  <c r="A2283" i="11" s="1"/>
  <c r="A2284" i="11" s="1"/>
  <c r="A2285" i="11" s="1"/>
  <c r="A2286" i="11" s="1"/>
  <c r="A2287" i="11" s="1"/>
  <c r="A2288" i="11" s="1"/>
  <c r="A2289" i="11" s="1"/>
  <c r="A2290" i="11" s="1"/>
  <c r="A2291" i="11" s="1"/>
  <c r="A2292" i="11" s="1"/>
  <c r="A2293" i="11" s="1"/>
  <c r="A2294" i="11" s="1"/>
  <c r="A2295" i="11" s="1"/>
  <c r="A2323" i="11"/>
  <c r="A2324" i="11" s="1"/>
  <c r="A2325" i="11" s="1"/>
  <c r="A2326" i="11" s="1"/>
  <c r="A2327" i="11" s="1"/>
  <c r="A2328" i="11" s="1"/>
  <c r="A2329" i="11" s="1"/>
  <c r="A2330" i="11" s="1"/>
  <c r="A2331" i="11" s="1"/>
  <c r="A2261" i="11"/>
  <c r="A2310" i="11"/>
  <c r="A2360" i="11" s="1"/>
  <c r="A2262" i="11" l="1"/>
  <c r="A2263" i="11" s="1"/>
  <c r="A2264" i="11" s="1"/>
  <c r="A2265" i="11" s="1"/>
  <c r="A2266" i="11" s="1"/>
  <c r="A2267" i="11" s="1"/>
  <c r="A2268" i="11" s="1"/>
  <c r="A2269" i="11" s="1"/>
  <c r="A2270" i="11" s="1"/>
  <c r="A2271" i="11" s="1"/>
  <c r="A2272" i="11" s="1"/>
  <c r="A2311" i="11"/>
  <c r="A2312" i="11" s="1"/>
  <c r="A2313" i="11" s="1"/>
  <c r="A2314" i="11" s="1"/>
  <c r="A2315" i="11" s="1"/>
  <c r="A2316" i="11" s="1"/>
  <c r="A2317" i="11" s="1"/>
  <c r="A2318" i="11" s="1"/>
  <c r="A2319" i="11" s="1"/>
  <c r="A2320" i="11" s="1"/>
  <c r="A2321" i="11" s="1"/>
  <c r="A2322" i="11" s="1"/>
  <c r="A2332" i="11"/>
  <c r="A2381" i="11"/>
  <c r="A2431" i="11" s="1"/>
  <c r="A2296" i="11"/>
  <c r="A2297" i="11" s="1"/>
  <c r="A2345" i="11"/>
  <c r="A2346" i="11" s="1"/>
  <c r="A2298" i="11" l="1"/>
  <c r="A2299" i="11" s="1"/>
  <c r="A2300" i="11" s="1"/>
  <c r="A2301" i="11" s="1"/>
  <c r="A2302" i="11" s="1"/>
  <c r="A2303" i="11" s="1"/>
  <c r="A2304" i="11" s="1"/>
  <c r="A2305" i="11" s="1"/>
  <c r="A2306" i="11" s="1"/>
  <c r="A2307" i="11" s="1"/>
  <c r="A2347" i="11"/>
  <c r="A2348" i="11" s="1"/>
  <c r="A2349" i="11" s="1"/>
  <c r="A2350" i="11" s="1"/>
  <c r="A2351" i="11" s="1"/>
  <c r="A2352" i="11" s="1"/>
  <c r="A2353" i="11" s="1"/>
  <c r="A2354" i="11" s="1"/>
  <c r="A2355" i="11" s="1"/>
  <c r="A2356" i="11" s="1"/>
  <c r="A2357" i="11" s="1"/>
  <c r="A2358" i="11" s="1"/>
  <c r="A2333" i="11"/>
  <c r="A2334" i="11" s="1"/>
  <c r="A2335" i="11" s="1"/>
  <c r="A2336" i="11" s="1"/>
  <c r="A2337" i="11" s="1"/>
  <c r="A2338" i="11" s="1"/>
  <c r="A2339" i="11" s="1"/>
  <c r="A2340" i="11" s="1"/>
  <c r="A2341" i="11" s="1"/>
  <c r="A2342" i="11" s="1"/>
  <c r="A2382" i="11"/>
  <c r="A2361" i="11"/>
  <c r="A2362" i="11" s="1"/>
  <c r="A2363" i="11" s="1"/>
  <c r="A2364" i="11" s="1"/>
  <c r="A2365" i="11" s="1"/>
  <c r="A2366" i="11" s="1"/>
  <c r="A2367" i="11" s="1"/>
  <c r="A2343" i="11" l="1"/>
  <c r="A2344" i="11" s="1"/>
  <c r="A2392" i="11"/>
  <c r="A2393" i="11" s="1"/>
  <c r="A2394" i="11" s="1"/>
  <c r="A2395" i="11" s="1"/>
  <c r="A2396" i="11" s="1"/>
  <c r="A2397" i="11" s="1"/>
  <c r="A2398" i="11" s="1"/>
  <c r="A2399" i="11" s="1"/>
  <c r="A2400" i="11" s="1"/>
  <c r="A2401" i="11" s="1"/>
  <c r="A2402" i="11" s="1"/>
  <c r="A2403" i="11" s="1"/>
  <c r="A2368" i="11"/>
  <c r="A2369" i="11" s="1"/>
  <c r="A2417" i="11"/>
  <c r="A2418" i="11" s="1"/>
  <c r="A2383" i="11"/>
  <c r="A2384" i="11" s="1"/>
  <c r="A2385" i="11" s="1"/>
  <c r="A2386" i="11" s="1"/>
  <c r="A2387" i="11" s="1"/>
  <c r="A2388" i="11" s="1"/>
  <c r="A2389" i="11" s="1"/>
  <c r="A2390" i="11" s="1"/>
  <c r="A2391" i="11" s="1"/>
  <c r="A2432" i="11"/>
  <c r="A2433" i="11" s="1"/>
  <c r="A2434" i="11" s="1"/>
  <c r="A2435" i="11" s="1"/>
  <c r="A2436" i="11" s="1"/>
  <c r="A2437" i="11" s="1"/>
  <c r="A2438" i="11" s="1"/>
  <c r="A2404" i="11" l="1"/>
  <c r="A2453" i="11"/>
  <c r="A2439" i="11"/>
  <c r="A2440" i="11" s="1"/>
  <c r="A2441" i="11" s="1"/>
  <c r="A2442" i="11" s="1"/>
  <c r="A2443" i="11" s="1"/>
  <c r="A2444" i="11" s="1"/>
  <c r="A2445" i="11" s="1"/>
  <c r="A2446" i="11" s="1"/>
  <c r="A2447" i="11" s="1"/>
  <c r="A2488" i="11"/>
  <c r="A2489" i="11" s="1"/>
  <c r="A2490" i="11" s="1"/>
  <c r="A2491" i="11" s="1"/>
  <c r="A2492" i="11" s="1"/>
  <c r="A2493" i="11" s="1"/>
  <c r="A2494" i="11" s="1"/>
  <c r="A2495" i="11" s="1"/>
  <c r="A2496" i="11" s="1"/>
  <c r="A2370" i="11"/>
  <c r="A2371" i="11" s="1"/>
  <c r="A2372" i="11" s="1"/>
  <c r="A2373" i="11" s="1"/>
  <c r="A2374" i="11" s="1"/>
  <c r="A2375" i="11" s="1"/>
  <c r="A2376" i="11" s="1"/>
  <c r="A2377" i="11" s="1"/>
  <c r="A2378" i="11" s="1"/>
  <c r="A2379" i="11" s="1"/>
  <c r="A2419" i="11"/>
  <c r="A2420" i="11" s="1"/>
  <c r="A2421" i="11" s="1"/>
  <c r="A2422" i="11" s="1"/>
  <c r="A2423" i="11" s="1"/>
  <c r="A2424" i="11" s="1"/>
  <c r="A2425" i="11" s="1"/>
  <c r="A2426" i="11" s="1"/>
  <c r="A2427" i="11" l="1"/>
  <c r="A2476" i="11"/>
  <c r="A2448" i="11"/>
  <c r="A2449" i="11" s="1"/>
  <c r="A2450" i="11" s="1"/>
  <c r="A2451" i="11" s="1"/>
  <c r="A2497" i="11"/>
  <c r="A2498" i="11" s="1"/>
  <c r="A2405" i="11"/>
  <c r="A2406" i="11" s="1"/>
  <c r="A2407" i="11" s="1"/>
  <c r="A2408" i="11" s="1"/>
  <c r="A2409" i="11" s="1"/>
  <c r="A2410" i="11" s="1"/>
  <c r="A2411" i="11" s="1"/>
  <c r="A2412" i="11" s="1"/>
  <c r="A2413" i="11" s="1"/>
  <c r="A2414" i="11" s="1"/>
  <c r="A2415" i="11" s="1"/>
  <c r="A2416" i="11" s="1"/>
  <c r="A2454" i="11"/>
  <c r="A2499" i="11" l="1"/>
  <c r="A2500" i="11" s="1"/>
  <c r="A2501" i="11" s="1"/>
  <c r="A2502" i="11" s="1"/>
  <c r="A2503" i="11" s="1"/>
  <c r="A2504" i="11" s="1"/>
  <c r="A2455" i="11"/>
  <c r="A2456" i="11" s="1"/>
  <c r="A2457" i="11" s="1"/>
  <c r="A2458" i="11" s="1"/>
  <c r="A2459" i="11" s="1"/>
  <c r="A2460" i="11" s="1"/>
  <c r="A2461" i="11" s="1"/>
  <c r="A2462" i="11" s="1"/>
  <c r="A2463" i="11" s="1"/>
  <c r="A2464" i="11" s="1"/>
  <c r="A2465" i="11" s="1"/>
  <c r="A2466" i="11" s="1"/>
  <c r="A2467" i="11" s="1"/>
  <c r="A2468" i="11" s="1"/>
  <c r="A2469" i="11" s="1"/>
  <c r="A2470" i="11" s="1"/>
  <c r="A2471" i="11" s="1"/>
  <c r="A2472" i="11" s="1"/>
  <c r="A2473" i="11" s="1"/>
  <c r="A2474" i="11" s="1"/>
  <c r="A2475" i="11" s="1"/>
  <c r="A2525" i="11" s="1"/>
  <c r="A2526" i="11" s="1"/>
  <c r="A2527" i="11" s="1"/>
  <c r="A2428" i="11"/>
  <c r="A2477" i="11"/>
  <c r="A2429" i="11" l="1"/>
  <c r="A2430" i="11" s="1"/>
  <c r="A2478" i="11"/>
  <c r="A2479" i="11" s="1"/>
  <c r="A2480" i="11" s="1"/>
  <c r="A2481" i="11" s="1"/>
  <c r="A2482" i="11" s="1"/>
  <c r="A2483" i="11" s="1"/>
  <c r="A2484" i="11" s="1"/>
  <c r="A2485" i="11" s="1"/>
  <c r="A2486" i="11" s="1"/>
  <c r="A2487" i="11" s="1"/>
  <c r="A2528" i="11"/>
  <c r="A2529" i="11" s="1"/>
  <c r="A2530" i="11" s="1"/>
  <c r="A2531" i="11" s="1"/>
  <c r="A2532" i="11" s="1"/>
  <c r="A2505" i="11"/>
  <c r="A2506" i="11" s="1"/>
  <c r="A2507" i="11" s="1"/>
  <c r="A2508" i="11" s="1"/>
  <c r="A2509" i="11" s="1"/>
  <c r="A2510" i="11" s="1"/>
  <c r="A2511" i="11" s="1"/>
  <c r="A2512" i="11" s="1"/>
  <c r="A2513" i="11" s="1"/>
  <c r="A2514" i="11" s="1"/>
  <c r="A2515" i="11" s="1"/>
  <c r="A2516" i="11" s="1"/>
  <c r="A2517" i="11" s="1"/>
  <c r="A2518" i="11" s="1"/>
  <c r="A2519" i="11" s="1"/>
  <c r="A2520" i="11" s="1"/>
  <c r="A2521" i="11" s="1"/>
  <c r="A2522" i="11" s="1"/>
  <c r="A2523" i="11" s="1"/>
  <c r="A2533" i="11" l="1"/>
  <c r="A2534" i="11" s="1"/>
  <c r="A2535" i="11" s="1"/>
  <c r="A2536" i="11" s="1"/>
  <c r="A2537" i="11" s="1"/>
  <c r="A2538" i="11" s="1"/>
  <c r="A2539" i="11" s="1"/>
  <c r="A2540" i="11" s="1"/>
  <c r="A2541" i="11" s="1"/>
  <c r="A2542" i="11" s="1"/>
  <c r="A2543" i="11" s="1"/>
  <c r="A2544" i="11" s="1"/>
  <c r="A2545" i="11" s="1"/>
  <c r="A2546" i="11" s="1"/>
  <c r="A2547" i="11" s="1"/>
  <c r="A2597" i="11" s="1"/>
  <c r="A2598" i="11" s="1"/>
  <c r="A2599" i="11" s="1"/>
  <c r="A2600" i="11" s="1"/>
  <c r="A2601" i="11" s="1"/>
  <c r="A2602" i="11" s="1"/>
  <c r="A2603" i="11" s="1"/>
  <c r="A2604" i="11" s="1"/>
  <c r="A2605" i="11" s="1"/>
  <c r="A2606" i="11" s="1"/>
  <c r="A2607" i="11" s="1"/>
  <c r="A2608" i="11" s="1"/>
  <c r="A2609" i="11" s="1"/>
  <c r="A2610" i="11" s="1"/>
  <c r="A2611" i="11" s="1"/>
  <c r="A2612" i="11" s="1"/>
  <c r="A2613" i="11" s="1"/>
  <c r="A2614" i="11" s="1"/>
  <c r="A2615" i="11" s="1"/>
  <c r="A2616" i="11" s="1"/>
  <c r="A2617" i="11" s="1"/>
  <c r="A2618" i="11" s="1"/>
  <c r="A2619" i="11" s="1"/>
  <c r="A2669" i="11" s="1"/>
  <c r="A2548" i="11"/>
  <c r="A2549" i="11" s="1"/>
  <c r="A2550" i="11" s="1"/>
  <c r="A2551" i="11" s="1"/>
  <c r="A2552" i="11" s="1"/>
  <c r="A2553" i="11" s="1"/>
  <c r="A2554" i="11" s="1"/>
  <c r="A2555" i="11" s="1"/>
  <c r="A2556" i="11" s="1"/>
  <c r="A2557" i="11" s="1"/>
  <c r="A2558" i="11" s="1"/>
  <c r="A2559" i="11" s="1"/>
  <c r="A2560" i="11" s="1"/>
  <c r="A2561" i="11" s="1"/>
  <c r="A2562" i="11" s="1"/>
  <c r="A2563" i="11" s="1"/>
  <c r="A2564" i="11" s="1"/>
  <c r="A2565" i="11" s="1"/>
  <c r="A2566" i="11" s="1"/>
  <c r="A2567" i="11" s="1"/>
  <c r="A2568" i="11" s="1"/>
  <c r="A2569" i="11" s="1"/>
  <c r="A2570" i="11" s="1"/>
  <c r="A2571" i="11" l="1"/>
  <c r="A2620" i="11"/>
  <c r="A2670" i="11" s="1"/>
  <c r="A2572" i="11" l="1"/>
  <c r="A2573" i="11" s="1"/>
  <c r="A2621" i="11"/>
  <c r="A2622" i="11" l="1"/>
  <c r="A2672" i="11" s="1"/>
  <c r="A2671" i="11"/>
  <c r="A2721" i="11" s="1"/>
  <c r="A2722" i="11" s="1"/>
  <c r="A2574" i="11"/>
  <c r="A2575" i="11" s="1"/>
  <c r="A2576" i="11" s="1"/>
  <c r="A2577" i="11" s="1"/>
  <c r="A2578" i="11" s="1"/>
  <c r="A2623" i="11"/>
  <c r="A2624" i="11" l="1"/>
  <c r="A2673" i="11"/>
  <c r="A2579" i="11"/>
  <c r="A2580" i="11" s="1"/>
  <c r="A2581" i="11" s="1"/>
  <c r="A2582" i="11" s="1"/>
  <c r="A2583" i="11" s="1"/>
  <c r="A2628" i="11"/>
  <c r="A2723" i="11"/>
  <c r="A2629" i="11" l="1"/>
  <c r="A2678" i="11"/>
  <c r="A2584" i="11"/>
  <c r="A2585" i="11" s="1"/>
  <c r="A2586" i="11" s="1"/>
  <c r="A2587" i="11" s="1"/>
  <c r="A2588" i="11" s="1"/>
  <c r="A2589" i="11" s="1"/>
  <c r="A2590" i="11" s="1"/>
  <c r="A2591" i="11" s="1"/>
  <c r="A2592" i="11" s="1"/>
  <c r="A2593" i="11" s="1"/>
  <c r="A2594" i="11" s="1"/>
  <c r="A2595" i="11" s="1"/>
  <c r="A2633" i="11"/>
  <c r="A2634" i="11" s="1"/>
  <c r="A2635" i="11" s="1"/>
  <c r="A2636" i="11" s="1"/>
  <c r="A2637" i="11" s="1"/>
  <c r="A2638" i="11" s="1"/>
  <c r="A2639" i="11" s="1"/>
  <c r="A2640" i="11" s="1"/>
  <c r="A2641" i="11" s="1"/>
  <c r="A2642" i="11" s="1"/>
  <c r="A2643" i="11" s="1"/>
  <c r="A2644" i="11" s="1"/>
  <c r="A2645" i="11" s="1"/>
  <c r="A2646" i="11" s="1"/>
  <c r="A2647" i="11" s="1"/>
  <c r="A2648" i="11" s="1"/>
  <c r="A2649" i="11" s="1"/>
  <c r="A2650" i="11" s="1"/>
  <c r="A2651" i="11" s="1"/>
  <c r="A2652" i="11" s="1"/>
  <c r="A2653" i="11" s="1"/>
  <c r="A2625" i="11"/>
  <c r="A2626" i="11" s="1"/>
  <c r="A2627" i="11" s="1"/>
  <c r="A2674" i="11"/>
  <c r="A2675" i="11" s="1"/>
  <c r="A2676" i="11" s="1"/>
  <c r="A2677" i="11" s="1"/>
  <c r="A2654" i="11" l="1"/>
  <c r="A2655" i="11" s="1"/>
  <c r="A2656" i="11" s="1"/>
  <c r="A2657" i="11" s="1"/>
  <c r="A2658" i="11" s="1"/>
  <c r="A2659" i="11" s="1"/>
  <c r="A2660" i="11" s="1"/>
  <c r="A2661" i="11" s="1"/>
  <c r="A2662" i="11" s="1"/>
  <c r="A2663" i="11" s="1"/>
  <c r="A2664" i="11" s="1"/>
  <c r="A2665" i="11" s="1"/>
  <c r="A2703" i="11"/>
  <c r="A2704" i="11" s="1"/>
  <c r="A2705" i="11" s="1"/>
  <c r="A2706" i="11" s="1"/>
  <c r="A2707" i="11" s="1"/>
  <c r="A2708" i="11" s="1"/>
  <c r="A2709" i="11" s="1"/>
  <c r="A2710" i="11" s="1"/>
  <c r="A2711" i="11" s="1"/>
  <c r="A2712" i="11" s="1"/>
  <c r="A2713" i="11" s="1"/>
  <c r="A2714" i="11" s="1"/>
  <c r="A2630" i="11"/>
  <c r="A2631" i="11" s="1"/>
  <c r="A2632" i="11" s="1"/>
  <c r="A2679" i="11"/>
  <c r="A2680" i="11" s="1"/>
  <c r="A2681" i="11" s="1"/>
  <c r="A2682" i="11" s="1"/>
  <c r="A2683" i="11" s="1"/>
  <c r="A2684" i="11" s="1"/>
  <c r="A2685" i="11" s="1"/>
  <c r="A2686" i="11" s="1"/>
  <c r="A2687" i="11" s="1"/>
  <c r="A2688" i="11" s="1"/>
  <c r="A2689" i="11" s="1"/>
  <c r="A2690" i="11" s="1"/>
  <c r="A2691" i="11" s="1"/>
  <c r="A2724" i="11"/>
  <c r="A2725" i="11" s="1"/>
  <c r="A2726" i="11" s="1"/>
  <c r="A2727" i="11" s="1"/>
  <c r="A2728" i="11" s="1"/>
  <c r="A2729" i="11" s="1"/>
  <c r="A2730" i="11" s="1"/>
  <c r="A2731" i="11" s="1"/>
  <c r="A2732" i="11" l="1"/>
  <c r="A2733" i="11" s="1"/>
  <c r="A2781" i="11"/>
  <c r="A2782" i="11" s="1"/>
  <c r="A2692" i="11"/>
  <c r="A2741" i="11"/>
  <c r="A2666" i="11"/>
  <c r="A2667" i="11" s="1"/>
  <c r="A2715" i="11"/>
  <c r="A2716" i="11" s="1"/>
  <c r="A2717" i="11" l="1"/>
  <c r="A2718" i="11" s="1"/>
  <c r="A2719" i="11" s="1"/>
  <c r="A2720" i="11" s="1"/>
  <c r="A2693" i="11"/>
  <c r="A2742" i="11"/>
  <c r="A2734" i="11"/>
  <c r="A2735" i="11" s="1"/>
  <c r="A2736" i="11" s="1"/>
  <c r="A2737" i="11" s="1"/>
  <c r="A2738" i="11" s="1"/>
  <c r="A2739" i="11" s="1"/>
  <c r="A2783" i="11"/>
  <c r="A2784" i="11" l="1"/>
  <c r="A2785" i="11" s="1"/>
  <c r="A2786" i="11" s="1"/>
  <c r="A2787" i="11" s="1"/>
  <c r="A2788" i="11" s="1"/>
  <c r="A2789" i="11" s="1"/>
  <c r="A2790" i="11" s="1"/>
  <c r="A2791" i="11" s="1"/>
  <c r="A2792" i="11" s="1"/>
  <c r="A2694" i="11"/>
  <c r="A2743" i="11"/>
  <c r="A2793" i="11" s="1"/>
  <c r="A2695" i="11" l="1"/>
  <c r="A2744" i="11"/>
  <c r="A2794" i="11" s="1"/>
  <c r="A2696" i="11" l="1"/>
  <c r="A2745" i="11"/>
  <c r="A2795" i="11" s="1"/>
  <c r="A2697" i="11" l="1"/>
  <c r="A2698" i="11" s="1"/>
  <c r="A2699" i="11" s="1"/>
  <c r="A2700" i="11" s="1"/>
  <c r="A2701" i="11" s="1"/>
  <c r="A2702" i="11" s="1"/>
  <c r="A2746" i="11"/>
  <c r="A2747" i="11" s="1"/>
  <c r="A2748" i="11" s="1"/>
  <c r="A2749" i="11" s="1"/>
  <c r="A2750" i="11" s="1"/>
  <c r="A2751" i="11" s="1"/>
  <c r="A2752" i="11" s="1"/>
  <c r="A2753" i="11" s="1"/>
  <c r="A2754" i="11" s="1"/>
  <c r="A2755" i="11" s="1"/>
  <c r="A2756" i="11" s="1"/>
  <c r="A2757" i="11" s="1"/>
  <c r="A2758" i="11" s="1"/>
  <c r="A2759" i="11" s="1"/>
  <c r="A2760" i="11" s="1"/>
  <c r="A2761" i="11" s="1"/>
  <c r="A2762" i="11" s="1"/>
  <c r="A2763" i="11" s="1"/>
  <c r="A2764" i="11" l="1"/>
  <c r="A2813" i="11"/>
  <c r="A2796" i="11"/>
  <c r="A2797" i="11" s="1"/>
  <c r="A2798" i="11" s="1"/>
  <c r="A2799" i="11" s="1"/>
  <c r="A2800" i="11" s="1"/>
  <c r="A2801" i="11" s="1"/>
  <c r="A2802" i="11" s="1"/>
  <c r="A2803" i="11" s="1"/>
  <c r="A2804" i="11" s="1"/>
  <c r="A2805" i="11" s="1"/>
  <c r="A2806" i="11" s="1"/>
  <c r="A2807" i="11" s="1"/>
  <c r="A2808" i="11" s="1"/>
  <c r="A2809" i="11" s="1"/>
  <c r="A2810" i="11" s="1"/>
  <c r="A2811" i="11" l="1"/>
  <c r="A2860" i="11"/>
  <c r="A2861" i="11" s="1"/>
  <c r="A2862" i="11" s="1"/>
  <c r="A2863" i="11" s="1"/>
  <c r="A2765" i="11"/>
  <c r="A2814" i="11"/>
  <c r="A2766" i="11" l="1"/>
  <c r="A2815" i="11"/>
  <c r="A2864" i="11"/>
  <c r="A2865" i="11" s="1"/>
  <c r="A2767" i="11" l="1"/>
  <c r="A2816" i="11"/>
  <c r="A2866" i="11" s="1"/>
  <c r="A2768" i="11" l="1"/>
  <c r="A2769" i="11" s="1"/>
  <c r="A2770" i="11" s="1"/>
  <c r="A2771" i="11" s="1"/>
  <c r="A2772" i="11" s="1"/>
  <c r="A2773" i="11" s="1"/>
  <c r="A2774" i="11" s="1"/>
  <c r="A2775" i="11" s="1"/>
  <c r="A2776" i="11" s="1"/>
  <c r="A2777" i="11" s="1"/>
  <c r="A2778" i="11" s="1"/>
  <c r="A2779" i="11" s="1"/>
  <c r="A2780" i="11" s="1"/>
  <c r="A2817" i="11"/>
  <c r="A2818" i="11" s="1"/>
  <c r="A2819" i="11" s="1"/>
  <c r="A2820" i="11" s="1"/>
  <c r="A2821" i="11" s="1"/>
  <c r="A2822" i="11" s="1"/>
  <c r="A2823" i="11" s="1"/>
  <c r="A2824" i="11" s="1"/>
  <c r="A2825" i="11" s="1"/>
  <c r="A2826" i="11" s="1"/>
  <c r="A2827" i="11" s="1"/>
  <c r="A2828" i="11" s="1"/>
  <c r="A2829" i="11" s="1"/>
  <c r="A2830" i="11" s="1"/>
  <c r="A2831" i="11" s="1"/>
  <c r="A2832" i="11" s="1"/>
  <c r="A2833" i="11" s="1"/>
  <c r="A2834" i="11" s="1"/>
  <c r="A2835" i="11" s="1"/>
  <c r="A2836" i="11" l="1"/>
  <c r="A2885" i="11"/>
  <c r="A2867" i="11"/>
  <c r="A2868" i="11" s="1"/>
  <c r="A2869" i="11" s="1"/>
  <c r="A2870" i="11" s="1"/>
  <c r="A2871" i="11" s="1"/>
  <c r="A2872" i="11" s="1"/>
  <c r="A2873" i="11" s="1"/>
  <c r="A2874" i="11" s="1"/>
  <c r="A2875" i="11" s="1"/>
  <c r="A2876" i="11" s="1"/>
  <c r="A2877" i="11" s="1"/>
  <c r="A2878" i="11" s="1"/>
  <c r="A2879" i="11" s="1"/>
  <c r="A2880" i="11" s="1"/>
  <c r="A2881" i="11" s="1"/>
  <c r="A2882" i="11" s="1"/>
  <c r="A2883" i="11" s="1"/>
  <c r="A2837" i="11" l="1"/>
  <c r="A2886" i="11"/>
  <c r="A2838" i="11" l="1"/>
  <c r="A2887" i="11"/>
  <c r="A2839" i="11" l="1"/>
  <c r="A2888" i="11"/>
  <c r="A2840" i="11" l="1"/>
  <c r="A2841" i="11" s="1"/>
  <c r="A2842" i="11" s="1"/>
  <c r="A2843" i="11" s="1"/>
  <c r="A2844" i="11" s="1"/>
  <c r="A2845" i="11" s="1"/>
  <c r="A2846" i="11" s="1"/>
  <c r="A2847" i="11" s="1"/>
  <c r="A2848" i="11" s="1"/>
  <c r="A2849" i="11" s="1"/>
  <c r="A2850" i="11" s="1"/>
  <c r="A2851" i="11" s="1"/>
  <c r="A2852" i="11" s="1"/>
  <c r="A2853" i="11" s="1"/>
  <c r="A2854" i="11" s="1"/>
  <c r="A2855" i="11" s="1"/>
  <c r="A2856" i="11" s="1"/>
  <c r="A2857" i="11" s="1"/>
  <c r="A2858" i="11" s="1"/>
  <c r="A2859" i="11" s="1"/>
  <c r="A2889" i="11"/>
  <c r="A2890" i="11" s="1"/>
  <c r="A2891" i="11" s="1"/>
  <c r="A2892" i="11" s="1"/>
  <c r="A2893" i="11" s="1"/>
  <c r="A2894" i="11" s="1"/>
  <c r="A2895" i="11" s="1"/>
  <c r="A2896" i="11" s="1"/>
  <c r="A2897" i="11" s="1"/>
  <c r="A2898" i="11" s="1"/>
  <c r="A2899" i="11" s="1"/>
  <c r="A2900" i="11" s="1"/>
  <c r="A2901" i="11" s="1"/>
  <c r="A2902" i="11" s="1"/>
  <c r="A2903" i="11" s="1"/>
  <c r="A2904" i="11" s="1"/>
  <c r="A2905" i="11" s="1"/>
  <c r="A2906" i="11" s="1"/>
  <c r="A2907" i="11" s="1"/>
  <c r="A2908" i="11" l="1"/>
  <c r="A2957" i="11"/>
  <c r="A2909" i="11" l="1"/>
  <c r="A2958" i="11"/>
  <c r="A2910" i="11" l="1"/>
  <c r="A2959" i="11"/>
  <c r="A2911" i="11" l="1"/>
  <c r="A2912" i="11" s="1"/>
  <c r="A2913" i="11" s="1"/>
  <c r="A2914" i="11" s="1"/>
  <c r="A2915" i="11" s="1"/>
  <c r="A2960" i="11"/>
  <c r="A2961" i="11" s="1"/>
  <c r="A2962" i="11" s="1"/>
  <c r="A2963" i="11" s="1"/>
  <c r="A2964" i="11" s="1"/>
  <c r="A2916" i="11" l="1"/>
  <c r="A2965" i="11"/>
  <c r="A2917" i="11" l="1"/>
  <c r="A2918" i="11" s="1"/>
  <c r="A2919" i="11" s="1"/>
  <c r="A2920" i="11" s="1"/>
  <c r="A2921" i="11" s="1"/>
  <c r="A2922" i="11" s="1"/>
  <c r="A2923" i="11" s="1"/>
  <c r="A2924" i="11" s="1"/>
  <c r="A2925" i="11" s="1"/>
  <c r="A2926" i="11" s="1"/>
  <c r="A2927" i="11" s="1"/>
  <c r="A2966" i="11"/>
  <c r="A2967" i="11" s="1"/>
  <c r="A2968" i="11" s="1"/>
  <c r="A2969" i="11" s="1"/>
  <c r="A2970" i="11" s="1"/>
  <c r="A2971" i="11" s="1"/>
  <c r="A2972" i="11" s="1"/>
  <c r="A2973" i="11" s="1"/>
  <c r="A2974" i="11" s="1"/>
  <c r="A2975" i="11" s="1"/>
  <c r="A2976" i="11" s="1"/>
  <c r="A2928" i="11" l="1"/>
  <c r="A2929" i="11" s="1"/>
  <c r="A2930" i="11" s="1"/>
  <c r="A2931" i="11" s="1"/>
  <c r="A2932" i="11" s="1"/>
  <c r="A2933" i="11" s="1"/>
  <c r="A2934" i="11" s="1"/>
  <c r="A2935" i="11" s="1"/>
  <c r="A2936" i="11" s="1"/>
  <c r="A2937" i="11" s="1"/>
  <c r="A2938" i="11" s="1"/>
  <c r="A2939" i="11" s="1"/>
  <c r="A2940" i="11" s="1"/>
  <c r="A2941" i="11" s="1"/>
  <c r="A2942" i="11" s="1"/>
  <c r="A2943" i="11" s="1"/>
  <c r="A2944" i="11" s="1"/>
  <c r="A2945" i="11" s="1"/>
  <c r="A2946" i="11" s="1"/>
  <c r="A2947" i="11" s="1"/>
  <c r="A2948" i="11" s="1"/>
  <c r="A2949" i="11" s="1"/>
  <c r="A2950" i="11" s="1"/>
  <c r="A2951" i="11" s="1"/>
  <c r="A2952" i="11" s="1"/>
  <c r="A2953" i="11" s="1"/>
  <c r="A2954" i="11" s="1"/>
  <c r="A2955" i="11" s="1"/>
  <c r="A3005" i="11" s="1"/>
  <c r="A3006" i="11" s="1"/>
  <c r="A3007" i="11" s="1"/>
  <c r="A3008" i="11" s="1"/>
  <c r="A3009" i="11" s="1"/>
  <c r="A3010" i="11" s="1"/>
  <c r="A3011" i="11" s="1"/>
  <c r="A3012" i="11" s="1"/>
  <c r="A3013" i="11" s="1"/>
  <c r="A3014" i="11" s="1"/>
  <c r="A3015" i="11" s="1"/>
  <c r="A3016" i="11" s="1"/>
  <c r="A3017" i="11" s="1"/>
  <c r="A3018" i="11" s="1"/>
  <c r="A3019" i="11" s="1"/>
  <c r="A3020" i="11" s="1"/>
  <c r="A2977" i="11"/>
  <c r="A2978" i="11" s="1"/>
  <c r="A2979" i="11" s="1"/>
  <c r="A2980" i="11" l="1"/>
  <c r="A3029" i="11"/>
  <c r="A3021" i="11"/>
  <c r="A3022" i="11" s="1"/>
  <c r="A3023" i="11" s="1"/>
  <c r="A3024" i="11" s="1"/>
  <c r="A3025" i="11" s="1"/>
  <c r="A3026" i="11" s="1"/>
  <c r="A3027" i="11" s="1"/>
  <c r="A3077" i="11" s="1"/>
  <c r="A3078" i="11" s="1"/>
  <c r="A3079" i="11" s="1"/>
  <c r="A3070" i="11"/>
  <c r="A3071" i="11" s="1"/>
  <c r="A3072" i="11" s="1"/>
  <c r="A3073" i="11" l="1"/>
  <c r="A3074" i="11" s="1"/>
  <c r="A3075" i="11" s="1"/>
  <c r="A3076" i="11" s="1"/>
  <c r="A3126" i="11" s="1"/>
  <c r="A3127" i="11" s="1"/>
  <c r="A3128" i="11" s="1"/>
  <c r="A3129" i="11" s="1"/>
  <c r="A3122" i="11"/>
  <c r="A2981" i="11"/>
  <c r="A3030" i="11"/>
  <c r="A3080" i="11" s="1"/>
  <c r="A3123" i="11" l="1"/>
  <c r="A2982" i="11"/>
  <c r="A3031" i="11"/>
  <c r="A3081" i="11" s="1"/>
  <c r="A3124" i="11"/>
  <c r="A3173" i="11"/>
  <c r="A3130" i="11"/>
  <c r="A3131" i="11" l="1"/>
  <c r="A3125" i="11"/>
  <c r="A3175" i="11" s="1"/>
  <c r="A3176" i="11" s="1"/>
  <c r="A3177" i="11" s="1"/>
  <c r="A3178" i="11" s="1"/>
  <c r="A3179" i="11" s="1"/>
  <c r="A3180" i="11" s="1"/>
  <c r="A3174" i="11"/>
  <c r="A2983" i="11"/>
  <c r="A2984" i="11" s="1"/>
  <c r="A2985" i="11" s="1"/>
  <c r="A2986" i="11" s="1"/>
  <c r="A2987" i="11" s="1"/>
  <c r="A2988" i="11" s="1"/>
  <c r="A3032" i="11"/>
  <c r="A3033" i="11" s="1"/>
  <c r="A3034" i="11" s="1"/>
  <c r="A3035" i="11" s="1"/>
  <c r="A3036" i="11" s="1"/>
  <c r="A3037" i="11" s="1"/>
  <c r="A2989" i="11" l="1"/>
  <c r="A2990" i="11" s="1"/>
  <c r="A2991" i="11" s="1"/>
  <c r="A2992" i="11" s="1"/>
  <c r="A2993" i="11" s="1"/>
  <c r="A2994" i="11" s="1"/>
  <c r="A2995" i="11" s="1"/>
  <c r="A2996" i="11" s="1"/>
  <c r="A2997" i="11" s="1"/>
  <c r="A2998" i="11" s="1"/>
  <c r="A2999" i="11" s="1"/>
  <c r="A3038" i="11"/>
  <c r="A3039" i="11" s="1"/>
  <c r="A3040" i="11" s="1"/>
  <c r="A3041" i="11" s="1"/>
  <c r="A3042" i="11" s="1"/>
  <c r="A3043" i="11" s="1"/>
  <c r="A3044" i="11" s="1"/>
  <c r="A3045" i="11" s="1"/>
  <c r="A3046" i="11" s="1"/>
  <c r="A3047" i="11" s="1"/>
  <c r="A3048" i="11" s="1"/>
  <c r="A3181" i="11"/>
  <c r="A3082" i="11"/>
  <c r="A3083" i="11" s="1"/>
  <c r="A3084" i="11" s="1"/>
  <c r="A3085" i="11" s="1"/>
  <c r="A3086" i="11" s="1"/>
  <c r="A3087" i="11" s="1"/>
  <c r="A3088" i="11" s="1"/>
  <c r="A3089" i="11" s="1"/>
  <c r="A3090" i="11" s="1"/>
  <c r="A3091" i="11" s="1"/>
  <c r="A3092" i="11" s="1"/>
  <c r="A3093" i="11" s="1"/>
  <c r="A3094" i="11" s="1"/>
  <c r="A3095" i="11" s="1"/>
  <c r="A3096" i="11" s="1"/>
  <c r="A3097" i="11" s="1"/>
  <c r="A3098" i="11" s="1"/>
  <c r="A3132" i="11" l="1"/>
  <c r="A3133" i="11" s="1"/>
  <c r="A3134" i="11" s="1"/>
  <c r="A3135" i="11" s="1"/>
  <c r="A3136" i="11" s="1"/>
  <c r="A3182" i="11"/>
  <c r="A3183" i="11" s="1"/>
  <c r="A3184" i="11" s="1"/>
  <c r="A3185" i="11" s="1"/>
  <c r="A3000" i="11"/>
  <c r="A3001" i="11" s="1"/>
  <c r="A3002" i="11" s="1"/>
  <c r="A3003" i="11" s="1"/>
  <c r="A3004" i="11" s="1"/>
  <c r="A3054" i="11" s="1"/>
  <c r="A3055" i="11" s="1"/>
  <c r="A3056" i="11" s="1"/>
  <c r="A3057" i="11" s="1"/>
  <c r="A3058" i="11" s="1"/>
  <c r="A3059" i="11" s="1"/>
  <c r="A3049" i="11"/>
  <c r="A3050" i="11" s="1"/>
  <c r="A3051" i="11" s="1"/>
  <c r="A3052" i="11" l="1"/>
  <c r="A3101" i="11"/>
  <c r="A3151" i="11" s="1"/>
  <c r="A3060" i="11"/>
  <c r="A3061" i="11" s="1"/>
  <c r="A3062" i="11" s="1"/>
  <c r="A3109" i="11"/>
  <c r="A3110" i="11" s="1"/>
  <c r="A3111" i="11" s="1"/>
  <c r="A3137" i="11"/>
  <c r="A3138" i="11" s="1"/>
  <c r="A3139" i="11" s="1"/>
  <c r="A3140" i="11" s="1"/>
  <c r="A3141" i="11" s="1"/>
  <c r="A3186" i="11"/>
  <c r="A3187" i="11" s="1"/>
  <c r="A3188" i="11" s="1"/>
  <c r="A3189" i="11" s="1"/>
  <c r="A3190" i="11" s="1"/>
  <c r="A3099" i="11"/>
  <c r="A3142" i="11" l="1"/>
  <c r="A3143" i="11" s="1"/>
  <c r="A3144" i="11" s="1"/>
  <c r="A3145" i="11" s="1"/>
  <c r="A3146" i="11" s="1"/>
  <c r="A3147" i="11" s="1"/>
  <c r="A3191" i="11"/>
  <c r="A3192" i="11" s="1"/>
  <c r="A3193" i="11" s="1"/>
  <c r="A3194" i="11" s="1"/>
  <c r="A3195" i="11" s="1"/>
  <c r="A3063" i="11"/>
  <c r="A3112" i="11"/>
  <c r="A3053" i="11"/>
  <c r="A3103" i="11" s="1"/>
  <c r="A3104" i="11" s="1"/>
  <c r="A3105" i="11" s="1"/>
  <c r="A3106" i="11" s="1"/>
  <c r="A3107" i="11" s="1"/>
  <c r="A3108" i="11" s="1"/>
  <c r="A3102" i="11"/>
  <c r="A3152" i="11" s="1"/>
  <c r="A3153" i="11" s="1"/>
  <c r="A3154" i="11" s="1"/>
  <c r="A3155" i="11" s="1"/>
  <c r="A3156" i="11" s="1"/>
  <c r="A3157" i="11" s="1"/>
  <c r="A3158" i="11" s="1"/>
  <c r="A3159" i="11" s="1"/>
  <c r="A3160" i="11" l="1"/>
  <c r="A3161" i="11" s="1"/>
  <c r="A3209" i="11"/>
  <c r="A3210" i="11" s="1"/>
  <c r="A3196" i="11"/>
  <c r="A3246" i="11" s="1"/>
  <c r="A3245" i="11"/>
  <c r="A3064" i="11"/>
  <c r="A3113" i="11"/>
  <c r="A3148" i="11"/>
  <c r="A3149" i="11" s="1"/>
  <c r="A3197" i="11"/>
  <c r="A3198" i="11" s="1"/>
  <c r="A3199" i="11" s="1"/>
  <c r="A3200" i="11" s="1"/>
  <c r="A3201" i="11" s="1"/>
  <c r="A3202" i="11" s="1"/>
  <c r="A3203" i="11" l="1"/>
  <c r="A3204" i="11" s="1"/>
  <c r="A3205" i="11" s="1"/>
  <c r="A3252" i="11"/>
  <c r="A3253" i="11" s="1"/>
  <c r="A3254" i="11" s="1"/>
  <c r="A3247" i="11"/>
  <c r="A3248" i="11" s="1"/>
  <c r="A3249" i="11" s="1"/>
  <c r="A3250" i="11" s="1"/>
  <c r="A3251" i="11" s="1"/>
  <c r="A3065" i="11"/>
  <c r="A3114" i="11"/>
  <c r="A3162" i="11"/>
  <c r="A3163" i="11" s="1"/>
  <c r="A3164" i="11" s="1"/>
  <c r="A3211" i="11"/>
  <c r="A3212" i="11" s="1"/>
  <c r="A3213" i="11" s="1"/>
  <c r="A3214" i="11" s="1"/>
  <c r="A3066" i="11" l="1"/>
  <c r="A3067" i="11" s="1"/>
  <c r="A3115" i="11"/>
  <c r="A3116" i="11" s="1"/>
  <c r="A3206" i="11"/>
  <c r="A3255" i="11"/>
  <c r="A3207" i="11" l="1"/>
  <c r="A3256" i="11"/>
  <c r="A3068" i="11"/>
  <c r="A3069" i="11" s="1"/>
  <c r="A3117" i="11"/>
  <c r="A3118" i="11" s="1"/>
  <c r="A3165" i="11"/>
  <c r="A3119" i="11" l="1"/>
  <c r="A3120" i="11" s="1"/>
  <c r="A3121" i="11" s="1"/>
  <c r="A3166" i="11"/>
  <c r="A3167" i="11" s="1"/>
  <c r="A3168" i="11" s="1"/>
  <c r="A3169" i="11" s="1"/>
  <c r="A3170" i="11" s="1"/>
  <c r="A3171" i="11" s="1"/>
  <c r="A3215" i="11"/>
  <c r="A3208" i="11"/>
  <c r="A3257" i="11"/>
  <c r="A3258" i="11" s="1"/>
  <c r="A3259" i="11" s="1"/>
  <c r="A3260" i="11" s="1"/>
  <c r="A3261" i="11" s="1"/>
  <c r="A3262" i="11" s="1"/>
  <c r="A3263" i="11" s="1"/>
  <c r="A3264" i="11" s="1"/>
  <c r="A3265" i="11" s="1"/>
  <c r="A3216" i="11" l="1"/>
  <c r="A3217" i="11" s="1"/>
  <c r="A3218" i="11" s="1"/>
  <c r="A3219" i="11" s="1"/>
  <c r="A3269" i="11" s="1"/>
  <c r="A3270" i="11" s="1"/>
  <c r="A3271" i="11" s="1"/>
  <c r="A3272" i="11" s="1"/>
  <c r="A3273" i="11" s="1"/>
  <c r="A3274" i="11" s="1"/>
  <c r="A3275" i="11" s="1"/>
  <c r="A3276" i="11" s="1"/>
  <c r="A3277" i="11" s="1"/>
  <c r="A3278" i="11" s="1"/>
  <c r="A3279" i="11" s="1"/>
  <c r="A3280" i="11" s="1"/>
  <c r="A3330" i="11" s="1"/>
  <c r="A3220" i="11"/>
  <c r="A3221" i="11" s="1"/>
  <c r="A3222" i="11" s="1"/>
  <c r="A3223" i="11" s="1"/>
  <c r="A3224" i="11" s="1"/>
  <c r="A3225" i="11" s="1"/>
  <c r="A3226" i="11" s="1"/>
  <c r="A3227" i="11" s="1"/>
  <c r="A3228" i="11" s="1"/>
  <c r="A3229" i="11" s="1"/>
  <c r="A3230" i="11" s="1"/>
  <c r="A3231" i="11" s="1"/>
  <c r="A3268" i="11"/>
  <c r="A3318" i="11" s="1"/>
  <c r="A3319" i="11" l="1"/>
  <c r="A3320" i="11" s="1"/>
  <c r="A3321" i="11" s="1"/>
  <c r="A3322" i="11" s="1"/>
  <c r="A3323" i="11" s="1"/>
  <c r="A3324" i="11" s="1"/>
  <c r="A3325" i="11" s="1"/>
  <c r="A3326" i="11" s="1"/>
  <c r="A3327" i="11" s="1"/>
  <c r="A3328" i="11" s="1"/>
  <c r="A3329" i="11" s="1"/>
  <c r="A3266" i="11"/>
  <c r="A3267" i="11" s="1"/>
  <c r="A3317" i="11" s="1"/>
  <c r="A3367" i="11" s="1"/>
  <c r="A3368" i="11" s="1"/>
  <c r="A3369" i="11" s="1"/>
  <c r="A3370" i="11" s="1"/>
  <c r="A3371" i="11" s="1"/>
  <c r="A3372" i="11" s="1"/>
  <c r="A3373" i="11" s="1"/>
  <c r="A3374" i="11" s="1"/>
  <c r="A3375" i="11" s="1"/>
  <c r="A3376" i="11" s="1"/>
  <c r="A3377" i="11" s="1"/>
  <c r="A3378" i="11" s="1"/>
  <c r="A3379" i="11" s="1"/>
  <c r="A3380" i="11" s="1"/>
  <c r="A3232" i="11"/>
  <c r="A3233" i="11" s="1"/>
  <c r="A3234" i="11" s="1"/>
  <c r="A3235" i="11" s="1"/>
  <c r="A3236" i="11" s="1"/>
  <c r="A3237" i="11" s="1"/>
  <c r="A3238" i="11" s="1"/>
  <c r="A3239" i="11" s="1"/>
  <c r="A3240" i="11" s="1"/>
  <c r="A3241" i="11" s="1"/>
  <c r="A3281" i="11"/>
  <c r="A3282" i="11" s="1"/>
  <c r="A3283" i="11" s="1"/>
  <c r="A3284" i="11" s="1"/>
  <c r="A3285" i="11" s="1"/>
  <c r="A3286" i="11" s="1"/>
  <c r="A3287" i="11" s="1"/>
  <c r="A3288" i="11" s="1"/>
  <c r="A3289" i="11" s="1"/>
  <c r="A3290" i="11" s="1"/>
  <c r="A3340" i="11" s="1"/>
  <c r="A3242" i="11" l="1"/>
  <c r="A3243" i="11" s="1"/>
  <c r="A3291" i="11"/>
  <c r="A3292" i="11" s="1"/>
  <c r="A3293" i="11" s="1"/>
  <c r="A3294" i="11" s="1"/>
  <c r="A3295" i="11" s="1"/>
  <c r="A3296" i="11" s="1"/>
  <c r="A3297" i="11" s="1"/>
  <c r="A3298" i="11" s="1"/>
  <c r="A3299" i="11" s="1"/>
  <c r="A3300" i="11" s="1"/>
  <c r="A3301" i="11" s="1"/>
  <c r="A3302" i="11" s="1"/>
  <c r="A3303" i="11" s="1"/>
  <c r="A3304" i="11" s="1"/>
  <c r="A3305" i="11" s="1"/>
  <c r="A3306" i="11" s="1"/>
  <c r="A3307" i="11" s="1"/>
  <c r="A3308" i="11" s="1"/>
  <c r="A3309" i="11" s="1"/>
  <c r="A3310" i="11" s="1"/>
  <c r="A3311" i="11" s="1"/>
  <c r="A3312" i="11" s="1"/>
  <c r="A3331" i="11"/>
  <c r="A3332" i="11" l="1"/>
  <c r="A3333" i="11" s="1"/>
  <c r="A3334" i="11" s="1"/>
  <c r="A3335" i="11" s="1"/>
  <c r="A3336" i="11" s="1"/>
  <c r="A3337" i="11" s="1"/>
  <c r="A3338" i="11" s="1"/>
  <c r="A3339" i="11" s="1"/>
  <c r="A3389" i="11" s="1"/>
  <c r="A3390" i="11" s="1"/>
  <c r="A3381" i="11"/>
  <c r="A3382" i="11" s="1"/>
  <c r="A3383" i="11" s="1"/>
  <c r="A3384" i="11" s="1"/>
  <c r="A3385" i="11" s="1"/>
  <c r="A3386" i="11" s="1"/>
  <c r="A3387" i="11" s="1"/>
  <c r="A3313" i="11"/>
  <c r="A3314" i="11" s="1"/>
  <c r="A3315" i="11" s="1"/>
  <c r="A3362" i="11"/>
  <c r="A3363" i="11" s="1"/>
  <c r="A3364" i="11" s="1"/>
  <c r="A3341" i="11"/>
  <c r="A3342" i="11" s="1"/>
  <c r="A3343" i="11" s="1"/>
  <c r="A3344" i="11" s="1"/>
  <c r="A3345" i="11" s="1"/>
  <c r="A3346" i="11" s="1"/>
  <c r="A3347" i="11" s="1"/>
  <c r="A3348" i="11" s="1"/>
  <c r="A3349" i="11" s="1"/>
  <c r="A3350" i="11" s="1"/>
  <c r="A3351" i="11" s="1"/>
  <c r="A3352" i="11" s="1"/>
  <c r="A3353" i="11" s="1"/>
  <c r="A3354" i="11" s="1"/>
  <c r="A3355" i="11" s="1"/>
  <c r="A3356" i="11" s="1"/>
  <c r="A3357" i="11" s="1"/>
  <c r="A3358" i="11" s="1"/>
  <c r="A3359" i="11" s="1"/>
  <c r="A3360" i="11" s="1"/>
  <c r="A3361" i="11" s="1"/>
  <c r="A3365" i="11" l="1"/>
  <c r="A3366" i="11" s="1"/>
  <c r="A3391" i="11"/>
  <c r="A3392" i="11" s="1"/>
  <c r="A3393" i="11" s="1"/>
  <c r="A3394" i="11" s="1"/>
  <c r="A3395" i="11" s="1"/>
  <c r="A3396" i="11" s="1"/>
  <c r="A3397" i="11" s="1"/>
  <c r="A3398" i="11" s="1"/>
  <c r="A3399" i="11" s="1"/>
  <c r="A3400" i="11" s="1"/>
  <c r="A3401" i="11" s="1"/>
  <c r="A3402" i="11" s="1"/>
  <c r="A3403" i="11" s="1"/>
  <c r="A3404" i="11" s="1"/>
  <c r="A3405" i="11" s="1"/>
  <c r="A3406" i="11" s="1"/>
  <c r="A3407" i="11" s="1"/>
  <c r="A3408" i="11" s="1"/>
  <c r="A3409" i="11" s="1"/>
  <c r="A3410" i="11" s="1"/>
  <c r="A3411" i="11" s="1"/>
  <c r="A3412" i="11" l="1"/>
  <c r="A3413" i="11" s="1"/>
  <c r="A3414" i="11" s="1"/>
  <c r="A3415" i="11" s="1"/>
  <c r="A3416" i="11" s="1"/>
  <c r="A3417" i="11" s="1"/>
  <c r="A3418" i="11" s="1"/>
  <c r="A3419" i="11" s="1"/>
  <c r="A3420" i="11" s="1"/>
  <c r="A3421" i="11" s="1"/>
  <c r="A3422" i="11" s="1"/>
  <c r="A3423" i="11" s="1"/>
  <c r="A3424" i="11" s="1"/>
  <c r="A3425" i="11" s="1"/>
  <c r="A3426" i="11" s="1"/>
  <c r="A3427" i="11" s="1"/>
  <c r="A3428" i="11" s="1"/>
  <c r="A3429" i="11" s="1"/>
  <c r="A3430" i="11" s="1"/>
  <c r="A3431" i="11" s="1"/>
  <c r="A3432" i="11" s="1"/>
  <c r="A3433" i="11" s="1"/>
  <c r="A3434" i="11" s="1"/>
  <c r="A3435" i="11" s="1"/>
  <c r="A3436" i="11" s="1"/>
  <c r="A3437" i="11" s="1"/>
  <c r="A3438" i="11" s="1"/>
  <c r="A3439" i="11" s="1"/>
  <c r="A3440" i="11" s="1"/>
  <c r="A3441" i="11" s="1"/>
  <c r="A3461" i="11"/>
  <c r="A3462" i="11" s="1"/>
  <c r="A3463" i="11" s="1"/>
  <c r="A3464" i="11" s="1"/>
  <c r="A3465" i="11" l="1"/>
  <c r="A3514" i="11"/>
  <c r="A3442" i="11"/>
  <c r="A3443" i="11" s="1"/>
  <c r="A3444" i="11" s="1"/>
  <c r="A3445" i="11" s="1"/>
  <c r="A3446" i="11" s="1"/>
  <c r="A3447" i="11" s="1"/>
  <c r="A3491" i="11"/>
  <c r="A3492" i="11" s="1"/>
  <c r="A3493" i="11" s="1"/>
  <c r="A3494" i="11" s="1"/>
  <c r="A3495" i="11" s="1"/>
  <c r="A3496" i="11" s="1"/>
  <c r="A3448" i="11" l="1"/>
  <c r="A3449" i="11" s="1"/>
  <c r="A3450" i="11" s="1"/>
  <c r="A3451" i="11" s="1"/>
  <c r="A3452" i="11" s="1"/>
  <c r="A3453" i="11" s="1"/>
  <c r="A3454" i="11" s="1"/>
  <c r="A3455" i="11" s="1"/>
  <c r="A3456" i="11" s="1"/>
  <c r="A3457" i="11" s="1"/>
  <c r="A3458" i="11" s="1"/>
  <c r="A3459" i="11" s="1"/>
  <c r="A3497" i="11"/>
  <c r="A3498" i="11" s="1"/>
  <c r="A3499" i="11" s="1"/>
  <c r="A3500" i="11" s="1"/>
  <c r="A3501" i="11" s="1"/>
  <c r="A3502" i="11" s="1"/>
  <c r="A3466" i="11"/>
  <c r="A3467" i="11" s="1"/>
  <c r="A3468" i="11" s="1"/>
  <c r="A3469" i="11" s="1"/>
  <c r="A3470" i="11" s="1"/>
  <c r="A3471" i="11" s="1"/>
  <c r="A3472" i="11" s="1"/>
  <c r="A3473" i="11" s="1"/>
  <c r="A3474" i="11" s="1"/>
  <c r="A3475" i="11" s="1"/>
  <c r="A3476" i="11" s="1"/>
  <c r="A3477" i="11" s="1"/>
  <c r="A3478" i="11" s="1"/>
  <c r="A3479" i="11" s="1"/>
  <c r="A3480" i="11" s="1"/>
  <c r="A3481" i="11" s="1"/>
  <c r="A3482" i="11" s="1"/>
  <c r="A3483" i="11" s="1"/>
  <c r="A3515" i="11"/>
  <c r="A3516" i="11" s="1"/>
  <c r="A3517" i="11" s="1"/>
  <c r="A3518" i="11" s="1"/>
  <c r="A3519" i="11" s="1"/>
  <c r="A3520" i="11" s="1"/>
  <c r="A3521" i="11" s="1"/>
  <c r="A3522" i="11" s="1"/>
  <c r="A3523" i="11" s="1"/>
  <c r="A3524" i="11" s="1"/>
  <c r="A3525" i="11" s="1"/>
  <c r="A3526" i="11" s="1"/>
  <c r="A3527" i="11" s="1"/>
  <c r="A3528" i="11" s="1"/>
  <c r="A3529" i="11" s="1"/>
  <c r="A3530" i="11" s="1"/>
  <c r="A3531" i="11" s="1"/>
  <c r="A3484" i="11" l="1"/>
  <c r="A3533" i="11"/>
  <c r="A3503" i="11"/>
  <c r="A3504" i="11" s="1"/>
  <c r="A3505" i="11" s="1"/>
  <c r="A3506" i="11" s="1"/>
  <c r="A3507" i="11" s="1"/>
  <c r="A3508" i="11" s="1"/>
  <c r="A3509" i="11" s="1"/>
  <c r="A3510" i="11" s="1"/>
  <c r="A3511" i="11" s="1"/>
  <c r="A3512" i="11" s="1"/>
  <c r="A3513" i="11" s="1"/>
  <c r="A3485" i="11" l="1"/>
  <c r="A3534" i="11"/>
  <c r="A3486" i="11" l="1"/>
  <c r="A3535" i="11"/>
  <c r="A3487" i="11" l="1"/>
  <c r="A3536" i="11"/>
  <c r="A3488" i="11" l="1"/>
  <c r="A3537" i="11"/>
  <c r="A3489" i="11" l="1"/>
  <c r="A3490" i="11" s="1"/>
  <c r="A3538" i="11"/>
  <c r="A3539" i="11" s="1"/>
  <c r="A3540" i="11" s="1"/>
  <c r="A3541" i="11" s="1"/>
  <c r="A3542" i="11" s="1"/>
  <c r="A3543" i="11" s="1"/>
  <c r="A3544" i="11" s="1"/>
  <c r="A3545" i="11" s="1"/>
  <c r="A3546" i="11" s="1"/>
  <c r="A3547" i="11" s="1"/>
  <c r="A3548" i="11" s="1"/>
  <c r="A3549" i="11" s="1"/>
  <c r="A3550" i="11" s="1"/>
  <c r="A3551" i="11" s="1"/>
  <c r="A3552" i="11" s="1"/>
  <c r="A3553" i="11" s="1"/>
  <c r="A3554" i="11" s="1"/>
  <c r="A3555" i="11" s="1"/>
  <c r="A3556" i="11" s="1"/>
  <c r="A3557" i="11" s="1"/>
  <c r="A3558" i="11" s="1"/>
  <c r="A3559" i="11" s="1"/>
  <c r="A3560" i="11" s="1"/>
  <c r="A3561" i="11" s="1"/>
  <c r="A3562" i="11" s="1"/>
  <c r="A3563" i="11" s="1"/>
  <c r="A3564" i="11" s="1"/>
  <c r="A3565" i="11" s="1"/>
  <c r="A3566" i="11" s="1"/>
  <c r="A3567" i="11" s="1"/>
  <c r="A3568" i="11" s="1"/>
  <c r="A3569" i="11" s="1"/>
  <c r="A3570" i="11" s="1"/>
  <c r="A3571" i="11" s="1"/>
  <c r="A3572" i="11" s="1"/>
  <c r="A3573" i="11" s="1"/>
  <c r="A3574" i="11" s="1"/>
  <c r="A3575" i="11" s="1"/>
  <c r="A3576" i="11" s="1"/>
  <c r="A3577" i="11" s="1"/>
  <c r="A3578" i="11" s="1"/>
  <c r="A3579" i="11" s="1"/>
  <c r="A3580" i="11" s="1"/>
  <c r="A3581" i="11" s="1"/>
  <c r="A3582" i="11" s="1"/>
  <c r="A3583" i="11" s="1"/>
  <c r="A3584" i="11" s="1"/>
  <c r="A3585" i="11" s="1"/>
  <c r="A3586" i="11" s="1"/>
  <c r="A3587" i="11" s="1"/>
  <c r="A3588" i="11" s="1"/>
  <c r="A3589" i="11" s="1"/>
  <c r="A3590" i="11" s="1"/>
  <c r="A3591" i="11" s="1"/>
  <c r="A3592" i="11" s="1"/>
  <c r="A3593" i="11" s="1"/>
  <c r="A3594" i="11" s="1"/>
  <c r="A3595" i="11" s="1"/>
  <c r="A3596" i="11" s="1"/>
  <c r="A3597" i="11" s="1"/>
  <c r="A3598" i="11" s="1"/>
  <c r="A3599" i="11" s="1"/>
  <c r="A3600" i="11" s="1"/>
  <c r="A3601" i="11" s="1"/>
  <c r="A3602" i="11" s="1"/>
  <c r="A3603" i="11" s="1"/>
</calcChain>
</file>

<file path=xl/sharedStrings.xml><?xml version="1.0" encoding="utf-8"?>
<sst xmlns="http://schemas.openxmlformats.org/spreadsheetml/2006/main" count="682" uniqueCount="160">
  <si>
    <t>类别</t>
  </si>
  <si>
    <t>左线油耗</t>
  </si>
  <si>
    <t>右线油耗</t>
  </si>
  <si>
    <t>双向油耗</t>
  </si>
  <si>
    <t>生态损失系数</t>
  </si>
  <si>
    <r>
      <t>（</t>
    </r>
    <r>
      <rPr>
        <sz val="10.5"/>
        <color rgb="FF000000"/>
        <rFont val="Times New Roman"/>
        <family val="1"/>
      </rPr>
      <t>ml</t>
    </r>
    <r>
      <rPr>
        <sz val="10.5"/>
        <color rgb="FF000000"/>
        <rFont val="宋体"/>
        <family val="3"/>
        <charset val="134"/>
      </rPr>
      <t>）</t>
    </r>
  </si>
  <si>
    <t>基准曲线</t>
  </si>
  <si>
    <t>生态优化曲线</t>
  </si>
  <si>
    <t>左线dp</t>
    <phoneticPr fontId="3" type="noConversion"/>
  </si>
  <si>
    <t>右线dp</t>
    <phoneticPr fontId="3" type="noConversion"/>
  </si>
  <si>
    <t>左线cc</t>
    <phoneticPr fontId="3" type="noConversion"/>
  </si>
  <si>
    <t>右线cc</t>
    <phoneticPr fontId="3" type="noConversion"/>
  </si>
  <si>
    <t>f0</t>
    <phoneticPr fontId="3" type="noConversion"/>
  </si>
  <si>
    <t>左线dp</t>
    <phoneticPr fontId="3" type="noConversion"/>
  </si>
  <si>
    <t>高度</t>
    <phoneticPr fontId="3" type="noConversion"/>
  </si>
  <si>
    <t xml:space="preserve">坡度 </t>
    <phoneticPr fontId="3" type="noConversion"/>
  </si>
  <si>
    <t>回归</t>
    <phoneticPr fontId="3" type="noConversion"/>
  </si>
  <si>
    <t>距离</t>
    <phoneticPr fontId="2" type="noConversion"/>
  </si>
  <si>
    <t>rf</t>
    <phoneticPr fontId="3" type="noConversion"/>
  </si>
  <si>
    <t>左线cc</t>
    <phoneticPr fontId="3" type="noConversion"/>
  </si>
  <si>
    <t>最优</t>
    <phoneticPr fontId="2" type="noConversion"/>
  </si>
  <si>
    <t>生态损失系数</t>
    <phoneticPr fontId="2" type="noConversion"/>
  </si>
  <si>
    <t>基准</t>
    <phoneticPr fontId="2" type="noConversion"/>
  </si>
  <si>
    <t>优化</t>
    <phoneticPr fontId="2" type="noConversion"/>
  </si>
  <si>
    <t>实际</t>
    <phoneticPr fontId="3" type="noConversion"/>
  </si>
  <si>
    <t>生态优化曲线</t>
    <phoneticPr fontId="2" type="noConversion"/>
  </si>
  <si>
    <t>最优化</t>
    <phoneticPr fontId="2" type="noConversion"/>
  </si>
  <si>
    <t>基准路线</t>
    <phoneticPr fontId="2" type="noConversion"/>
  </si>
  <si>
    <t>基准路线</t>
    <phoneticPr fontId="2" type="noConversion"/>
  </si>
  <si>
    <t>实际路线</t>
    <phoneticPr fontId="2" type="noConversion"/>
  </si>
  <si>
    <t>优化比例</t>
    <phoneticPr fontId="2" type="noConversion"/>
  </si>
  <si>
    <t>-</t>
    <phoneticPr fontId="2" type="noConversion"/>
  </si>
  <si>
    <t>基准</t>
    <phoneticPr fontId="2" type="noConversion"/>
  </si>
  <si>
    <t>实际</t>
    <phoneticPr fontId="3" type="noConversion"/>
  </si>
  <si>
    <t>基准路线</t>
    <phoneticPr fontId="3" type="noConversion"/>
  </si>
  <si>
    <t>实际路线</t>
    <phoneticPr fontId="2" type="noConversion"/>
  </si>
  <si>
    <t>生态优化</t>
    <phoneticPr fontId="2" type="noConversion"/>
  </si>
  <si>
    <t>定速巡航模式左线</t>
  </si>
  <si>
    <t>定速巡航模式右线</t>
  </si>
  <si>
    <t>定速巡航模式双向</t>
  </si>
  <si>
    <t>生态规划车速模式左线</t>
  </si>
  <si>
    <t>生态规划车速模式右线</t>
  </si>
  <si>
    <t>生态规划车速模式双向</t>
  </si>
  <si>
    <t>生态搜索路线</t>
    <phoneticPr fontId="2" type="noConversion"/>
  </si>
  <si>
    <t>生态坡度曲线</t>
    <phoneticPr fontId="3" type="noConversion"/>
  </si>
  <si>
    <t>实际路线</t>
    <phoneticPr fontId="2" type="noConversion"/>
  </si>
  <si>
    <t>优化</t>
    <phoneticPr fontId="2" type="noConversion"/>
  </si>
  <si>
    <t>相较于基准路线</t>
    <phoneticPr fontId="2" type="noConversion"/>
  </si>
  <si>
    <t>大圆弧</t>
    <phoneticPr fontId="2" type="noConversion"/>
  </si>
  <si>
    <t>相较于地平线</t>
    <phoneticPr fontId="2" type="noConversion"/>
  </si>
  <si>
    <t>三样条</t>
    <phoneticPr fontId="2" type="noConversion"/>
  </si>
  <si>
    <t>最高</t>
    <phoneticPr fontId="2" type="noConversion"/>
  </si>
  <si>
    <t>单弧</t>
  </si>
  <si>
    <t>单弧</t>
    <phoneticPr fontId="2" type="noConversion"/>
  </si>
  <si>
    <t>多弧</t>
  </si>
  <si>
    <t>多弧</t>
    <phoneticPr fontId="2" type="noConversion"/>
  </si>
  <si>
    <t>左线</t>
  </si>
  <si>
    <t>左线</t>
    <phoneticPr fontId="2" type="noConversion"/>
  </si>
  <si>
    <t>实际路线</t>
  </si>
  <si>
    <t>基准路线</t>
  </si>
  <si>
    <t>0531rf</t>
    <phoneticPr fontId="2" type="noConversion"/>
  </si>
  <si>
    <t>巡航</t>
    <phoneticPr fontId="2" type="noConversion"/>
  </si>
  <si>
    <t>0531reg</t>
    <phoneticPr fontId="2" type="noConversion"/>
  </si>
  <si>
    <r>
      <t>左线油耗（</t>
    </r>
    <r>
      <rPr>
        <sz val="10.5"/>
        <color rgb="FF000000"/>
        <rFont val="Times New Roman"/>
        <family val="1"/>
      </rPr>
      <t>ml</t>
    </r>
    <r>
      <rPr>
        <sz val="10.5"/>
        <color rgb="FF000000"/>
        <rFont val="宋体"/>
        <family val="3"/>
        <charset val="134"/>
      </rPr>
      <t>）</t>
    </r>
  </si>
  <si>
    <r>
      <t>右线油耗（</t>
    </r>
    <r>
      <rPr>
        <sz val="10.5"/>
        <color rgb="FF000000"/>
        <rFont val="Times New Roman"/>
        <family val="1"/>
      </rPr>
      <t>ml</t>
    </r>
    <r>
      <rPr>
        <sz val="10.5"/>
        <color rgb="FF000000"/>
        <rFont val="宋体"/>
        <family val="3"/>
        <charset val="134"/>
      </rPr>
      <t>）</t>
    </r>
  </si>
  <si>
    <r>
      <t>双向油耗（</t>
    </r>
    <r>
      <rPr>
        <sz val="10.5"/>
        <color rgb="FF000000"/>
        <rFont val="Times New Roman"/>
        <family val="1"/>
      </rPr>
      <t>ml</t>
    </r>
    <r>
      <rPr>
        <sz val="10.5"/>
        <color rgb="FF000000"/>
        <rFont val="宋体"/>
        <family val="3"/>
        <charset val="134"/>
      </rPr>
      <t>）</t>
    </r>
  </si>
  <si>
    <t>优化比例</t>
  </si>
  <si>
    <t>巡航</t>
    <phoneticPr fontId="2" type="noConversion"/>
  </si>
  <si>
    <t>DP</t>
    <phoneticPr fontId="2" type="noConversion"/>
  </si>
  <si>
    <t>阶段</t>
  </si>
  <si>
    <t>油耗</t>
  </si>
  <si>
    <t>右线</t>
  </si>
  <si>
    <t>双向</t>
  </si>
  <si>
    <t>阶段</t>
    <phoneticPr fontId="2" type="noConversion"/>
  </si>
  <si>
    <t>迈腾-回归</t>
    <phoneticPr fontId="2" type="noConversion"/>
  </si>
  <si>
    <t>回归模型</t>
    <phoneticPr fontId="2" type="noConversion"/>
  </si>
  <si>
    <t>朗逸回归</t>
    <phoneticPr fontId="2" type="noConversion"/>
  </si>
  <si>
    <t>朗逸-随机</t>
    <phoneticPr fontId="2" type="noConversion"/>
  </si>
  <si>
    <t>迈腾-随机</t>
    <phoneticPr fontId="2" type="noConversion"/>
  </si>
  <si>
    <t>朗逸-回归</t>
    <phoneticPr fontId="2" type="noConversion"/>
  </si>
  <si>
    <t>油耗随机森林模型-迈腾</t>
    <phoneticPr fontId="3" type="noConversion"/>
  </si>
  <si>
    <t>油耗回归模型-朗逸</t>
    <phoneticPr fontId="3" type="noConversion"/>
  </si>
  <si>
    <t>油耗随机森林模型</t>
    <phoneticPr fontId="2" type="noConversion"/>
  </si>
  <si>
    <t>油耗回归模型-迈腾</t>
    <phoneticPr fontId="3" type="noConversion"/>
  </si>
  <si>
    <t>油耗随机森林模型-朗逸</t>
    <phoneticPr fontId="3" type="noConversion"/>
  </si>
  <si>
    <t>节油路线</t>
    <phoneticPr fontId="2" type="noConversion"/>
  </si>
  <si>
    <t>实际路线</t>
    <phoneticPr fontId="2" type="noConversion"/>
  </si>
  <si>
    <t>基准路线</t>
    <phoneticPr fontId="2" type="noConversion"/>
  </si>
  <si>
    <t>左线</t>
    <phoneticPr fontId="2" type="noConversion"/>
  </si>
  <si>
    <t>回归</t>
    <phoneticPr fontId="2" type="noConversion"/>
  </si>
  <si>
    <t>随机森林模型</t>
    <phoneticPr fontId="2" type="noConversion"/>
  </si>
  <si>
    <t>0625reg</t>
    <phoneticPr fontId="2" type="noConversion"/>
  </si>
  <si>
    <t>每天</t>
    <phoneticPr fontId="2" type="noConversion"/>
  </si>
  <si>
    <t>每年</t>
    <phoneticPr fontId="2" type="noConversion"/>
  </si>
  <si>
    <t>每年升</t>
    <phoneticPr fontId="2" type="noConversion"/>
  </si>
  <si>
    <t>道路高程</t>
    <phoneticPr fontId="2" type="noConversion"/>
  </si>
  <si>
    <t>控制点</t>
    <phoneticPr fontId="2" type="noConversion"/>
  </si>
  <si>
    <t>高程控制点</t>
    <phoneticPr fontId="2" type="noConversion"/>
  </si>
  <si>
    <t>单弧</t>
    <phoneticPr fontId="2" type="noConversion"/>
  </si>
  <si>
    <t>回归</t>
    <phoneticPr fontId="2" type="noConversion"/>
  </si>
  <si>
    <t>随机森林</t>
    <phoneticPr fontId="2" type="noConversion"/>
  </si>
  <si>
    <t>辆</t>
    <phoneticPr fontId="2" type="noConversion"/>
  </si>
  <si>
    <t>天</t>
    <phoneticPr fontId="2" type="noConversion"/>
  </si>
  <si>
    <t>年</t>
    <phoneticPr fontId="2" type="noConversion"/>
  </si>
  <si>
    <t>年升</t>
    <phoneticPr fontId="2" type="noConversion"/>
  </si>
  <si>
    <t>环城升</t>
    <phoneticPr fontId="2" type="noConversion"/>
  </si>
  <si>
    <t>环城煤</t>
    <phoneticPr fontId="2" type="noConversion"/>
  </si>
  <si>
    <t>*3.6/60</t>
    <phoneticPr fontId="2" type="noConversion"/>
  </si>
  <si>
    <t>/1000</t>
    <phoneticPr fontId="2" type="noConversion"/>
  </si>
  <si>
    <t>能源平均低位发热量</t>
  </si>
  <si>
    <t>第𝑗类能源 碳氧化因子</t>
  </si>
  <si>
    <t>第 j 类能源的单位热值含碳量</t>
  </si>
  <si>
    <t>GJ/吨</t>
  </si>
  <si>
    <t>吨碳/GJ</t>
    <phoneticPr fontId="2" type="noConversion"/>
  </si>
  <si>
    <t>环城吨</t>
    <phoneticPr fontId="2" type="noConversion"/>
  </si>
  <si>
    <t>活动水平</t>
  </si>
  <si>
    <t>排放因子</t>
    <phoneticPr fontId="2" type="noConversion"/>
  </si>
  <si>
    <t>44/12</t>
    <phoneticPr fontId="2" type="noConversion"/>
  </si>
  <si>
    <t>吨co2</t>
    <phoneticPr fontId="2" type="noConversion"/>
  </si>
  <si>
    <t>环城煤吨</t>
    <phoneticPr fontId="2" type="noConversion"/>
  </si>
  <si>
    <t>/1000</t>
    <phoneticPr fontId="2" type="noConversion"/>
  </si>
  <si>
    <t>左</t>
    <phoneticPr fontId="2" type="noConversion"/>
  </si>
  <si>
    <t>cc</t>
    <phoneticPr fontId="2" type="noConversion"/>
  </si>
  <si>
    <t>dp</t>
    <phoneticPr fontId="2" type="noConversion"/>
  </si>
  <si>
    <t>右线</t>
    <phoneticPr fontId="2" type="noConversion"/>
  </si>
  <si>
    <t>实际</t>
    <phoneticPr fontId="2" type="noConversion"/>
  </si>
  <si>
    <t>基准</t>
    <phoneticPr fontId="2" type="noConversion"/>
  </si>
  <si>
    <t>节油</t>
    <phoneticPr fontId="2" type="noConversion"/>
  </si>
  <si>
    <t>回归</t>
    <phoneticPr fontId="2" type="noConversion"/>
  </si>
  <si>
    <t>单弧</t>
    <phoneticPr fontId="2" type="noConversion"/>
  </si>
  <si>
    <t>多弧</t>
    <phoneticPr fontId="2" type="noConversion"/>
  </si>
  <si>
    <t>参数</t>
  </si>
  <si>
    <r>
      <t>平均车速（</t>
    </r>
    <r>
      <rPr>
        <sz val="10.5"/>
        <color rgb="FF000000"/>
        <rFont val="Times New Roman"/>
        <family val="1"/>
      </rPr>
      <t>m/s</t>
    </r>
    <r>
      <rPr>
        <sz val="10.5"/>
        <color rgb="FF000000"/>
        <rFont val="宋体"/>
        <family val="3"/>
        <charset val="134"/>
      </rPr>
      <t>）</t>
    </r>
  </si>
  <si>
    <r>
      <t>速度范围（</t>
    </r>
    <r>
      <rPr>
        <sz val="10.5"/>
        <color rgb="FF000000"/>
        <rFont val="Times New Roman"/>
        <family val="1"/>
      </rPr>
      <t>m/s</t>
    </r>
    <r>
      <rPr>
        <sz val="10.5"/>
        <color rgb="FF000000"/>
        <rFont val="宋体"/>
        <family val="3"/>
        <charset val="134"/>
      </rPr>
      <t>）</t>
    </r>
    <phoneticPr fontId="3" type="noConversion"/>
  </si>
  <si>
    <t>[</t>
    <phoneticPr fontId="3" type="noConversion"/>
  </si>
  <si>
    <t>]</t>
    <phoneticPr fontId="3" type="noConversion"/>
  </si>
  <si>
    <t>速度标准差（m/s）</t>
    <phoneticPr fontId="3" type="noConversion"/>
  </si>
  <si>
    <r>
      <t>加速度范围（</t>
    </r>
    <r>
      <rPr>
        <sz val="10.5"/>
        <color rgb="FF000000"/>
        <rFont val="Times New Roman"/>
        <family val="1"/>
      </rPr>
      <t>m/s</t>
    </r>
    <r>
      <rPr>
        <sz val="10.5"/>
        <color rgb="FF000000"/>
        <rFont val="宋体"/>
        <family val="3"/>
        <charset val="134"/>
      </rPr>
      <t>）</t>
    </r>
    <phoneticPr fontId="3" type="noConversion"/>
  </si>
  <si>
    <t>加速度标准差（m/s2）</t>
    <phoneticPr fontId="3" type="noConversion"/>
  </si>
  <si>
    <r>
      <t>加速度干扰（</t>
    </r>
    <r>
      <rPr>
        <sz val="10.5"/>
        <color rgb="FF000000"/>
        <rFont val="Times New Roman"/>
        <family val="1"/>
      </rPr>
      <t>m/s</t>
    </r>
    <r>
      <rPr>
        <vertAlign val="superscript"/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）</t>
    </r>
    <phoneticPr fontId="3" type="noConversion"/>
  </si>
  <si>
    <t>T</t>
    <phoneticPr fontId="3" type="noConversion"/>
  </si>
  <si>
    <t>实验车速</t>
  </si>
  <si>
    <t>实验车速</t>
    <phoneticPr fontId="3" type="noConversion"/>
  </si>
  <si>
    <t>实际路线的车速规划</t>
  </si>
  <si>
    <t>多弧路线的车速规划</t>
  </si>
  <si>
    <t>A</t>
    <phoneticPr fontId="2" type="noConversion"/>
  </si>
  <si>
    <t>A</t>
    <phoneticPr fontId="2" type="noConversion"/>
  </si>
  <si>
    <t>a</t>
    <phoneticPr fontId="2" type="noConversion"/>
  </si>
  <si>
    <t>a</t>
    <phoneticPr fontId="2" type="noConversion"/>
  </si>
  <si>
    <t>a</t>
    <phoneticPr fontId="2" type="noConversion"/>
  </si>
  <si>
    <t>单弧路线</t>
  </si>
  <si>
    <t>多弧路线</t>
  </si>
  <si>
    <t>Actual path</t>
    <phoneticPr fontId="2" type="noConversion"/>
  </si>
  <si>
    <t>Fundamental path</t>
    <phoneticPr fontId="2" type="noConversion"/>
  </si>
  <si>
    <t>Multi-arc path</t>
    <phoneticPr fontId="2" type="noConversion"/>
  </si>
  <si>
    <t>Single-arc path</t>
    <phoneticPr fontId="2" type="noConversion"/>
  </si>
  <si>
    <t>FSD (MR-FCE)</t>
    <phoneticPr fontId="2" type="noConversion"/>
  </si>
  <si>
    <t>FSD (RF-FCE)</t>
    <phoneticPr fontId="2" type="noConversion"/>
  </si>
  <si>
    <t>Fuel-efficient path (MR-FCE)</t>
    <phoneticPr fontId="2" type="noConversion"/>
  </si>
  <si>
    <t>Fuel-efficient path (RF-FCE)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</si>
</sst>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[$-F400]h:mm:ss\ AM/PM"/>
    <numFmt numFmtId="177" formatCode="0.000"/>
    <numFmt numFmtId="178" formatCode="0.000_ "/>
    <numFmt numFmtId="179" formatCode="0.0%"/>
    <numFmt numFmtId="180" formatCode="0.00_ "/>
    <numFmt numFmtId="181" formatCode="0.0000_ "/>
    <numFmt numFmtId="182" formatCode="0.00000"/>
    <numFmt numFmtId="183" formatCode="0.0_ "/>
    <numFmt numFmtId="184" formatCode="0.0000"/>
    <numFmt numFmtId="185" formatCode="0_ "/>
    <numFmt numFmtId="186" formatCode="0.000%"/>
    <numFmt numFmtId="187" formatCode="0.00000000000000_ "/>
  </numFmts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10.5"/>
      <color theme="1"/>
      <name val="宋体"/>
      <family val="3"/>
      <charset val="134"/>
    </font>
    <font>
      <sz val="11"/>
      <color rgb="FF000000"/>
      <name val="等线"/>
      <family val="3"/>
      <charset val="134"/>
    </font>
    <font>
      <vertAlign val="superscript"/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9" fontId="0" fillId="0" borderId="0" xfId="1" applyFont="1" applyAlignment="1"/>
    <xf numFmtId="2" fontId="0" fillId="0" borderId="0" xfId="0" applyNumberFormat="1">
      <alignment vertical="center"/>
    </xf>
    <xf numFmtId="11" fontId="0" fillId="0" borderId="0" xfId="0" applyNumberFormat="1">
      <alignment vertical="center"/>
    </xf>
    <xf numFmtId="178" fontId="0" fillId="0" borderId="0" xfId="0" applyNumberFormat="1" applyAlignment="1"/>
    <xf numFmtId="10" fontId="0" fillId="0" borderId="0" xfId="1" applyNumberFormat="1" applyFont="1" applyAlignment="1"/>
    <xf numFmtId="2" fontId="0" fillId="0" borderId="0" xfId="0" applyNumberFormat="1" applyAlignment="1"/>
    <xf numFmtId="177" fontId="0" fillId="0" borderId="0" xfId="0" applyNumberFormat="1" applyAlignment="1"/>
    <xf numFmtId="177" fontId="5" fillId="0" borderId="3" xfId="0" applyNumberFormat="1" applyFont="1" applyBorder="1" applyAlignment="1">
      <alignment horizontal="center" vertical="center" wrapText="1"/>
    </xf>
    <xf numFmtId="180" fontId="0" fillId="0" borderId="0" xfId="0" applyNumberFormat="1" applyAlignment="1"/>
    <xf numFmtId="181" fontId="0" fillId="0" borderId="0" xfId="0" applyNumberFormat="1" applyAlignment="1"/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179" fontId="5" fillId="0" borderId="0" xfId="1" applyNumberFormat="1" applyFont="1" applyAlignment="1">
      <alignment horizontal="center" vertical="center" wrapText="1"/>
    </xf>
    <xf numFmtId="10" fontId="5" fillId="0" borderId="0" xfId="1" applyNumberFormat="1" applyFont="1" applyAlignment="1">
      <alignment horizontal="center" vertical="center" wrapText="1"/>
    </xf>
    <xf numFmtId="182" fontId="0" fillId="0" borderId="0" xfId="0" applyNumberFormat="1" applyAlignment="1"/>
    <xf numFmtId="0" fontId="4" fillId="0" borderId="4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/>
    </xf>
    <xf numFmtId="10" fontId="0" fillId="0" borderId="0" xfId="0" applyNumberFormat="1" applyAlignment="1"/>
    <xf numFmtId="180" fontId="0" fillId="0" borderId="0" xfId="0" applyNumberFormat="1">
      <alignment vertical="center"/>
    </xf>
    <xf numFmtId="183" fontId="0" fillId="0" borderId="0" xfId="0" applyNumberFormat="1">
      <alignment vertical="center"/>
    </xf>
    <xf numFmtId="184" fontId="0" fillId="0" borderId="0" xfId="0" applyNumberForma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8" fontId="0" fillId="0" borderId="0" xfId="0" applyNumberFormat="1">
      <alignment vertical="center"/>
    </xf>
    <xf numFmtId="181" fontId="0" fillId="0" borderId="0" xfId="0" applyNumberFormat="1">
      <alignment vertical="center"/>
    </xf>
    <xf numFmtId="1" fontId="0" fillId="0" borderId="0" xfId="0" applyNumberFormat="1">
      <alignment vertical="center"/>
    </xf>
    <xf numFmtId="185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186" fontId="0" fillId="0" borderId="0" xfId="1" applyNumberFormat="1" applyFont="1">
      <alignment vertical="center"/>
    </xf>
    <xf numFmtId="9" fontId="0" fillId="0" borderId="0" xfId="1" applyFont="1">
      <alignment vertical="center"/>
    </xf>
    <xf numFmtId="49" fontId="0" fillId="0" borderId="0" xfId="0" applyNumberFormat="1">
      <alignment vertical="center"/>
    </xf>
    <xf numFmtId="187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6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84" fontId="0" fillId="0" borderId="0" xfId="0" applyNumberFormat="1" applyAlignme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mruColors>
      <color rgb="FF4778B9"/>
      <color rgb="FF59A95A"/>
      <color rgb="FFF3764A"/>
      <color rgb="FF5FC6C9"/>
      <color rgb="FF015699"/>
      <color rgb="FFF7903D"/>
      <color rgb="FF4D85BD"/>
      <color rgb="FF7572B5"/>
      <color rgb="FFC55659"/>
      <color rgb="FF54AC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56607142857141"/>
          <c:y val="5.0925590662779609E-2"/>
          <c:w val="0.85485654761904761"/>
          <c:h val="0.66214578682275604"/>
        </c:manualLayout>
      </c:layout>
      <c:lineChart>
        <c:grouping val="standard"/>
        <c:varyColors val="0"/>
        <c:ser>
          <c:idx val="1"/>
          <c:order val="0"/>
          <c:tx>
            <c:strRef>
              <c:f>模拟图!$B$1</c:f>
              <c:strCache>
                <c:ptCount val="1"/>
                <c:pt idx="0">
                  <c:v>高度</c:v>
                </c:pt>
              </c:strCache>
            </c:strRef>
          </c:tx>
          <c:spPr>
            <a:ln>
              <a:solidFill>
                <a:srgbClr val="4778B9"/>
              </a:solidFill>
            </a:ln>
          </c:spPr>
          <c:marker>
            <c:symbol val="none"/>
          </c:marker>
          <c:cat>
            <c:numRef>
              <c:f>[1]实际线路!$A$2:$A$12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模拟图!$B$2:$B$12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-1</c:v>
                </c:pt>
                <c:pt idx="5">
                  <c:v>-4.5</c:v>
                </c:pt>
                <c:pt idx="6">
                  <c:v>-0.99999999999999956</c:v>
                </c:pt>
                <c:pt idx="7">
                  <c:v>2.0000000000000004</c:v>
                </c:pt>
                <c:pt idx="8">
                  <c:v>6</c:v>
                </c:pt>
                <c:pt idx="9">
                  <c:v>6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9E-4FAF-B17A-AA11DD29E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60928"/>
        <c:axId val="43455520"/>
      </c:lineChart>
      <c:catAx>
        <c:axId val="43460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距离（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43455520"/>
        <c:crossesAt val="-10"/>
        <c:auto val="1"/>
        <c:lblAlgn val="ctr"/>
        <c:lblOffset val="100"/>
        <c:noMultiLvlLbl val="0"/>
      </c:catAx>
      <c:valAx>
        <c:axId val="434555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高度（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43460928"/>
        <c:crosses val="autoZero"/>
        <c:crossBetween val="midCat"/>
        <c:majorUnit val="5"/>
      </c:valAx>
    </c:plotArea>
    <c:legend>
      <c:legendPos val="r"/>
      <c:layout>
        <c:manualLayout>
          <c:xMode val="edge"/>
          <c:yMode val="edge"/>
          <c:x val="0.85636904761904764"/>
          <c:y val="2.8890870581451877E-3"/>
          <c:w val="0.12851190476190477"/>
          <c:h val="0.15335886544192548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867658730158723E-2"/>
          <c:y val="5.0925925925925923E-2"/>
          <c:w val="0.86957678571428576"/>
          <c:h val="0.84478055555555553"/>
        </c:manualLayout>
      </c:layout>
      <c:lineChart>
        <c:grouping val="standard"/>
        <c:varyColors val="0"/>
        <c:ser>
          <c:idx val="1"/>
          <c:order val="0"/>
          <c:tx>
            <c:strRef>
              <c:f>模拟图!$C$1</c:f>
              <c:strCache>
                <c:ptCount val="1"/>
                <c:pt idx="0">
                  <c:v>坡度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E817D"/>
              </a:solidFill>
              <a:ln w="9525">
                <a:noFill/>
              </a:ln>
              <a:effectLst/>
            </c:spPr>
          </c:marker>
          <c:cat>
            <c:numRef>
              <c:f>[1]实际线路!$A$2:$A$12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模拟图!$C$2:$C$11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-0.02</c:v>
                </c:pt>
                <c:pt idx="4">
                  <c:v>-3.5000000000000003E-2</c:v>
                </c:pt>
                <c:pt idx="5">
                  <c:v>3.5000000000000003E-2</c:v>
                </c:pt>
                <c:pt idx="6">
                  <c:v>0.03</c:v>
                </c:pt>
                <c:pt idx="7">
                  <c:v>0.04</c:v>
                </c:pt>
                <c:pt idx="8">
                  <c:v>0</c:v>
                </c:pt>
                <c:pt idx="9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30-4E9D-8515-628A371F9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60928"/>
        <c:axId val="43455520"/>
      </c:lineChart>
      <c:catAx>
        <c:axId val="43460928"/>
        <c:scaling>
          <c:orientation val="minMax"/>
        </c:scaling>
        <c:delete val="1"/>
        <c:axPos val="b"/>
        <c:numFmt formatCode="General" sourceLinked="1"/>
        <c:majorTickMark val="in"/>
        <c:minorTickMark val="none"/>
        <c:tickLblPos val="nextTo"/>
        <c:crossAx val="43455520"/>
        <c:crossesAt val="-6"/>
        <c:auto val="1"/>
        <c:lblAlgn val="ctr"/>
        <c:lblOffset val="100"/>
        <c:noMultiLvlLbl val="0"/>
      </c:catAx>
      <c:valAx>
        <c:axId val="43455520"/>
        <c:scaling>
          <c:orientation val="minMax"/>
          <c:max val="4.0000000000000008E-2"/>
          <c:min val="-4.0000000000000008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坡度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43460928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89384920634917"/>
          <c:y val="0.79569881603354997"/>
          <c:w val="0.10102678571428571"/>
          <c:h val="0.160558616700880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943194444444443"/>
          <c:y val="3.5277777777777776E-2"/>
          <c:w val="0.76796444444444445"/>
          <c:h val="0.78960198412698412"/>
        </c:manualLayout>
      </c:layout>
      <c:lineChart>
        <c:grouping val="standard"/>
        <c:varyColors val="0"/>
        <c:ser>
          <c:idx val="1"/>
          <c:order val="0"/>
          <c:tx>
            <c:strRef>
              <c:f>迈腾0519!$M$17</c:f>
              <c:strCache>
                <c:ptCount val="1"/>
                <c:pt idx="0">
                  <c:v>生态损失系数</c:v>
                </c:pt>
              </c:strCache>
            </c:strRef>
          </c:tx>
          <c:spPr>
            <a:ln w="25400" cap="rnd">
              <a:solidFill>
                <a:srgbClr val="070707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3B3B"/>
              </a:solidFill>
              <a:ln w="19050">
                <a:noFill/>
              </a:ln>
              <a:effectLst/>
            </c:spPr>
          </c:marker>
          <c:cat>
            <c:numRef>
              <c:f>迈腾0519!$D$18:$D$53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cat>
          <c:val>
            <c:numRef>
              <c:f>迈腾0519!$M$18:$M$53</c:f>
              <c:numCache>
                <c:formatCode>0.000</c:formatCode>
                <c:ptCount val="36"/>
                <c:pt idx="0">
                  <c:v>1</c:v>
                </c:pt>
                <c:pt idx="1">
                  <c:v>0.893478422232449</c:v>
                </c:pt>
                <c:pt idx="2">
                  <c:v>0.88157242321224449</c:v>
                </c:pt>
                <c:pt idx="3">
                  <c:v>0.88157242321224449</c:v>
                </c:pt>
                <c:pt idx="4">
                  <c:v>0.88157242321224449</c:v>
                </c:pt>
                <c:pt idx="5">
                  <c:v>0.88157242321224449</c:v>
                </c:pt>
                <c:pt idx="6">
                  <c:v>0.88157242321224449</c:v>
                </c:pt>
                <c:pt idx="7">
                  <c:v>0.87439319487537293</c:v>
                </c:pt>
                <c:pt idx="8">
                  <c:v>0.87439319487537293</c:v>
                </c:pt>
                <c:pt idx="9">
                  <c:v>0.87241282047475543</c:v>
                </c:pt>
                <c:pt idx="10">
                  <c:v>0.87241282047475543</c:v>
                </c:pt>
                <c:pt idx="11">
                  <c:v>0.86459227149240658</c:v>
                </c:pt>
                <c:pt idx="12">
                  <c:v>0.85930731432134311</c:v>
                </c:pt>
                <c:pt idx="13">
                  <c:v>0.85591662831608784</c:v>
                </c:pt>
                <c:pt idx="14">
                  <c:v>0.85591662831608784</c:v>
                </c:pt>
                <c:pt idx="15">
                  <c:v>0.85591662831608784</c:v>
                </c:pt>
                <c:pt idx="16">
                  <c:v>0.85591662831608784</c:v>
                </c:pt>
                <c:pt idx="17">
                  <c:v>0.85591662831608784</c:v>
                </c:pt>
                <c:pt idx="18">
                  <c:v>0.85591662831608784</c:v>
                </c:pt>
                <c:pt idx="19">
                  <c:v>0.84816436810617413</c:v>
                </c:pt>
                <c:pt idx="20">
                  <c:v>0.84816436810617413</c:v>
                </c:pt>
                <c:pt idx="21">
                  <c:v>0.84458959932305033</c:v>
                </c:pt>
                <c:pt idx="22">
                  <c:v>0.84458959932305033</c:v>
                </c:pt>
                <c:pt idx="23">
                  <c:v>0.83529935719481607</c:v>
                </c:pt>
                <c:pt idx="24">
                  <c:v>0.83529935719481607</c:v>
                </c:pt>
                <c:pt idx="25">
                  <c:v>0.83231840382417122</c:v>
                </c:pt>
                <c:pt idx="26">
                  <c:v>0.82489571116818339</c:v>
                </c:pt>
                <c:pt idx="27">
                  <c:v>0.82489571116818339</c:v>
                </c:pt>
                <c:pt idx="28">
                  <c:v>0.82489571116818339</c:v>
                </c:pt>
                <c:pt idx="29">
                  <c:v>0.82489571116818339</c:v>
                </c:pt>
                <c:pt idx="30">
                  <c:v>0.82489571116818339</c:v>
                </c:pt>
                <c:pt idx="31">
                  <c:v>0.82481554608749874</c:v>
                </c:pt>
                <c:pt idx="32">
                  <c:v>0.82028770356734604</c:v>
                </c:pt>
                <c:pt idx="33">
                  <c:v>0.81994922878223309</c:v>
                </c:pt>
                <c:pt idx="34">
                  <c:v>0.81987500185567308</c:v>
                </c:pt>
                <c:pt idx="35">
                  <c:v>0.81978592954380125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C4-4A7F-B51D-5C63BD2AF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593264"/>
        <c:axId val="879595344"/>
      </c:lineChart>
      <c:catAx>
        <c:axId val="87959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搜索阶段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7959534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879595344"/>
        <c:scaling>
          <c:orientation val="minMax"/>
          <c:max val="1"/>
          <c:min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生态损失系数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.00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79593264"/>
        <c:crosses val="autoZero"/>
        <c:crossBetween val="between"/>
        <c:majorUnit val="2.5000000000000005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65400741700974"/>
          <c:y val="3.5277777777777776E-2"/>
          <c:w val="0.84274229927301914"/>
          <c:h val="0.78960198412698412"/>
        </c:manualLayout>
      </c:layout>
      <c:lineChart>
        <c:grouping val="standard"/>
        <c:varyColors val="0"/>
        <c:ser>
          <c:idx val="1"/>
          <c:order val="0"/>
          <c:tx>
            <c:strRef>
              <c:f>迈腾0519!$M$17</c:f>
              <c:strCache>
                <c:ptCount val="1"/>
                <c:pt idx="0">
                  <c:v>生态损失系数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3B3B"/>
              </a:solidFill>
              <a:ln w="19050">
                <a:noFill/>
              </a:ln>
              <a:effectLst/>
            </c:spPr>
          </c:marker>
          <c:cat>
            <c:numRef>
              <c:f>迈腾0519!$D$18:$D$53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cat>
          <c:val>
            <c:numRef>
              <c:f>迈腾0519!$AA$18:$AA$53</c:f>
              <c:numCache>
                <c:formatCode>General</c:formatCode>
                <c:ptCount val="36"/>
                <c:pt idx="0">
                  <c:v>0.99731664289721444</c:v>
                </c:pt>
                <c:pt idx="1">
                  <c:v>0.89293269978168144</c:v>
                </c:pt>
                <c:pt idx="2">
                  <c:v>0.87492311539787349</c:v>
                </c:pt>
                <c:pt idx="3">
                  <c:v>0.87368282313499923</c:v>
                </c:pt>
                <c:pt idx="4">
                  <c:v>0.87041818464470855</c:v>
                </c:pt>
                <c:pt idx="5">
                  <c:v>0.87346991192911072</c:v>
                </c:pt>
                <c:pt idx="6">
                  <c:v>0.86357798971267119</c:v>
                </c:pt>
                <c:pt idx="7">
                  <c:v>0.86217209984521692</c:v>
                </c:pt>
                <c:pt idx="8">
                  <c:v>0.86410857795591711</c:v>
                </c:pt>
                <c:pt idx="9">
                  <c:v>0.8563660450560665</c:v>
                </c:pt>
                <c:pt idx="10">
                  <c:v>0.85477765986927923</c:v>
                </c:pt>
                <c:pt idx="11">
                  <c:v>0.85169213715537107</c:v>
                </c:pt>
                <c:pt idx="12">
                  <c:v>0.8446728264469513</c:v>
                </c:pt>
                <c:pt idx="13">
                  <c:v>0.85621734516623971</c:v>
                </c:pt>
                <c:pt idx="14">
                  <c:v>0.84534197595117222</c:v>
                </c:pt>
                <c:pt idx="15">
                  <c:v>0.84720072457400852</c:v>
                </c:pt>
                <c:pt idx="16">
                  <c:v>0.85250998654941901</c:v>
                </c:pt>
                <c:pt idx="17">
                  <c:v>0.84559206212951754</c:v>
                </c:pt>
                <c:pt idx="18">
                  <c:v>0.84938728886305404</c:v>
                </c:pt>
                <c:pt idx="19">
                  <c:v>0.83398333209416753</c:v>
                </c:pt>
                <c:pt idx="20">
                  <c:v>0.84011044346362584</c:v>
                </c:pt>
                <c:pt idx="21">
                  <c:v>0.84056330221900788</c:v>
                </c:pt>
                <c:pt idx="22">
                  <c:v>0.84261130524707828</c:v>
                </c:pt>
                <c:pt idx="23">
                  <c:v>0.84443963798335908</c:v>
                </c:pt>
                <c:pt idx="24">
                  <c:v>0.84937377069125164</c:v>
                </c:pt>
                <c:pt idx="25">
                  <c:v>0.83856599233519646</c:v>
                </c:pt>
                <c:pt idx="26">
                  <c:v>0.8448113877079263</c:v>
                </c:pt>
                <c:pt idx="27">
                  <c:v>0.8371837592683965</c:v>
                </c:pt>
                <c:pt idx="28">
                  <c:v>0.83459502936822816</c:v>
                </c:pt>
                <c:pt idx="29">
                  <c:v>0.83602457603633673</c:v>
                </c:pt>
                <c:pt idx="30">
                  <c:v>0.83759606350837101</c:v>
                </c:pt>
                <c:pt idx="31">
                  <c:v>0.83938384172924452</c:v>
                </c:pt>
                <c:pt idx="32">
                  <c:v>0.8315264043690731</c:v>
                </c:pt>
                <c:pt idx="33">
                  <c:v>0.82858282245909054</c:v>
                </c:pt>
                <c:pt idx="34">
                  <c:v>0.82858282245909054</c:v>
                </c:pt>
                <c:pt idx="35">
                  <c:v>0.82858282245909054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B3-494A-9214-4B6E06E9C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593264"/>
        <c:axId val="879595344"/>
      </c:lineChart>
      <c:catAx>
        <c:axId val="87959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搜索阶段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7959534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879595344"/>
        <c:scaling>
          <c:orientation val="minMax"/>
          <c:max val="1"/>
          <c:min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生态损失系数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.00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79593264"/>
        <c:crosses val="autoZero"/>
        <c:crossBetween val="between"/>
        <c:majorUnit val="2.5000000000000005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26527777777779"/>
          <c:y val="3.5277777777777776E-2"/>
          <c:w val="0.78913111111111112"/>
          <c:h val="0.78960198412698412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070707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3B3B"/>
              </a:solidFill>
              <a:ln w="9525">
                <a:noFill/>
              </a:ln>
              <a:effectLst/>
            </c:spPr>
          </c:marker>
          <c:cat>
            <c:numRef>
              <c:f>迈腾0531!$A$22:$A$57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cat>
          <c:val>
            <c:numRef>
              <c:f>迈腾0531!$I$22:$I$57</c:f>
              <c:numCache>
                <c:formatCode>0.000</c:formatCode>
                <c:ptCount val="36"/>
                <c:pt idx="0">
                  <c:v>0.99683756712102434</c:v>
                </c:pt>
                <c:pt idx="1">
                  <c:v>0.87291537587773627</c:v>
                </c:pt>
                <c:pt idx="2">
                  <c:v>0.86012688455183806</c:v>
                </c:pt>
                <c:pt idx="3">
                  <c:v>0.85659657682775703</c:v>
                </c:pt>
                <c:pt idx="4">
                  <c:v>0.85659657682775703</c:v>
                </c:pt>
                <c:pt idx="5">
                  <c:v>0.85072671416769918</c:v>
                </c:pt>
                <c:pt idx="6">
                  <c:v>0.84742229450640216</c:v>
                </c:pt>
                <c:pt idx="7">
                  <c:v>0.84742229450640216</c:v>
                </c:pt>
                <c:pt idx="8">
                  <c:v>0.84742229450640216</c:v>
                </c:pt>
                <c:pt idx="9">
                  <c:v>0.84742229450640216</c:v>
                </c:pt>
                <c:pt idx="10">
                  <c:v>0.84742229450640216</c:v>
                </c:pt>
                <c:pt idx="11">
                  <c:v>0.84636062061131745</c:v>
                </c:pt>
                <c:pt idx="12">
                  <c:v>0.84636062061131745</c:v>
                </c:pt>
                <c:pt idx="13">
                  <c:v>0.83702176270136297</c:v>
                </c:pt>
                <c:pt idx="14">
                  <c:v>0.83702176270136297</c:v>
                </c:pt>
                <c:pt idx="15">
                  <c:v>0.83345273130937614</c:v>
                </c:pt>
                <c:pt idx="16">
                  <c:v>0.83335914911193709</c:v>
                </c:pt>
                <c:pt idx="17">
                  <c:v>0.82719240499793456</c:v>
                </c:pt>
                <c:pt idx="18">
                  <c:v>0.82719240499793456</c:v>
                </c:pt>
                <c:pt idx="19">
                  <c:v>0.81674346860801306</c:v>
                </c:pt>
                <c:pt idx="20">
                  <c:v>0.81179652003304414</c:v>
                </c:pt>
                <c:pt idx="21">
                  <c:v>0.81179652003304414</c:v>
                </c:pt>
                <c:pt idx="22">
                  <c:v>0.8061138217678645</c:v>
                </c:pt>
                <c:pt idx="23">
                  <c:v>0.80375813197026014</c:v>
                </c:pt>
                <c:pt idx="24">
                  <c:v>0.79866596964064429</c:v>
                </c:pt>
                <c:pt idx="25">
                  <c:v>0.79683950330441966</c:v>
                </c:pt>
                <c:pt idx="26">
                  <c:v>0.79288323523337456</c:v>
                </c:pt>
                <c:pt idx="27">
                  <c:v>0.79288323523337456</c:v>
                </c:pt>
                <c:pt idx="28">
                  <c:v>0.78827511875258149</c:v>
                </c:pt>
                <c:pt idx="29">
                  <c:v>0.78827511875258149</c:v>
                </c:pt>
                <c:pt idx="30">
                  <c:v>0.78520626807104488</c:v>
                </c:pt>
                <c:pt idx="31">
                  <c:v>0.78398647253201148</c:v>
                </c:pt>
                <c:pt idx="32">
                  <c:v>0.78398647253201148</c:v>
                </c:pt>
                <c:pt idx="33">
                  <c:v>0.78321845311854599</c:v>
                </c:pt>
                <c:pt idx="34">
                  <c:v>0.78321845311854599</c:v>
                </c:pt>
                <c:pt idx="35">
                  <c:v>0.78321845311854599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F8-442B-8518-BC9D7E0F2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593264"/>
        <c:axId val="879595344"/>
      </c:lineChart>
      <c:catAx>
        <c:axId val="87959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搜索阶段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7959534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879595344"/>
        <c:scaling>
          <c:orientation val="minMax"/>
          <c:max val="1"/>
          <c:min val="0.7500000000000001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生态损失系数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.0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79593264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26527777777779"/>
          <c:y val="3.5277777777777776E-2"/>
          <c:w val="0.78913111111111112"/>
          <c:h val="0.78960198412698412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070707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3B3B"/>
              </a:solidFill>
              <a:ln w="9525">
                <a:noFill/>
              </a:ln>
              <a:effectLst/>
            </c:spPr>
          </c:marker>
          <c:cat>
            <c:numRef>
              <c:f>迈腾0531!$A$22:$A$57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cat>
          <c:val>
            <c:numRef>
              <c:f>迈腾0531!$V$22:$V$57</c:f>
              <c:numCache>
                <c:formatCode>0.00000</c:formatCode>
                <c:ptCount val="36"/>
                <c:pt idx="0">
                  <c:v>0.99731664289721444</c:v>
                </c:pt>
                <c:pt idx="1">
                  <c:v>0.89293269978168144</c:v>
                </c:pt>
                <c:pt idx="2">
                  <c:v>0.87492311539787349</c:v>
                </c:pt>
                <c:pt idx="3">
                  <c:v>0.87368282313499923</c:v>
                </c:pt>
                <c:pt idx="4">
                  <c:v>0.87041818464470855</c:v>
                </c:pt>
                <c:pt idx="5">
                  <c:v>0.87041818464470855</c:v>
                </c:pt>
                <c:pt idx="6">
                  <c:v>0.86357798971267119</c:v>
                </c:pt>
                <c:pt idx="7">
                  <c:v>0.86217209984521692</c:v>
                </c:pt>
                <c:pt idx="8">
                  <c:v>0.86217209984521692</c:v>
                </c:pt>
                <c:pt idx="9">
                  <c:v>0.8563660450560665</c:v>
                </c:pt>
                <c:pt idx="10">
                  <c:v>0.85477765986927923</c:v>
                </c:pt>
                <c:pt idx="11">
                  <c:v>0.85169213715537107</c:v>
                </c:pt>
                <c:pt idx="12">
                  <c:v>0.8446728264469513</c:v>
                </c:pt>
                <c:pt idx="13">
                  <c:v>0.8446728264469513</c:v>
                </c:pt>
                <c:pt idx="14">
                  <c:v>0.8446728264469513</c:v>
                </c:pt>
                <c:pt idx="15">
                  <c:v>0.8446728264469513</c:v>
                </c:pt>
                <c:pt idx="16">
                  <c:v>0.8446728264469513</c:v>
                </c:pt>
                <c:pt idx="17">
                  <c:v>0.8446728264469513</c:v>
                </c:pt>
                <c:pt idx="18">
                  <c:v>0.8446728264469513</c:v>
                </c:pt>
                <c:pt idx="19">
                  <c:v>0.83398333209416753</c:v>
                </c:pt>
                <c:pt idx="20">
                  <c:v>0.83398333209416753</c:v>
                </c:pt>
                <c:pt idx="21">
                  <c:v>0.83398333209416753</c:v>
                </c:pt>
                <c:pt idx="22">
                  <c:v>0.83398333209416753</c:v>
                </c:pt>
                <c:pt idx="23">
                  <c:v>0.83398333209416753</c:v>
                </c:pt>
                <c:pt idx="24">
                  <c:v>0.83398333209416753</c:v>
                </c:pt>
                <c:pt idx="25">
                  <c:v>0.83398333209416753</c:v>
                </c:pt>
                <c:pt idx="26">
                  <c:v>0.83398333209416753</c:v>
                </c:pt>
                <c:pt idx="27">
                  <c:v>0.83398333209416753</c:v>
                </c:pt>
                <c:pt idx="28">
                  <c:v>0.83398333209416753</c:v>
                </c:pt>
                <c:pt idx="29">
                  <c:v>0.83398333209416753</c:v>
                </c:pt>
                <c:pt idx="30">
                  <c:v>0.83398333209416753</c:v>
                </c:pt>
                <c:pt idx="31">
                  <c:v>0.83398333209416753</c:v>
                </c:pt>
                <c:pt idx="32">
                  <c:v>0.8315264043690731</c:v>
                </c:pt>
                <c:pt idx="33">
                  <c:v>0.82858282245909054</c:v>
                </c:pt>
                <c:pt idx="34">
                  <c:v>0.82858282245909054</c:v>
                </c:pt>
                <c:pt idx="35">
                  <c:v>0.82858282245909054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8F-4C3B-9197-1C6818762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593264"/>
        <c:axId val="879595344"/>
      </c:lineChart>
      <c:catAx>
        <c:axId val="87959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搜索阶段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7959534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879595344"/>
        <c:scaling>
          <c:orientation val="minMax"/>
          <c:max val="1"/>
          <c:min val="0.7500000000000001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生态损失系数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.0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79593264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26527777777779"/>
          <c:y val="3.5277777777777776E-2"/>
          <c:w val="0.78913111111111112"/>
          <c:h val="0.78960198412698412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070707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3B3B"/>
              </a:solidFill>
              <a:ln w="9525">
                <a:noFill/>
              </a:ln>
              <a:effectLst/>
            </c:spPr>
          </c:marker>
          <c:cat>
            <c:numRef>
              <c:f>朗逸0625!$A$16:$A$51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cat>
          <c:val>
            <c:numRef>
              <c:f>朗逸0625!$I$16:$I$51</c:f>
              <c:numCache>
                <c:formatCode>0.000</c:formatCode>
                <c:ptCount val="36"/>
                <c:pt idx="0">
                  <c:v>1</c:v>
                </c:pt>
                <c:pt idx="1">
                  <c:v>0.99041849178211028</c:v>
                </c:pt>
                <c:pt idx="2">
                  <c:v>0.98859847831289749</c:v>
                </c:pt>
                <c:pt idx="3">
                  <c:v>0.98354474060633723</c:v>
                </c:pt>
                <c:pt idx="4">
                  <c:v>0.98281840495577966</c:v>
                </c:pt>
                <c:pt idx="5">
                  <c:v>0.98275718126109668</c:v>
                </c:pt>
                <c:pt idx="6">
                  <c:v>0.98063383221368183</c:v>
                </c:pt>
                <c:pt idx="7">
                  <c:v>0.98063383221368183</c:v>
                </c:pt>
                <c:pt idx="8">
                  <c:v>0.98063383221368183</c:v>
                </c:pt>
                <c:pt idx="9">
                  <c:v>0.98007725317110894</c:v>
                </c:pt>
                <c:pt idx="10">
                  <c:v>0.97955128597587782</c:v>
                </c:pt>
                <c:pt idx="11">
                  <c:v>0.97955128597587782</c:v>
                </c:pt>
                <c:pt idx="12">
                  <c:v>0.97955128597587782</c:v>
                </c:pt>
                <c:pt idx="13">
                  <c:v>0.9769631934279146</c:v>
                </c:pt>
                <c:pt idx="14">
                  <c:v>0.97607823275022398</c:v>
                </c:pt>
                <c:pt idx="15">
                  <c:v>0.97464225882038635</c:v>
                </c:pt>
                <c:pt idx="16">
                  <c:v>0.97389087711291322</c:v>
                </c:pt>
                <c:pt idx="17">
                  <c:v>0.97339552176502342</c:v>
                </c:pt>
                <c:pt idx="18">
                  <c:v>0.9725996137341445</c:v>
                </c:pt>
                <c:pt idx="19">
                  <c:v>0.97239089659317957</c:v>
                </c:pt>
                <c:pt idx="20">
                  <c:v>0.97018962647980445</c:v>
                </c:pt>
                <c:pt idx="21">
                  <c:v>0.96926292237392087</c:v>
                </c:pt>
                <c:pt idx="22">
                  <c:v>0.96812750112707247</c:v>
                </c:pt>
                <c:pt idx="23">
                  <c:v>0.96656073112223029</c:v>
                </c:pt>
                <c:pt idx="24">
                  <c:v>0.96656073112223029</c:v>
                </c:pt>
                <c:pt idx="25">
                  <c:v>0.96513588877324408</c:v>
                </c:pt>
                <c:pt idx="26">
                  <c:v>0.96155151973907571</c:v>
                </c:pt>
                <c:pt idx="27">
                  <c:v>0.96155151973907571</c:v>
                </c:pt>
                <c:pt idx="28">
                  <c:v>0.96155151973907571</c:v>
                </c:pt>
                <c:pt idx="29">
                  <c:v>0.96155151973907571</c:v>
                </c:pt>
                <c:pt idx="30">
                  <c:v>0.96155151973907571</c:v>
                </c:pt>
                <c:pt idx="31">
                  <c:v>0.96155151973907571</c:v>
                </c:pt>
                <c:pt idx="32">
                  <c:v>0.96155151973907571</c:v>
                </c:pt>
                <c:pt idx="33">
                  <c:v>0.96155151973907571</c:v>
                </c:pt>
                <c:pt idx="34">
                  <c:v>0.96120922362789341</c:v>
                </c:pt>
                <c:pt idx="35">
                  <c:v>0.96103946701990883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46-414E-AC8D-A32A4C22A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593264"/>
        <c:axId val="879595344"/>
      </c:lineChart>
      <c:catAx>
        <c:axId val="87959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搜索阶段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7959534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879595344"/>
        <c:scaling>
          <c:orientation val="minMax"/>
          <c:max val="1"/>
          <c:min val="0.9500000000000000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生态损失系数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.0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79593264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80103925535294"/>
          <c:y val="3.5277777777777776E-2"/>
          <c:w val="0.77459518543211214"/>
          <c:h val="0.78960198412698412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070707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3B3B"/>
              </a:solidFill>
              <a:ln w="9525">
                <a:noFill/>
              </a:ln>
              <a:effectLst/>
            </c:spPr>
          </c:marker>
          <c:cat>
            <c:numRef>
              <c:f>朗逸0625!$A$16:$A$51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cat>
          <c:val>
            <c:numRef>
              <c:f>朗逸0625!$X$16:$X$51</c:f>
              <c:numCache>
                <c:formatCode>0.000</c:formatCode>
                <c:ptCount val="36"/>
                <c:pt idx="0">
                  <c:v>0.92402002686530704</c:v>
                </c:pt>
                <c:pt idx="1">
                  <c:v>0.81965509287526639</c:v>
                </c:pt>
                <c:pt idx="2">
                  <c:v>0.81359818727018629</c:v>
                </c:pt>
                <c:pt idx="3">
                  <c:v>0.81359818727018629</c:v>
                </c:pt>
                <c:pt idx="4">
                  <c:v>0.81321827383617595</c:v>
                </c:pt>
                <c:pt idx="5">
                  <c:v>0.81321827383617595</c:v>
                </c:pt>
                <c:pt idx="6">
                  <c:v>0.81321827383617595</c:v>
                </c:pt>
                <c:pt idx="7">
                  <c:v>0.81321827383617595</c:v>
                </c:pt>
                <c:pt idx="8">
                  <c:v>0.81321827383617595</c:v>
                </c:pt>
                <c:pt idx="9">
                  <c:v>0.81321827383617595</c:v>
                </c:pt>
                <c:pt idx="10">
                  <c:v>0.81321827383617595</c:v>
                </c:pt>
                <c:pt idx="11">
                  <c:v>0.81321827383617595</c:v>
                </c:pt>
                <c:pt idx="12">
                  <c:v>0.81321827383617595</c:v>
                </c:pt>
                <c:pt idx="13">
                  <c:v>0.81321827383617595</c:v>
                </c:pt>
                <c:pt idx="14">
                  <c:v>0.81321827383617595</c:v>
                </c:pt>
                <c:pt idx="15">
                  <c:v>0.81321827383617595</c:v>
                </c:pt>
                <c:pt idx="16">
                  <c:v>0.81321827383617595</c:v>
                </c:pt>
                <c:pt idx="17">
                  <c:v>0.81321827383617595</c:v>
                </c:pt>
                <c:pt idx="18">
                  <c:v>0.81321827383617595</c:v>
                </c:pt>
                <c:pt idx="19">
                  <c:v>0.81321827383617595</c:v>
                </c:pt>
                <c:pt idx="20">
                  <c:v>0.8109415068994994</c:v>
                </c:pt>
                <c:pt idx="21">
                  <c:v>0.8109415068994994</c:v>
                </c:pt>
                <c:pt idx="22">
                  <c:v>0.8109415068994994</c:v>
                </c:pt>
                <c:pt idx="23">
                  <c:v>0.8109415068994994</c:v>
                </c:pt>
                <c:pt idx="24">
                  <c:v>0.8109415068994994</c:v>
                </c:pt>
                <c:pt idx="25">
                  <c:v>0.8109415068994994</c:v>
                </c:pt>
                <c:pt idx="26">
                  <c:v>0.8109415068994994</c:v>
                </c:pt>
                <c:pt idx="27">
                  <c:v>0.8109415068994994</c:v>
                </c:pt>
                <c:pt idx="28">
                  <c:v>0.80800260512069033</c:v>
                </c:pt>
                <c:pt idx="29">
                  <c:v>0.80798903678376144</c:v>
                </c:pt>
                <c:pt idx="30">
                  <c:v>0.80602162792906484</c:v>
                </c:pt>
                <c:pt idx="31">
                  <c:v>0.80515325436561236</c:v>
                </c:pt>
                <c:pt idx="32">
                  <c:v>0.80515325436561236</c:v>
                </c:pt>
                <c:pt idx="33">
                  <c:v>0.80502299833109447</c:v>
                </c:pt>
                <c:pt idx="34">
                  <c:v>0.80456981587766785</c:v>
                </c:pt>
                <c:pt idx="35">
                  <c:v>0.80456981587766785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E2-4E34-8918-8780E7CFE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593264"/>
        <c:axId val="879595344"/>
      </c:lineChart>
      <c:catAx>
        <c:axId val="87959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搜索阶段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7959534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879595344"/>
        <c:scaling>
          <c:orientation val="minMax"/>
          <c:max val="1"/>
          <c:min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生态损失系数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.00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79593264"/>
        <c:crosses val="autoZero"/>
        <c:crossBetween val="between"/>
        <c:majorUnit val="2.5000000000000005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65705128205132E-2"/>
          <c:y val="3.9586139240631868E-2"/>
          <c:w val="0.88949982193732191"/>
          <c:h val="0.80038175682731583"/>
        </c:manualLayout>
      </c:layout>
      <c:lineChart>
        <c:grouping val="standard"/>
        <c:varyColors val="0"/>
        <c:ser>
          <c:idx val="0"/>
          <c:order val="0"/>
          <c:tx>
            <c:strRef>
              <c:f>高度图!$E$2</c:f>
              <c:strCache>
                <c:ptCount val="1"/>
                <c:pt idx="0">
                  <c:v>基准路线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高度图!$E$3:$E$39</c:f>
              <c:numCache>
                <c:formatCode>0.00</c:formatCode>
                <c:ptCount val="37"/>
                <c:pt idx="0">
                  <c:v>16.2</c:v>
                </c:pt>
                <c:pt idx="1">
                  <c:v>16.294444444444444</c:v>
                </c:pt>
                <c:pt idx="2">
                  <c:v>16.388888888888889</c:v>
                </c:pt>
                <c:pt idx="3">
                  <c:v>16.483333333333334</c:v>
                </c:pt>
                <c:pt idx="4">
                  <c:v>16.577777777777776</c:v>
                </c:pt>
                <c:pt idx="5">
                  <c:v>16.672222222222221</c:v>
                </c:pt>
                <c:pt idx="6">
                  <c:v>16.766666666666666</c:v>
                </c:pt>
                <c:pt idx="7">
                  <c:v>16.861111111111111</c:v>
                </c:pt>
                <c:pt idx="8">
                  <c:v>16.955555555555556</c:v>
                </c:pt>
                <c:pt idx="9">
                  <c:v>17.05</c:v>
                </c:pt>
                <c:pt idx="10">
                  <c:v>17.144444444444446</c:v>
                </c:pt>
                <c:pt idx="11">
                  <c:v>17.238888888888887</c:v>
                </c:pt>
                <c:pt idx="12">
                  <c:v>17.333333333333332</c:v>
                </c:pt>
                <c:pt idx="13">
                  <c:v>17.427777777777777</c:v>
                </c:pt>
                <c:pt idx="14">
                  <c:v>17.522222222222222</c:v>
                </c:pt>
                <c:pt idx="15">
                  <c:v>17.616666666666667</c:v>
                </c:pt>
                <c:pt idx="16">
                  <c:v>17.711111111111112</c:v>
                </c:pt>
                <c:pt idx="17">
                  <c:v>17.805555555555557</c:v>
                </c:pt>
                <c:pt idx="18">
                  <c:v>17.899999999999999</c:v>
                </c:pt>
                <c:pt idx="19">
                  <c:v>17.994444444444444</c:v>
                </c:pt>
                <c:pt idx="20">
                  <c:v>18.088888888888889</c:v>
                </c:pt>
                <c:pt idx="21">
                  <c:v>18.183333333333334</c:v>
                </c:pt>
                <c:pt idx="22">
                  <c:v>18.277777777777779</c:v>
                </c:pt>
                <c:pt idx="23">
                  <c:v>18.372222222222224</c:v>
                </c:pt>
                <c:pt idx="24">
                  <c:v>18.466666666666669</c:v>
                </c:pt>
                <c:pt idx="25">
                  <c:v>18.56111111111111</c:v>
                </c:pt>
                <c:pt idx="26">
                  <c:v>18.655555555555555</c:v>
                </c:pt>
                <c:pt idx="27">
                  <c:v>18.75</c:v>
                </c:pt>
                <c:pt idx="28">
                  <c:v>18.844444444444445</c:v>
                </c:pt>
                <c:pt idx="29">
                  <c:v>18.93888888888889</c:v>
                </c:pt>
                <c:pt idx="30">
                  <c:v>19.033333333333335</c:v>
                </c:pt>
                <c:pt idx="31">
                  <c:v>19.12777777777778</c:v>
                </c:pt>
                <c:pt idx="32">
                  <c:v>19.222222222222225</c:v>
                </c:pt>
                <c:pt idx="33">
                  <c:v>19.316666666666666</c:v>
                </c:pt>
                <c:pt idx="34">
                  <c:v>19.411111111111111</c:v>
                </c:pt>
                <c:pt idx="35">
                  <c:v>19.505555555555556</c:v>
                </c:pt>
                <c:pt idx="36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CD-4417-A286-F13A68B236DB}"/>
            </c:ext>
          </c:extLst>
        </c:ser>
        <c:ser>
          <c:idx val="1"/>
          <c:order val="1"/>
          <c:tx>
            <c:strRef>
              <c:f>高度图!$D$2</c:f>
              <c:strCache>
                <c:ptCount val="1"/>
                <c:pt idx="0">
                  <c:v>实际路线</c:v>
                </c:pt>
              </c:strCache>
            </c:strRef>
          </c:tx>
          <c:spPr>
            <a:ln w="22225" cap="rnd">
              <a:solidFill>
                <a:srgbClr val="385989"/>
              </a:solidFill>
              <a:round/>
            </a:ln>
            <a:effectLst/>
          </c:spPr>
          <c:marker>
            <c:symbol val="none"/>
          </c:marker>
          <c:cat>
            <c:numRef>
              <c:f>[2]Sheet4!$A$3:$A$39</c:f>
              <c:numCache>
                <c:formatCode>General</c:formatCode>
                <c:ptCount val="3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</c:numCache>
            </c:numRef>
          </c:cat>
          <c:val>
            <c:numRef>
              <c:f>高度图!$D$3:$D$39</c:f>
              <c:numCache>
                <c:formatCode>General</c:formatCode>
                <c:ptCount val="37"/>
                <c:pt idx="0">
                  <c:v>16.2</c:v>
                </c:pt>
                <c:pt idx="1">
                  <c:v>16.23</c:v>
                </c:pt>
                <c:pt idx="2">
                  <c:v>16.77265954533005</c:v>
                </c:pt>
                <c:pt idx="3">
                  <c:v>17.088302024697409</c:v>
                </c:pt>
                <c:pt idx="4">
                  <c:v>17.50930536380227</c:v>
                </c:pt>
                <c:pt idx="5">
                  <c:v>17.976022409316101</c:v>
                </c:pt>
                <c:pt idx="6">
                  <c:v>18.381372409495501</c:v>
                </c:pt>
                <c:pt idx="7">
                  <c:v>18.694881042171922</c:v>
                </c:pt>
                <c:pt idx="8">
                  <c:v>19.182337629892189</c:v>
                </c:pt>
                <c:pt idx="9">
                  <c:v>19.709214521701849</c:v>
                </c:pt>
                <c:pt idx="10">
                  <c:v>20.36939951356478</c:v>
                </c:pt>
                <c:pt idx="11">
                  <c:v>21.185240874981801</c:v>
                </c:pt>
                <c:pt idx="12">
                  <c:v>21.9382837573126</c:v>
                </c:pt>
                <c:pt idx="13">
                  <c:v>22.800055267935761</c:v>
                </c:pt>
                <c:pt idx="14">
                  <c:v>23.222124073160721</c:v>
                </c:pt>
                <c:pt idx="15">
                  <c:v>23.118694100136729</c:v>
                </c:pt>
                <c:pt idx="16">
                  <c:v>22.50125603280393</c:v>
                </c:pt>
                <c:pt idx="17">
                  <c:v>21.685041237236799</c:v>
                </c:pt>
                <c:pt idx="18">
                  <c:v>20.913911979364531</c:v>
                </c:pt>
                <c:pt idx="19">
                  <c:v>20.15231743913272</c:v>
                </c:pt>
                <c:pt idx="20">
                  <c:v>19.514445110632909</c:v>
                </c:pt>
                <c:pt idx="21">
                  <c:v>19.208045162869649</c:v>
                </c:pt>
                <c:pt idx="22">
                  <c:v>19.163088389471781</c:v>
                </c:pt>
                <c:pt idx="23">
                  <c:v>19.56886483268708</c:v>
                </c:pt>
                <c:pt idx="24">
                  <c:v>20.41691357784077</c:v>
                </c:pt>
                <c:pt idx="25">
                  <c:v>21.56018265494739</c:v>
                </c:pt>
                <c:pt idx="26">
                  <c:v>22.412964446331369</c:v>
                </c:pt>
                <c:pt idx="27">
                  <c:v>23.213427008272301</c:v>
                </c:pt>
                <c:pt idx="28">
                  <c:v>24.00158638949922</c:v>
                </c:pt>
                <c:pt idx="29">
                  <c:v>24.302311240474591</c:v>
                </c:pt>
                <c:pt idx="30">
                  <c:v>24</c:v>
                </c:pt>
                <c:pt idx="31">
                  <c:v>23.54435048117206</c:v>
                </c:pt>
                <c:pt idx="32">
                  <c:v>22.791726575079771</c:v>
                </c:pt>
                <c:pt idx="33">
                  <c:v>22.00703436627866</c:v>
                </c:pt>
                <c:pt idx="34">
                  <c:v>21.364055877997689</c:v>
                </c:pt>
                <c:pt idx="35">
                  <c:v>20.414459886974011</c:v>
                </c:pt>
                <c:pt idx="36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D-4417-A286-F13A68B236DB}"/>
            </c:ext>
          </c:extLst>
        </c:ser>
        <c:ser>
          <c:idx val="3"/>
          <c:order val="2"/>
          <c:tx>
            <c:strRef>
              <c:f>高度图!$F$2</c:f>
              <c:strCache>
                <c:ptCount val="1"/>
                <c:pt idx="0">
                  <c:v>生态坡度曲线</c:v>
                </c:pt>
              </c:strCache>
            </c:strRef>
          </c:tx>
          <c:spPr>
            <a:ln w="22225" cap="rnd">
              <a:solidFill>
                <a:srgbClr val="D22027"/>
              </a:solidFill>
              <a:round/>
            </a:ln>
            <a:effectLst/>
          </c:spPr>
          <c:marker>
            <c:symbol val="none"/>
          </c:marker>
          <c:cat>
            <c:numRef>
              <c:f>[2]Sheet4!$A$3:$A$39</c:f>
              <c:numCache>
                <c:formatCode>General</c:formatCode>
                <c:ptCount val="3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</c:numCache>
            </c:numRef>
          </c:cat>
          <c:val>
            <c:numRef>
              <c:f>高度图!$F$3:$F$39</c:f>
              <c:numCache>
                <c:formatCode>General</c:formatCode>
                <c:ptCount val="37"/>
                <c:pt idx="0">
                  <c:v>16.2</c:v>
                </c:pt>
                <c:pt idx="1">
                  <c:v>12.2</c:v>
                </c:pt>
                <c:pt idx="2">
                  <c:v>16.2</c:v>
                </c:pt>
                <c:pt idx="3">
                  <c:v>12.2</c:v>
                </c:pt>
                <c:pt idx="4">
                  <c:v>16.2</c:v>
                </c:pt>
                <c:pt idx="5">
                  <c:v>12.2</c:v>
                </c:pt>
                <c:pt idx="6">
                  <c:v>14.2</c:v>
                </c:pt>
                <c:pt idx="7">
                  <c:v>10.5</c:v>
                </c:pt>
                <c:pt idx="8">
                  <c:v>12</c:v>
                </c:pt>
                <c:pt idx="9">
                  <c:v>15.5</c:v>
                </c:pt>
                <c:pt idx="10">
                  <c:v>12</c:v>
                </c:pt>
                <c:pt idx="11">
                  <c:v>11.5</c:v>
                </c:pt>
                <c:pt idx="12">
                  <c:v>15.1</c:v>
                </c:pt>
                <c:pt idx="13">
                  <c:v>11.1</c:v>
                </c:pt>
                <c:pt idx="14">
                  <c:v>15.1</c:v>
                </c:pt>
                <c:pt idx="15">
                  <c:v>11.1</c:v>
                </c:pt>
                <c:pt idx="16">
                  <c:v>15.1</c:v>
                </c:pt>
                <c:pt idx="17">
                  <c:v>11.6</c:v>
                </c:pt>
                <c:pt idx="18">
                  <c:v>15.6</c:v>
                </c:pt>
                <c:pt idx="19">
                  <c:v>11.6</c:v>
                </c:pt>
                <c:pt idx="20">
                  <c:v>15.1</c:v>
                </c:pt>
                <c:pt idx="21">
                  <c:v>12.1</c:v>
                </c:pt>
                <c:pt idx="22">
                  <c:v>16.100000000000001</c:v>
                </c:pt>
                <c:pt idx="23">
                  <c:v>12.100000000000001</c:v>
                </c:pt>
                <c:pt idx="24">
                  <c:v>15.600000000000001</c:v>
                </c:pt>
                <c:pt idx="25">
                  <c:v>11.600000000000001</c:v>
                </c:pt>
                <c:pt idx="26">
                  <c:v>15.100000000000001</c:v>
                </c:pt>
                <c:pt idx="27">
                  <c:v>15.400000000000002</c:v>
                </c:pt>
                <c:pt idx="28">
                  <c:v>12.500000000000002</c:v>
                </c:pt>
                <c:pt idx="29">
                  <c:v>11.600000000000001</c:v>
                </c:pt>
                <c:pt idx="30">
                  <c:v>15.500000000000002</c:v>
                </c:pt>
                <c:pt idx="31">
                  <c:v>19.400000000000002</c:v>
                </c:pt>
                <c:pt idx="32">
                  <c:v>18.600000000000001</c:v>
                </c:pt>
                <c:pt idx="33">
                  <c:v>15.8</c:v>
                </c:pt>
                <c:pt idx="34">
                  <c:v>18.8</c:v>
                </c:pt>
                <c:pt idx="35">
                  <c:v>15.600000000000001</c:v>
                </c:pt>
                <c:pt idx="36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CD-4417-A286-F13A68B23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617695"/>
        <c:axId val="227619359"/>
      </c:lineChart>
      <c:catAx>
        <c:axId val="227617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距离（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27619359"/>
        <c:crossesAt val="-60"/>
        <c:auto val="1"/>
        <c:lblAlgn val="ctr"/>
        <c:lblOffset val="100"/>
        <c:tickLblSkip val="4"/>
        <c:tickMarkSkip val="4"/>
        <c:noMultiLvlLbl val="0"/>
      </c:catAx>
      <c:valAx>
        <c:axId val="227619359"/>
        <c:scaling>
          <c:orientation val="minMax"/>
          <c:min val="-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高度（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2761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7376780626780624E-2"/>
          <c:y val="5.0900910308776977E-2"/>
          <c:w val="0.58593732193732195"/>
          <c:h val="8.2930666157458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ysClr val="windowText" lastClr="000000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65705128205132E-2"/>
          <c:y val="3.9586139240631868E-2"/>
          <c:w val="0.88949982193732191"/>
          <c:h val="0.80038175682731583"/>
        </c:manualLayout>
      </c:layout>
      <c:lineChart>
        <c:grouping val="standard"/>
        <c:varyColors val="0"/>
        <c:ser>
          <c:idx val="3"/>
          <c:order val="0"/>
          <c:tx>
            <c:strRef>
              <c:f>高度图!$F$2</c:f>
              <c:strCache>
                <c:ptCount val="1"/>
                <c:pt idx="0">
                  <c:v>生态坡度曲线</c:v>
                </c:pt>
              </c:strCache>
            </c:strRef>
          </c:tx>
          <c:spPr>
            <a:ln w="22225" cap="rnd">
              <a:solidFill>
                <a:srgbClr val="070707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3B3B"/>
              </a:solidFill>
              <a:ln w="9525">
                <a:noFill/>
              </a:ln>
              <a:effectLst/>
            </c:spPr>
          </c:marker>
          <c:trendline>
            <c:spPr>
              <a:ln w="2540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[2]Sheet4!$A$3:$A$39</c:f>
              <c:numCache>
                <c:formatCode>General</c:formatCode>
                <c:ptCount val="3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</c:numCache>
            </c:numRef>
          </c:cat>
          <c:val>
            <c:numRef>
              <c:f>高度图!$F$3:$F$39</c:f>
              <c:numCache>
                <c:formatCode>General</c:formatCode>
                <c:ptCount val="37"/>
                <c:pt idx="0">
                  <c:v>16.2</c:v>
                </c:pt>
                <c:pt idx="1">
                  <c:v>12.2</c:v>
                </c:pt>
                <c:pt idx="2">
                  <c:v>16.2</c:v>
                </c:pt>
                <c:pt idx="3">
                  <c:v>12.2</c:v>
                </c:pt>
                <c:pt idx="4">
                  <c:v>16.2</c:v>
                </c:pt>
                <c:pt idx="5">
                  <c:v>12.2</c:v>
                </c:pt>
                <c:pt idx="6">
                  <c:v>14.2</c:v>
                </c:pt>
                <c:pt idx="7">
                  <c:v>10.5</c:v>
                </c:pt>
                <c:pt idx="8">
                  <c:v>12</c:v>
                </c:pt>
                <c:pt idx="9">
                  <c:v>15.5</c:v>
                </c:pt>
                <c:pt idx="10">
                  <c:v>12</c:v>
                </c:pt>
                <c:pt idx="11">
                  <c:v>11.5</c:v>
                </c:pt>
                <c:pt idx="12">
                  <c:v>15.1</c:v>
                </c:pt>
                <c:pt idx="13">
                  <c:v>11.1</c:v>
                </c:pt>
                <c:pt idx="14">
                  <c:v>15.1</c:v>
                </c:pt>
                <c:pt idx="15">
                  <c:v>11.1</c:v>
                </c:pt>
                <c:pt idx="16">
                  <c:v>15.1</c:v>
                </c:pt>
                <c:pt idx="17">
                  <c:v>11.6</c:v>
                </c:pt>
                <c:pt idx="18">
                  <c:v>15.6</c:v>
                </c:pt>
                <c:pt idx="19">
                  <c:v>11.6</c:v>
                </c:pt>
                <c:pt idx="20">
                  <c:v>15.1</c:v>
                </c:pt>
                <c:pt idx="21">
                  <c:v>12.1</c:v>
                </c:pt>
                <c:pt idx="22">
                  <c:v>16.100000000000001</c:v>
                </c:pt>
                <c:pt idx="23">
                  <c:v>12.100000000000001</c:v>
                </c:pt>
                <c:pt idx="24">
                  <c:v>15.600000000000001</c:v>
                </c:pt>
                <c:pt idx="25">
                  <c:v>11.600000000000001</c:v>
                </c:pt>
                <c:pt idx="26">
                  <c:v>15.100000000000001</c:v>
                </c:pt>
                <c:pt idx="27">
                  <c:v>15.400000000000002</c:v>
                </c:pt>
                <c:pt idx="28">
                  <c:v>12.500000000000002</c:v>
                </c:pt>
                <c:pt idx="29">
                  <c:v>11.600000000000001</c:v>
                </c:pt>
                <c:pt idx="30">
                  <c:v>15.500000000000002</c:v>
                </c:pt>
                <c:pt idx="31">
                  <c:v>19.400000000000002</c:v>
                </c:pt>
                <c:pt idx="32">
                  <c:v>18.600000000000001</c:v>
                </c:pt>
                <c:pt idx="33">
                  <c:v>15.8</c:v>
                </c:pt>
                <c:pt idx="34">
                  <c:v>18.8</c:v>
                </c:pt>
                <c:pt idx="35">
                  <c:v>15.600000000000001</c:v>
                </c:pt>
                <c:pt idx="36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A2-43C5-BDB2-E6A742CF4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617695"/>
        <c:axId val="227619359"/>
      </c:lineChart>
      <c:catAx>
        <c:axId val="227617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距离（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27619359"/>
        <c:crossesAt val="-60"/>
        <c:auto val="1"/>
        <c:lblAlgn val="ctr"/>
        <c:lblOffset val="100"/>
        <c:tickLblSkip val="4"/>
        <c:tickMarkSkip val="4"/>
        <c:noMultiLvlLbl val="0"/>
      </c:catAx>
      <c:valAx>
        <c:axId val="227619359"/>
        <c:scaling>
          <c:orientation val="minMax"/>
          <c:min val="-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高度（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2761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ysClr val="windowText" lastClr="000000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65705128205132E-2"/>
          <c:y val="3.9586139240631868E-2"/>
          <c:w val="0.88949982193732191"/>
          <c:h val="0.80038175682731583"/>
        </c:manualLayout>
      </c:layout>
      <c:lineChart>
        <c:grouping val="standard"/>
        <c:varyColors val="0"/>
        <c:ser>
          <c:idx val="0"/>
          <c:order val="0"/>
          <c:tx>
            <c:strRef>
              <c:f>高度图!$E$2</c:f>
              <c:strCache>
                <c:ptCount val="1"/>
                <c:pt idx="0">
                  <c:v>基准路线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高度图!$E$3:$E$39</c:f>
              <c:numCache>
                <c:formatCode>0.00</c:formatCode>
                <c:ptCount val="37"/>
                <c:pt idx="0">
                  <c:v>16.2</c:v>
                </c:pt>
                <c:pt idx="1">
                  <c:v>16.294444444444444</c:v>
                </c:pt>
                <c:pt idx="2">
                  <c:v>16.388888888888889</c:v>
                </c:pt>
                <c:pt idx="3">
                  <c:v>16.483333333333334</c:v>
                </c:pt>
                <c:pt idx="4">
                  <c:v>16.577777777777776</c:v>
                </c:pt>
                <c:pt idx="5">
                  <c:v>16.672222222222221</c:v>
                </c:pt>
                <c:pt idx="6">
                  <c:v>16.766666666666666</c:v>
                </c:pt>
                <c:pt idx="7">
                  <c:v>16.861111111111111</c:v>
                </c:pt>
                <c:pt idx="8">
                  <c:v>16.955555555555556</c:v>
                </c:pt>
                <c:pt idx="9">
                  <c:v>17.05</c:v>
                </c:pt>
                <c:pt idx="10">
                  <c:v>17.144444444444446</c:v>
                </c:pt>
                <c:pt idx="11">
                  <c:v>17.238888888888887</c:v>
                </c:pt>
                <c:pt idx="12">
                  <c:v>17.333333333333332</c:v>
                </c:pt>
                <c:pt idx="13">
                  <c:v>17.427777777777777</c:v>
                </c:pt>
                <c:pt idx="14">
                  <c:v>17.522222222222222</c:v>
                </c:pt>
                <c:pt idx="15">
                  <c:v>17.616666666666667</c:v>
                </c:pt>
                <c:pt idx="16">
                  <c:v>17.711111111111112</c:v>
                </c:pt>
                <c:pt idx="17">
                  <c:v>17.805555555555557</c:v>
                </c:pt>
                <c:pt idx="18">
                  <c:v>17.899999999999999</c:v>
                </c:pt>
                <c:pt idx="19">
                  <c:v>17.994444444444444</c:v>
                </c:pt>
                <c:pt idx="20">
                  <c:v>18.088888888888889</c:v>
                </c:pt>
                <c:pt idx="21">
                  <c:v>18.183333333333334</c:v>
                </c:pt>
                <c:pt idx="22">
                  <c:v>18.277777777777779</c:v>
                </c:pt>
                <c:pt idx="23">
                  <c:v>18.372222222222224</c:v>
                </c:pt>
                <c:pt idx="24">
                  <c:v>18.466666666666669</c:v>
                </c:pt>
                <c:pt idx="25">
                  <c:v>18.56111111111111</c:v>
                </c:pt>
                <c:pt idx="26">
                  <c:v>18.655555555555555</c:v>
                </c:pt>
                <c:pt idx="27">
                  <c:v>18.75</c:v>
                </c:pt>
                <c:pt idx="28">
                  <c:v>18.844444444444445</c:v>
                </c:pt>
                <c:pt idx="29">
                  <c:v>18.93888888888889</c:v>
                </c:pt>
                <c:pt idx="30">
                  <c:v>19.033333333333335</c:v>
                </c:pt>
                <c:pt idx="31">
                  <c:v>19.12777777777778</c:v>
                </c:pt>
                <c:pt idx="32">
                  <c:v>19.222222222222225</c:v>
                </c:pt>
                <c:pt idx="33">
                  <c:v>19.316666666666666</c:v>
                </c:pt>
                <c:pt idx="34">
                  <c:v>19.411111111111111</c:v>
                </c:pt>
                <c:pt idx="35">
                  <c:v>19.505555555555556</c:v>
                </c:pt>
                <c:pt idx="36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7-40B5-88BC-B3034F6832B0}"/>
            </c:ext>
          </c:extLst>
        </c:ser>
        <c:ser>
          <c:idx val="1"/>
          <c:order val="1"/>
          <c:tx>
            <c:strRef>
              <c:f>高度图!$D$2</c:f>
              <c:strCache>
                <c:ptCount val="1"/>
                <c:pt idx="0">
                  <c:v>实际路线</c:v>
                </c:pt>
              </c:strCache>
            </c:strRef>
          </c:tx>
          <c:spPr>
            <a:ln w="22225" cap="rnd">
              <a:solidFill>
                <a:srgbClr val="385989"/>
              </a:solidFill>
              <a:round/>
            </a:ln>
            <a:effectLst/>
          </c:spPr>
          <c:marker>
            <c:symbol val="none"/>
          </c:marker>
          <c:cat>
            <c:numRef>
              <c:f>[2]Sheet4!$A$3:$A$39</c:f>
              <c:numCache>
                <c:formatCode>General</c:formatCode>
                <c:ptCount val="3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</c:numCache>
            </c:numRef>
          </c:cat>
          <c:val>
            <c:numRef>
              <c:f>高度图!$D$3:$D$39</c:f>
              <c:numCache>
                <c:formatCode>General</c:formatCode>
                <c:ptCount val="37"/>
                <c:pt idx="0">
                  <c:v>16.2</c:v>
                </c:pt>
                <c:pt idx="1">
                  <c:v>16.23</c:v>
                </c:pt>
                <c:pt idx="2">
                  <c:v>16.77265954533005</c:v>
                </c:pt>
                <c:pt idx="3">
                  <c:v>17.088302024697409</c:v>
                </c:pt>
                <c:pt idx="4">
                  <c:v>17.50930536380227</c:v>
                </c:pt>
                <c:pt idx="5">
                  <c:v>17.976022409316101</c:v>
                </c:pt>
                <c:pt idx="6">
                  <c:v>18.381372409495501</c:v>
                </c:pt>
                <c:pt idx="7">
                  <c:v>18.694881042171922</c:v>
                </c:pt>
                <c:pt idx="8">
                  <c:v>19.182337629892189</c:v>
                </c:pt>
                <c:pt idx="9">
                  <c:v>19.709214521701849</c:v>
                </c:pt>
                <c:pt idx="10">
                  <c:v>20.36939951356478</c:v>
                </c:pt>
                <c:pt idx="11">
                  <c:v>21.185240874981801</c:v>
                </c:pt>
                <c:pt idx="12">
                  <c:v>21.9382837573126</c:v>
                </c:pt>
                <c:pt idx="13">
                  <c:v>22.800055267935761</c:v>
                </c:pt>
                <c:pt idx="14">
                  <c:v>23.222124073160721</c:v>
                </c:pt>
                <c:pt idx="15">
                  <c:v>23.118694100136729</c:v>
                </c:pt>
                <c:pt idx="16">
                  <c:v>22.50125603280393</c:v>
                </c:pt>
                <c:pt idx="17">
                  <c:v>21.685041237236799</c:v>
                </c:pt>
                <c:pt idx="18">
                  <c:v>20.913911979364531</c:v>
                </c:pt>
                <c:pt idx="19">
                  <c:v>20.15231743913272</c:v>
                </c:pt>
                <c:pt idx="20">
                  <c:v>19.514445110632909</c:v>
                </c:pt>
                <c:pt idx="21">
                  <c:v>19.208045162869649</c:v>
                </c:pt>
                <c:pt idx="22">
                  <c:v>19.163088389471781</c:v>
                </c:pt>
                <c:pt idx="23">
                  <c:v>19.56886483268708</c:v>
                </c:pt>
                <c:pt idx="24">
                  <c:v>20.41691357784077</c:v>
                </c:pt>
                <c:pt idx="25">
                  <c:v>21.56018265494739</c:v>
                </c:pt>
                <c:pt idx="26">
                  <c:v>22.412964446331369</c:v>
                </c:pt>
                <c:pt idx="27">
                  <c:v>23.213427008272301</c:v>
                </c:pt>
                <c:pt idx="28">
                  <c:v>24.00158638949922</c:v>
                </c:pt>
                <c:pt idx="29">
                  <c:v>24.302311240474591</c:v>
                </c:pt>
                <c:pt idx="30">
                  <c:v>24</c:v>
                </c:pt>
                <c:pt idx="31">
                  <c:v>23.54435048117206</c:v>
                </c:pt>
                <c:pt idx="32">
                  <c:v>22.791726575079771</c:v>
                </c:pt>
                <c:pt idx="33">
                  <c:v>22.00703436627866</c:v>
                </c:pt>
                <c:pt idx="34">
                  <c:v>21.364055877997689</c:v>
                </c:pt>
                <c:pt idx="35">
                  <c:v>20.414459886974011</c:v>
                </c:pt>
                <c:pt idx="36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7-40B5-88BC-B3034F6832B0}"/>
            </c:ext>
          </c:extLst>
        </c:ser>
        <c:ser>
          <c:idx val="3"/>
          <c:order val="2"/>
          <c:tx>
            <c:strRef>
              <c:f>高度图!$F$2</c:f>
              <c:strCache>
                <c:ptCount val="1"/>
                <c:pt idx="0">
                  <c:v>生态坡度曲线</c:v>
                </c:pt>
              </c:strCache>
            </c:strRef>
          </c:tx>
          <c:spPr>
            <a:ln w="22225" cap="rnd">
              <a:solidFill>
                <a:srgbClr val="D22027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cat>
            <c:numRef>
              <c:f>[2]Sheet4!$A$3:$A$39</c:f>
              <c:numCache>
                <c:formatCode>General</c:formatCode>
                <c:ptCount val="3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</c:numCache>
            </c:numRef>
          </c:cat>
          <c:val>
            <c:numRef>
              <c:f>高度图!$F$3:$F$39</c:f>
              <c:numCache>
                <c:formatCode>General</c:formatCode>
                <c:ptCount val="37"/>
                <c:pt idx="0">
                  <c:v>16.2</c:v>
                </c:pt>
                <c:pt idx="1">
                  <c:v>12.2</c:v>
                </c:pt>
                <c:pt idx="2">
                  <c:v>16.2</c:v>
                </c:pt>
                <c:pt idx="3">
                  <c:v>12.2</c:v>
                </c:pt>
                <c:pt idx="4">
                  <c:v>16.2</c:v>
                </c:pt>
                <c:pt idx="5">
                  <c:v>12.2</c:v>
                </c:pt>
                <c:pt idx="6">
                  <c:v>14.2</c:v>
                </c:pt>
                <c:pt idx="7">
                  <c:v>10.5</c:v>
                </c:pt>
                <c:pt idx="8">
                  <c:v>12</c:v>
                </c:pt>
                <c:pt idx="9">
                  <c:v>15.5</c:v>
                </c:pt>
                <c:pt idx="10">
                  <c:v>12</c:v>
                </c:pt>
                <c:pt idx="11">
                  <c:v>11.5</c:v>
                </c:pt>
                <c:pt idx="12">
                  <c:v>15.1</c:v>
                </c:pt>
                <c:pt idx="13">
                  <c:v>11.1</c:v>
                </c:pt>
                <c:pt idx="14">
                  <c:v>15.1</c:v>
                </c:pt>
                <c:pt idx="15">
                  <c:v>11.1</c:v>
                </c:pt>
                <c:pt idx="16">
                  <c:v>15.1</c:v>
                </c:pt>
                <c:pt idx="17">
                  <c:v>11.6</c:v>
                </c:pt>
                <c:pt idx="18">
                  <c:v>15.6</c:v>
                </c:pt>
                <c:pt idx="19">
                  <c:v>11.6</c:v>
                </c:pt>
                <c:pt idx="20">
                  <c:v>15.1</c:v>
                </c:pt>
                <c:pt idx="21">
                  <c:v>12.1</c:v>
                </c:pt>
                <c:pt idx="22">
                  <c:v>16.100000000000001</c:v>
                </c:pt>
                <c:pt idx="23">
                  <c:v>12.100000000000001</c:v>
                </c:pt>
                <c:pt idx="24">
                  <c:v>15.600000000000001</c:v>
                </c:pt>
                <c:pt idx="25">
                  <c:v>11.600000000000001</c:v>
                </c:pt>
                <c:pt idx="26">
                  <c:v>15.100000000000001</c:v>
                </c:pt>
                <c:pt idx="27">
                  <c:v>15.400000000000002</c:v>
                </c:pt>
                <c:pt idx="28">
                  <c:v>12.500000000000002</c:v>
                </c:pt>
                <c:pt idx="29">
                  <c:v>11.600000000000001</c:v>
                </c:pt>
                <c:pt idx="30">
                  <c:v>15.500000000000002</c:v>
                </c:pt>
                <c:pt idx="31">
                  <c:v>19.400000000000002</c:v>
                </c:pt>
                <c:pt idx="32">
                  <c:v>18.600000000000001</c:v>
                </c:pt>
                <c:pt idx="33">
                  <c:v>15.8</c:v>
                </c:pt>
                <c:pt idx="34">
                  <c:v>18.8</c:v>
                </c:pt>
                <c:pt idx="35">
                  <c:v>15.600000000000001</c:v>
                </c:pt>
                <c:pt idx="36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07-40B5-88BC-B3034F683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617695"/>
        <c:axId val="227619359"/>
      </c:lineChart>
      <c:catAx>
        <c:axId val="227617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距离（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27619359"/>
        <c:crossesAt val="-60"/>
        <c:auto val="1"/>
        <c:lblAlgn val="ctr"/>
        <c:lblOffset val="100"/>
        <c:tickLblSkip val="4"/>
        <c:tickMarkSkip val="4"/>
        <c:noMultiLvlLbl val="0"/>
      </c:catAx>
      <c:valAx>
        <c:axId val="227619359"/>
        <c:scaling>
          <c:orientation val="minMax"/>
          <c:min val="-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高度（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2761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7376780626780624E-2"/>
          <c:y val="5.0900910308776977E-2"/>
          <c:w val="0.395980056980057"/>
          <c:h val="0.248709202443005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ysClr val="windowText" lastClr="000000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65705128205132E-2"/>
          <c:y val="3.9586139240631868E-2"/>
          <c:w val="0.88968277824714304"/>
          <c:h val="0.80038175682731583"/>
        </c:manualLayout>
      </c:layout>
      <c:lineChart>
        <c:grouping val="standard"/>
        <c:varyColors val="0"/>
        <c:ser>
          <c:idx val="1"/>
          <c:order val="0"/>
          <c:tx>
            <c:strRef>
              <c:f>图8!$C$2</c:f>
              <c:strCache>
                <c:ptCount val="1"/>
                <c:pt idx="0">
                  <c:v>Actual path</c:v>
                </c:pt>
              </c:strCache>
            </c:strRef>
          </c:tx>
          <c:spPr>
            <a:ln w="28575" cap="rnd">
              <a:solidFill>
                <a:srgbClr val="7572B5"/>
              </a:solidFill>
              <a:round/>
            </a:ln>
            <a:effectLst/>
          </c:spPr>
          <c:marker>
            <c:symbol val="none"/>
          </c:marker>
          <c:cat>
            <c:numRef>
              <c:f>图8!$B$3:$B$75</c:f>
              <c:numCache>
                <c:formatCode>General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图8!$C$3:$C$75</c:f>
              <c:numCache>
                <c:formatCode>General</c:formatCode>
                <c:ptCount val="73"/>
                <c:pt idx="0">
                  <c:v>16.2</c:v>
                </c:pt>
                <c:pt idx="1">
                  <c:v>16.18994431578869</c:v>
                </c:pt>
                <c:pt idx="2">
                  <c:v>16.23</c:v>
                </c:pt>
                <c:pt idx="3">
                  <c:v>16.438526330591301</c:v>
                </c:pt>
                <c:pt idx="4">
                  <c:v>16.77265954533005</c:v>
                </c:pt>
                <c:pt idx="5">
                  <c:v>16.87</c:v>
                </c:pt>
                <c:pt idx="6">
                  <c:v>17.088302024697409</c:v>
                </c:pt>
                <c:pt idx="7">
                  <c:v>17.3</c:v>
                </c:pt>
                <c:pt idx="8">
                  <c:v>17.50930536380227</c:v>
                </c:pt>
                <c:pt idx="9">
                  <c:v>17.81924715610285</c:v>
                </c:pt>
                <c:pt idx="10">
                  <c:v>17.976022409316101</c:v>
                </c:pt>
                <c:pt idx="11">
                  <c:v>18.167629384157461</c:v>
                </c:pt>
                <c:pt idx="12">
                  <c:v>18.381372409495501</c:v>
                </c:pt>
                <c:pt idx="13">
                  <c:v>18.510000000000002</c:v>
                </c:pt>
                <c:pt idx="14">
                  <c:v>18.694881042171922</c:v>
                </c:pt>
                <c:pt idx="15">
                  <c:v>18.820132298207739</c:v>
                </c:pt>
                <c:pt idx="16">
                  <c:v>19.182337629892189</c:v>
                </c:pt>
                <c:pt idx="17">
                  <c:v>19.395120829470329</c:v>
                </c:pt>
                <c:pt idx="18">
                  <c:v>19.709214521701849</c:v>
                </c:pt>
                <c:pt idx="19">
                  <c:v>19.985029120342169</c:v>
                </c:pt>
                <c:pt idx="20">
                  <c:v>20.36939951356478</c:v>
                </c:pt>
                <c:pt idx="21">
                  <c:v>20.813443634166571</c:v>
                </c:pt>
                <c:pt idx="22">
                  <c:v>21.185240874981801</c:v>
                </c:pt>
                <c:pt idx="23">
                  <c:v>21.51545779924508</c:v>
                </c:pt>
                <c:pt idx="24">
                  <c:v>21.9382837573126</c:v>
                </c:pt>
                <c:pt idx="25">
                  <c:v>22.35399581240268</c:v>
                </c:pt>
                <c:pt idx="26">
                  <c:v>22.800055267935761</c:v>
                </c:pt>
                <c:pt idx="27">
                  <c:v>23.07861966713304</c:v>
                </c:pt>
                <c:pt idx="28">
                  <c:v>23.222124073160721</c:v>
                </c:pt>
                <c:pt idx="29">
                  <c:v>23.26</c:v>
                </c:pt>
                <c:pt idx="30">
                  <c:v>23.118694100136729</c:v>
                </c:pt>
                <c:pt idx="31">
                  <c:v>22.865061108829561</c:v>
                </c:pt>
                <c:pt idx="32">
                  <c:v>22.50125603280393</c:v>
                </c:pt>
                <c:pt idx="33">
                  <c:v>22.081010880983051</c:v>
                </c:pt>
                <c:pt idx="34">
                  <c:v>21.685041237236799</c:v>
                </c:pt>
                <c:pt idx="35">
                  <c:v>21.264957590363331</c:v>
                </c:pt>
                <c:pt idx="36">
                  <c:v>20.913911979364531</c:v>
                </c:pt>
                <c:pt idx="37">
                  <c:v>20.546891729057549</c:v>
                </c:pt>
                <c:pt idx="38">
                  <c:v>20.15231743913272</c:v>
                </c:pt>
                <c:pt idx="39">
                  <c:v>19.799122285242859</c:v>
                </c:pt>
                <c:pt idx="40">
                  <c:v>19.514445110632909</c:v>
                </c:pt>
                <c:pt idx="41">
                  <c:v>19.327604185096419</c:v>
                </c:pt>
                <c:pt idx="42">
                  <c:v>19.208045162869649</c:v>
                </c:pt>
                <c:pt idx="43">
                  <c:v>19.2</c:v>
                </c:pt>
                <c:pt idx="44">
                  <c:v>19.163088389471781</c:v>
                </c:pt>
                <c:pt idx="45">
                  <c:v>19.327891389974219</c:v>
                </c:pt>
                <c:pt idx="46">
                  <c:v>19.56886483268708</c:v>
                </c:pt>
                <c:pt idx="47">
                  <c:v>19.96802621912861</c:v>
                </c:pt>
                <c:pt idx="48">
                  <c:v>20.41691357784077</c:v>
                </c:pt>
                <c:pt idx="49">
                  <c:v>21.054406819932488</c:v>
                </c:pt>
                <c:pt idx="50">
                  <c:v>21.56018265494739</c:v>
                </c:pt>
                <c:pt idx="51">
                  <c:v>22.046770650926891</c:v>
                </c:pt>
                <c:pt idx="52">
                  <c:v>22.412964446331369</c:v>
                </c:pt>
                <c:pt idx="53">
                  <c:v>22.760791875890021</c:v>
                </c:pt>
                <c:pt idx="54">
                  <c:v>23.213427008272301</c:v>
                </c:pt>
                <c:pt idx="55">
                  <c:v>23.673198019802019</c:v>
                </c:pt>
                <c:pt idx="56">
                  <c:v>24.00158638949922</c:v>
                </c:pt>
                <c:pt idx="57">
                  <c:v>24.216525702151539</c:v>
                </c:pt>
                <c:pt idx="58">
                  <c:v>24.302311240474591</c:v>
                </c:pt>
                <c:pt idx="59">
                  <c:v>24.151286518413581</c:v>
                </c:pt>
                <c:pt idx="60">
                  <c:v>24</c:v>
                </c:pt>
                <c:pt idx="61">
                  <c:v>23.85</c:v>
                </c:pt>
                <c:pt idx="62">
                  <c:v>23.54435048117206</c:v>
                </c:pt>
                <c:pt idx="63">
                  <c:v>23.144007055849851</c:v>
                </c:pt>
                <c:pt idx="64">
                  <c:v>22.791726575079771</c:v>
                </c:pt>
                <c:pt idx="65">
                  <c:v>22.423245392214501</c:v>
                </c:pt>
                <c:pt idx="66">
                  <c:v>22.00703436627866</c:v>
                </c:pt>
                <c:pt idx="67">
                  <c:v>21.6873983224318</c:v>
                </c:pt>
                <c:pt idx="68">
                  <c:v>21.364055877997689</c:v>
                </c:pt>
                <c:pt idx="69">
                  <c:v>20.91885697751945</c:v>
                </c:pt>
                <c:pt idx="70">
                  <c:v>20.414459886974011</c:v>
                </c:pt>
                <c:pt idx="71">
                  <c:v>20.03557895340829</c:v>
                </c:pt>
                <c:pt idx="72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68-42BC-8FDD-B020AF63C12B}"/>
            </c:ext>
          </c:extLst>
        </c:ser>
        <c:ser>
          <c:idx val="2"/>
          <c:order val="1"/>
          <c:tx>
            <c:strRef>
              <c:f>图8!$D$2</c:f>
              <c:strCache>
                <c:ptCount val="1"/>
                <c:pt idx="0">
                  <c:v>Fundamental path</c:v>
                </c:pt>
              </c:strCache>
            </c:strRef>
          </c:tx>
          <c:spPr>
            <a:ln w="28575" cap="rnd">
              <a:solidFill>
                <a:srgbClr val="CBB47B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图8!$B$3:$B$75</c:f>
              <c:numCache>
                <c:formatCode>General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图8!$D$3:$D$75</c:f>
              <c:numCache>
                <c:formatCode>0.00</c:formatCode>
                <c:ptCount val="73"/>
                <c:pt idx="0">
                  <c:v>16.2</c:v>
                </c:pt>
                <c:pt idx="1">
                  <c:v>16.247222222222309</c:v>
                </c:pt>
                <c:pt idx="2">
                  <c:v>16.294444444444618</c:v>
                </c:pt>
                <c:pt idx="3">
                  <c:v>16.341666666666928</c:v>
                </c:pt>
                <c:pt idx="4">
                  <c:v>16.388888888889237</c:v>
                </c:pt>
                <c:pt idx="5">
                  <c:v>16.436111111111547</c:v>
                </c:pt>
                <c:pt idx="6">
                  <c:v>16.483333333333857</c:v>
                </c:pt>
                <c:pt idx="7">
                  <c:v>16.530555555556166</c:v>
                </c:pt>
                <c:pt idx="8">
                  <c:v>16.577777777778476</c:v>
                </c:pt>
                <c:pt idx="9">
                  <c:v>16.625000000000785</c:v>
                </c:pt>
                <c:pt idx="10">
                  <c:v>16.672222222223095</c:v>
                </c:pt>
                <c:pt idx="11">
                  <c:v>16.719444444445404</c:v>
                </c:pt>
                <c:pt idx="12">
                  <c:v>16.766666666667714</c:v>
                </c:pt>
                <c:pt idx="13">
                  <c:v>16.813888888890023</c:v>
                </c:pt>
                <c:pt idx="14">
                  <c:v>16.861111111112333</c:v>
                </c:pt>
                <c:pt idx="15">
                  <c:v>16.908333333334642</c:v>
                </c:pt>
                <c:pt idx="16">
                  <c:v>16.955555555556952</c:v>
                </c:pt>
                <c:pt idx="17">
                  <c:v>17.002777777779261</c:v>
                </c:pt>
                <c:pt idx="18">
                  <c:v>17.050000000001571</c:v>
                </c:pt>
                <c:pt idx="19">
                  <c:v>17.097222222223881</c:v>
                </c:pt>
                <c:pt idx="20">
                  <c:v>17.14444444444619</c:v>
                </c:pt>
                <c:pt idx="21">
                  <c:v>17.1916666666685</c:v>
                </c:pt>
                <c:pt idx="22">
                  <c:v>17.238888888890809</c:v>
                </c:pt>
                <c:pt idx="23">
                  <c:v>17.286111111113119</c:v>
                </c:pt>
                <c:pt idx="24">
                  <c:v>17.333333333335428</c:v>
                </c:pt>
                <c:pt idx="25">
                  <c:v>17.380555555557738</c:v>
                </c:pt>
                <c:pt idx="26">
                  <c:v>17.427777777780047</c:v>
                </c:pt>
                <c:pt idx="27">
                  <c:v>17.475000000002357</c:v>
                </c:pt>
                <c:pt idx="28">
                  <c:v>17.522222222224666</c:v>
                </c:pt>
                <c:pt idx="29">
                  <c:v>17.569444444446976</c:v>
                </c:pt>
                <c:pt idx="30">
                  <c:v>17.616666666669285</c:v>
                </c:pt>
                <c:pt idx="31">
                  <c:v>17.663888888891595</c:v>
                </c:pt>
                <c:pt idx="32">
                  <c:v>17.711111111113905</c:v>
                </c:pt>
                <c:pt idx="33">
                  <c:v>17.758333333336214</c:v>
                </c:pt>
                <c:pt idx="34">
                  <c:v>17.805555555558524</c:v>
                </c:pt>
                <c:pt idx="35">
                  <c:v>17.852777777780833</c:v>
                </c:pt>
                <c:pt idx="36">
                  <c:v>17.900000000003143</c:v>
                </c:pt>
                <c:pt idx="37">
                  <c:v>17.947222222225452</c:v>
                </c:pt>
                <c:pt idx="38">
                  <c:v>17.994444444447762</c:v>
                </c:pt>
                <c:pt idx="39">
                  <c:v>18.041666666670071</c:v>
                </c:pt>
                <c:pt idx="40">
                  <c:v>18.088888888892381</c:v>
                </c:pt>
                <c:pt idx="41">
                  <c:v>18.13611111111469</c:v>
                </c:pt>
                <c:pt idx="42">
                  <c:v>18.183333333337</c:v>
                </c:pt>
                <c:pt idx="43">
                  <c:v>18.23055555555931</c:v>
                </c:pt>
                <c:pt idx="44">
                  <c:v>18.277777777781619</c:v>
                </c:pt>
                <c:pt idx="45">
                  <c:v>18.325000000003929</c:v>
                </c:pt>
                <c:pt idx="46">
                  <c:v>18.372222222226238</c:v>
                </c:pt>
                <c:pt idx="47">
                  <c:v>18.419444444448548</c:v>
                </c:pt>
                <c:pt idx="48">
                  <c:v>18.466666666670857</c:v>
                </c:pt>
                <c:pt idx="49">
                  <c:v>18.513888888893167</c:v>
                </c:pt>
                <c:pt idx="50">
                  <c:v>18.561111111115476</c:v>
                </c:pt>
                <c:pt idx="51">
                  <c:v>18.608333333337786</c:v>
                </c:pt>
                <c:pt idx="52">
                  <c:v>18.655555555560095</c:v>
                </c:pt>
                <c:pt idx="53">
                  <c:v>18.702777777782405</c:v>
                </c:pt>
                <c:pt idx="54">
                  <c:v>18.750000000004714</c:v>
                </c:pt>
                <c:pt idx="55">
                  <c:v>18.797222222227024</c:v>
                </c:pt>
                <c:pt idx="56">
                  <c:v>18.844444444449334</c:v>
                </c:pt>
                <c:pt idx="57">
                  <c:v>18.891666666671643</c:v>
                </c:pt>
                <c:pt idx="58">
                  <c:v>18.938888888893953</c:v>
                </c:pt>
                <c:pt idx="59">
                  <c:v>18.986111111116262</c:v>
                </c:pt>
                <c:pt idx="60">
                  <c:v>19.033333333338572</c:v>
                </c:pt>
                <c:pt idx="61">
                  <c:v>19.080555555560881</c:v>
                </c:pt>
                <c:pt idx="62">
                  <c:v>19.127777777783191</c:v>
                </c:pt>
                <c:pt idx="63">
                  <c:v>19.1750000000055</c:v>
                </c:pt>
                <c:pt idx="64">
                  <c:v>19.22222222222781</c:v>
                </c:pt>
                <c:pt idx="65">
                  <c:v>19.269444444450119</c:v>
                </c:pt>
                <c:pt idx="66">
                  <c:v>19.316666666672429</c:v>
                </c:pt>
                <c:pt idx="67">
                  <c:v>19.363888888894738</c:v>
                </c:pt>
                <c:pt idx="68">
                  <c:v>19.411111111117048</c:v>
                </c:pt>
                <c:pt idx="69">
                  <c:v>19.458333333339358</c:v>
                </c:pt>
                <c:pt idx="70">
                  <c:v>19.505555555561667</c:v>
                </c:pt>
                <c:pt idx="71">
                  <c:v>19.552777777783977</c:v>
                </c:pt>
                <c:pt idx="72">
                  <c:v>19.600000000006286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68-42BC-8FDD-B020AF63C12B}"/>
            </c:ext>
          </c:extLst>
        </c:ser>
        <c:ser>
          <c:idx val="6"/>
          <c:order val="2"/>
          <c:tx>
            <c:strRef>
              <c:f>图8!$E$2</c:f>
              <c:strCache>
                <c:ptCount val="1"/>
                <c:pt idx="0">
                  <c:v>油耗回归模型-迈腾</c:v>
                </c:pt>
              </c:strCache>
            </c:strRef>
          </c:tx>
          <c:spPr>
            <a:ln w="28575" cap="rnd">
              <a:solidFill>
                <a:srgbClr val="54AC7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图8!$B$3:$B$75</c:f>
              <c:numCache>
                <c:formatCode>General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图8!$E$3:$E$75</c:f>
              <c:numCache>
                <c:formatCode>General</c:formatCode>
                <c:ptCount val="73"/>
                <c:pt idx="0">
                  <c:v>16.2</c:v>
                </c:pt>
                <c:pt idx="1">
                  <c:v>14.351699999999999</c:v>
                </c:pt>
                <c:pt idx="2">
                  <c:v>12.5289</c:v>
                </c:pt>
                <c:pt idx="3">
                  <c:v>10.742800000000001</c:v>
                </c:pt>
                <c:pt idx="4">
                  <c:v>9.0143199999999997</c:v>
                </c:pt>
                <c:pt idx="5">
                  <c:v>7.3833500000000001</c:v>
                </c:pt>
                <c:pt idx="6">
                  <c:v>6.0104300000000004</c:v>
                </c:pt>
                <c:pt idx="7">
                  <c:v>5.12974</c:v>
                </c:pt>
                <c:pt idx="8">
                  <c:v>4.5312099999999997</c:v>
                </c:pt>
                <c:pt idx="9">
                  <c:v>4.1387900000000002</c:v>
                </c:pt>
                <c:pt idx="10">
                  <c:v>3.6769599999999998</c:v>
                </c:pt>
                <c:pt idx="11">
                  <c:v>2.90429</c:v>
                </c:pt>
                <c:pt idx="12">
                  <c:v>1.9820500000000001</c:v>
                </c:pt>
                <c:pt idx="13">
                  <c:v>1.1716200000000001</c:v>
                </c:pt>
                <c:pt idx="14">
                  <c:v>0.69922099999999998</c:v>
                </c:pt>
                <c:pt idx="15">
                  <c:v>0.69397200000000003</c:v>
                </c:pt>
                <c:pt idx="16">
                  <c:v>0.94700200000000001</c:v>
                </c:pt>
                <c:pt idx="17">
                  <c:v>1.23129</c:v>
                </c:pt>
                <c:pt idx="18">
                  <c:v>1.56257</c:v>
                </c:pt>
                <c:pt idx="19">
                  <c:v>1.9646699999999999</c:v>
                </c:pt>
                <c:pt idx="20">
                  <c:v>2.2685599999999999</c:v>
                </c:pt>
                <c:pt idx="21">
                  <c:v>2.3338000000000001</c:v>
                </c:pt>
                <c:pt idx="22">
                  <c:v>2.3060999999999998</c:v>
                </c:pt>
                <c:pt idx="23">
                  <c:v>2.3253599999999999</c:v>
                </c:pt>
                <c:pt idx="24">
                  <c:v>2.2485499999999998</c:v>
                </c:pt>
                <c:pt idx="25">
                  <c:v>1.96065</c:v>
                </c:pt>
                <c:pt idx="26">
                  <c:v>1.7088399999999999</c:v>
                </c:pt>
                <c:pt idx="27">
                  <c:v>1.75465</c:v>
                </c:pt>
                <c:pt idx="28">
                  <c:v>2.0886300000000002</c:v>
                </c:pt>
                <c:pt idx="29">
                  <c:v>2.5973299999999999</c:v>
                </c:pt>
                <c:pt idx="30">
                  <c:v>3.01709</c:v>
                </c:pt>
                <c:pt idx="31">
                  <c:v>3.1783399999999999</c:v>
                </c:pt>
                <c:pt idx="32">
                  <c:v>3.3985400000000001</c:v>
                </c:pt>
                <c:pt idx="33">
                  <c:v>3.9892099999999999</c:v>
                </c:pt>
                <c:pt idx="34">
                  <c:v>4.8112500000000002</c:v>
                </c:pt>
                <c:pt idx="35">
                  <c:v>5.58718</c:v>
                </c:pt>
                <c:pt idx="36">
                  <c:v>5.91655</c:v>
                </c:pt>
                <c:pt idx="37">
                  <c:v>5.5189199999999996</c:v>
                </c:pt>
                <c:pt idx="38">
                  <c:v>4.66547</c:v>
                </c:pt>
                <c:pt idx="39">
                  <c:v>3.7400199999999999</c:v>
                </c:pt>
                <c:pt idx="40">
                  <c:v>3.06982</c:v>
                </c:pt>
                <c:pt idx="41">
                  <c:v>2.8467699999999998</c:v>
                </c:pt>
                <c:pt idx="42">
                  <c:v>2.8130600000000001</c:v>
                </c:pt>
                <c:pt idx="43">
                  <c:v>2.7100300000000002</c:v>
                </c:pt>
                <c:pt idx="44">
                  <c:v>2.6539000000000001</c:v>
                </c:pt>
                <c:pt idx="45">
                  <c:v>2.7687200000000001</c:v>
                </c:pt>
                <c:pt idx="46">
                  <c:v>2.8942199999999998</c:v>
                </c:pt>
                <c:pt idx="47">
                  <c:v>2.8776299999999999</c:v>
                </c:pt>
                <c:pt idx="48">
                  <c:v>2.8290600000000001</c:v>
                </c:pt>
                <c:pt idx="49">
                  <c:v>2.83365</c:v>
                </c:pt>
                <c:pt idx="50">
                  <c:v>2.6696</c:v>
                </c:pt>
                <c:pt idx="51">
                  <c:v>2.1469</c:v>
                </c:pt>
                <c:pt idx="52">
                  <c:v>1.4415</c:v>
                </c:pt>
                <c:pt idx="53">
                  <c:v>0.82351300000000005</c:v>
                </c:pt>
                <c:pt idx="54">
                  <c:v>0.60476399999999997</c:v>
                </c:pt>
                <c:pt idx="55">
                  <c:v>0.98726000000000003</c:v>
                </c:pt>
                <c:pt idx="56">
                  <c:v>1.74576</c:v>
                </c:pt>
                <c:pt idx="57">
                  <c:v>2.5624799999999999</c:v>
                </c:pt>
                <c:pt idx="58">
                  <c:v>3.13076</c:v>
                </c:pt>
                <c:pt idx="59">
                  <c:v>3.2925300000000002</c:v>
                </c:pt>
                <c:pt idx="60">
                  <c:v>3.4103500000000002</c:v>
                </c:pt>
                <c:pt idx="61">
                  <c:v>3.8617400000000002</c:v>
                </c:pt>
                <c:pt idx="62">
                  <c:v>4.6609699999999998</c:v>
                </c:pt>
                <c:pt idx="63">
                  <c:v>5.7027599999999996</c:v>
                </c:pt>
                <c:pt idx="64">
                  <c:v>6.7678599999999998</c:v>
                </c:pt>
                <c:pt idx="65">
                  <c:v>7.6936600000000004</c:v>
                </c:pt>
                <c:pt idx="66">
                  <c:v>8.6465599999999991</c:v>
                </c:pt>
                <c:pt idx="67">
                  <c:v>10.0862</c:v>
                </c:pt>
                <c:pt idx="68">
                  <c:v>11.843999999999999</c:v>
                </c:pt>
                <c:pt idx="69">
                  <c:v>13.719900000000001</c:v>
                </c:pt>
                <c:pt idx="70">
                  <c:v>15.653</c:v>
                </c:pt>
                <c:pt idx="71">
                  <c:v>17.6173</c:v>
                </c:pt>
                <c:pt idx="72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68-42BC-8FDD-B020AF63C12B}"/>
            </c:ext>
          </c:extLst>
        </c:ser>
        <c:ser>
          <c:idx val="3"/>
          <c:order val="3"/>
          <c:tx>
            <c:strRef>
              <c:f>图8!$F$2</c:f>
              <c:strCache>
                <c:ptCount val="1"/>
                <c:pt idx="0">
                  <c:v>油耗随机森林模型-迈腾</c:v>
                </c:pt>
              </c:strCache>
            </c:strRef>
          </c:tx>
          <c:spPr>
            <a:ln w="28575" cap="rnd">
              <a:solidFill>
                <a:srgbClr val="4778B9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图8!$B$3:$B$75</c:f>
              <c:numCache>
                <c:formatCode>General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图8!$F$3:$F$75</c:f>
              <c:numCache>
                <c:formatCode>General</c:formatCode>
                <c:ptCount val="73"/>
                <c:pt idx="0">
                  <c:v>16.2</c:v>
                </c:pt>
                <c:pt idx="1">
                  <c:v>14.229200000000001</c:v>
                </c:pt>
                <c:pt idx="2">
                  <c:v>12.291600000000001</c:v>
                </c:pt>
                <c:pt idx="3">
                  <c:v>10.4109</c:v>
                </c:pt>
                <c:pt idx="4">
                  <c:v>8.6364300000000007</c:v>
                </c:pt>
                <c:pt idx="5">
                  <c:v>7.0837199999999996</c:v>
                </c:pt>
                <c:pt idx="6">
                  <c:v>6.2052100000000001</c:v>
                </c:pt>
                <c:pt idx="7">
                  <c:v>6.3958399999999997</c:v>
                </c:pt>
                <c:pt idx="8">
                  <c:v>6.6953699999999996</c:v>
                </c:pt>
                <c:pt idx="9">
                  <c:v>6.69252</c:v>
                </c:pt>
                <c:pt idx="10">
                  <c:v>6.2894600000000001</c:v>
                </c:pt>
                <c:pt idx="11">
                  <c:v>5.4830800000000002</c:v>
                </c:pt>
                <c:pt idx="12">
                  <c:v>4.46441</c:v>
                </c:pt>
                <c:pt idx="13">
                  <c:v>3.4748100000000002</c:v>
                </c:pt>
                <c:pt idx="14">
                  <c:v>2.7267199999999998</c:v>
                </c:pt>
                <c:pt idx="15">
                  <c:v>2.3372899999999999</c:v>
                </c:pt>
                <c:pt idx="16">
                  <c:v>2.0872799999999998</c:v>
                </c:pt>
                <c:pt idx="17">
                  <c:v>1.7819700000000001</c:v>
                </c:pt>
                <c:pt idx="18">
                  <c:v>1.6313899999999999</c:v>
                </c:pt>
                <c:pt idx="19">
                  <c:v>1.8610800000000001</c:v>
                </c:pt>
                <c:pt idx="20">
                  <c:v>2.3835999999999999</c:v>
                </c:pt>
                <c:pt idx="21">
                  <c:v>3.0044200000000001</c:v>
                </c:pt>
                <c:pt idx="22">
                  <c:v>3.4064000000000001</c:v>
                </c:pt>
                <c:pt idx="23">
                  <c:v>3.3719600000000001</c:v>
                </c:pt>
                <c:pt idx="24">
                  <c:v>3.1730900000000002</c:v>
                </c:pt>
                <c:pt idx="25">
                  <c:v>3.129</c:v>
                </c:pt>
                <c:pt idx="26">
                  <c:v>3.2974100000000002</c:v>
                </c:pt>
                <c:pt idx="27">
                  <c:v>3.64615</c:v>
                </c:pt>
                <c:pt idx="28">
                  <c:v>4.0375699999999997</c:v>
                </c:pt>
                <c:pt idx="29">
                  <c:v>4.34396</c:v>
                </c:pt>
                <c:pt idx="30">
                  <c:v>4.5688399999999998</c:v>
                </c:pt>
                <c:pt idx="31">
                  <c:v>4.7894899999999998</c:v>
                </c:pt>
                <c:pt idx="32">
                  <c:v>5.2444199999999999</c:v>
                </c:pt>
                <c:pt idx="33">
                  <c:v>6.1088199999999997</c:v>
                </c:pt>
                <c:pt idx="34">
                  <c:v>7.17943</c:v>
                </c:pt>
                <c:pt idx="35">
                  <c:v>8.1716700000000007</c:v>
                </c:pt>
                <c:pt idx="36">
                  <c:v>8.8275600000000001</c:v>
                </c:pt>
                <c:pt idx="37">
                  <c:v>9.0088399999999993</c:v>
                </c:pt>
                <c:pt idx="38">
                  <c:v>8.9975400000000008</c:v>
                </c:pt>
                <c:pt idx="39">
                  <c:v>9.0660699999999999</c:v>
                </c:pt>
                <c:pt idx="40">
                  <c:v>9.0921000000000003</c:v>
                </c:pt>
                <c:pt idx="41">
                  <c:v>8.9299599999999995</c:v>
                </c:pt>
                <c:pt idx="42">
                  <c:v>8.6828500000000002</c:v>
                </c:pt>
                <c:pt idx="43">
                  <c:v>8.4975000000000005</c:v>
                </c:pt>
                <c:pt idx="44">
                  <c:v>8.4703300000000006</c:v>
                </c:pt>
                <c:pt idx="45">
                  <c:v>8.6184600000000007</c:v>
                </c:pt>
                <c:pt idx="46">
                  <c:v>8.7112099999999995</c:v>
                </c:pt>
                <c:pt idx="47">
                  <c:v>8.5450599999999994</c:v>
                </c:pt>
                <c:pt idx="48">
                  <c:v>8.2221499999999992</c:v>
                </c:pt>
                <c:pt idx="49">
                  <c:v>7.9203999999999999</c:v>
                </c:pt>
                <c:pt idx="50">
                  <c:v>7.8402099999999999</c:v>
                </c:pt>
                <c:pt idx="51">
                  <c:v>8.0783199999999997</c:v>
                </c:pt>
                <c:pt idx="52">
                  <c:v>8.3376599999999996</c:v>
                </c:pt>
                <c:pt idx="53">
                  <c:v>8.3266600000000004</c:v>
                </c:pt>
                <c:pt idx="54">
                  <c:v>8.0952999999999999</c:v>
                </c:pt>
                <c:pt idx="55">
                  <c:v>7.82315</c:v>
                </c:pt>
                <c:pt idx="56">
                  <c:v>7.8787700000000003</c:v>
                </c:pt>
                <c:pt idx="57">
                  <c:v>8.5538500000000006</c:v>
                </c:pt>
                <c:pt idx="58">
                  <c:v>9.7119099999999996</c:v>
                </c:pt>
                <c:pt idx="59">
                  <c:v>11.093999999999999</c:v>
                </c:pt>
                <c:pt idx="60">
                  <c:v>12.3462</c:v>
                </c:pt>
                <c:pt idx="61">
                  <c:v>13.1279</c:v>
                </c:pt>
                <c:pt idx="62">
                  <c:v>13.234500000000001</c:v>
                </c:pt>
                <c:pt idx="63">
                  <c:v>12.613200000000001</c:v>
                </c:pt>
                <c:pt idx="64">
                  <c:v>11.5725</c:v>
                </c:pt>
                <c:pt idx="65">
                  <c:v>10.4716</c:v>
                </c:pt>
                <c:pt idx="66">
                  <c:v>9.7739200000000004</c:v>
                </c:pt>
                <c:pt idx="67">
                  <c:v>10.5421</c:v>
                </c:pt>
                <c:pt idx="68">
                  <c:v>12.0634</c:v>
                </c:pt>
                <c:pt idx="69">
                  <c:v>13.8239</c:v>
                </c:pt>
                <c:pt idx="70">
                  <c:v>15.697699999999999</c:v>
                </c:pt>
                <c:pt idx="71">
                  <c:v>17.631499999999999</c:v>
                </c:pt>
                <c:pt idx="72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68-42BC-8FDD-B020AF63C12B}"/>
            </c:ext>
          </c:extLst>
        </c:ser>
        <c:ser>
          <c:idx val="4"/>
          <c:order val="4"/>
          <c:tx>
            <c:strRef>
              <c:f>图8!$G$2</c:f>
              <c:strCache>
                <c:ptCount val="1"/>
                <c:pt idx="0">
                  <c:v>油耗回归模型-朗逸</c:v>
                </c:pt>
              </c:strCache>
            </c:strRef>
          </c:tx>
          <c:spPr>
            <a:ln w="28575" cap="rnd">
              <a:solidFill>
                <a:srgbClr val="5BB7C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图8!$B$3:$B$75</c:f>
              <c:numCache>
                <c:formatCode>General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图8!$G$3:$G$75</c:f>
              <c:numCache>
                <c:formatCode>General</c:formatCode>
                <c:ptCount val="73"/>
                <c:pt idx="0">
                  <c:v>16.2</c:v>
                </c:pt>
                <c:pt idx="1">
                  <c:v>15.604200000000001</c:v>
                </c:pt>
                <c:pt idx="2">
                  <c:v>15.0671</c:v>
                </c:pt>
                <c:pt idx="3">
                  <c:v>14.603300000000001</c:v>
                </c:pt>
                <c:pt idx="4">
                  <c:v>14.230499999999999</c:v>
                </c:pt>
                <c:pt idx="5">
                  <c:v>13.9549</c:v>
                </c:pt>
                <c:pt idx="6">
                  <c:v>13.808</c:v>
                </c:pt>
                <c:pt idx="7">
                  <c:v>13.9817</c:v>
                </c:pt>
                <c:pt idx="8">
                  <c:v>14.0703</c:v>
                </c:pt>
                <c:pt idx="9">
                  <c:v>13.875400000000001</c:v>
                </c:pt>
                <c:pt idx="10">
                  <c:v>13.533300000000001</c:v>
                </c:pt>
                <c:pt idx="11">
                  <c:v>13.2037</c:v>
                </c:pt>
                <c:pt idx="12">
                  <c:v>12.840199999999999</c:v>
                </c:pt>
                <c:pt idx="13">
                  <c:v>12.4092</c:v>
                </c:pt>
                <c:pt idx="14">
                  <c:v>12.1327</c:v>
                </c:pt>
                <c:pt idx="15">
                  <c:v>12.220599999999999</c:v>
                </c:pt>
                <c:pt idx="16">
                  <c:v>12.5929</c:v>
                </c:pt>
                <c:pt idx="17">
                  <c:v>13.0677</c:v>
                </c:pt>
                <c:pt idx="18">
                  <c:v>13.339700000000001</c:v>
                </c:pt>
                <c:pt idx="19">
                  <c:v>13.193</c:v>
                </c:pt>
                <c:pt idx="20">
                  <c:v>12.869199999999999</c:v>
                </c:pt>
                <c:pt idx="21">
                  <c:v>12.667999999999999</c:v>
                </c:pt>
                <c:pt idx="22">
                  <c:v>12.6867</c:v>
                </c:pt>
                <c:pt idx="23">
                  <c:v>12.9154</c:v>
                </c:pt>
                <c:pt idx="24">
                  <c:v>13.1167</c:v>
                </c:pt>
                <c:pt idx="25">
                  <c:v>13.097</c:v>
                </c:pt>
                <c:pt idx="26">
                  <c:v>13.033899999999999</c:v>
                </c:pt>
                <c:pt idx="27">
                  <c:v>13.107799999999999</c:v>
                </c:pt>
                <c:pt idx="28">
                  <c:v>13.178100000000001</c:v>
                </c:pt>
                <c:pt idx="29">
                  <c:v>13.107200000000001</c:v>
                </c:pt>
                <c:pt idx="30">
                  <c:v>13.056100000000001</c:v>
                </c:pt>
                <c:pt idx="31">
                  <c:v>13.1767</c:v>
                </c:pt>
                <c:pt idx="32">
                  <c:v>13.322100000000001</c:v>
                </c:pt>
                <c:pt idx="33">
                  <c:v>13.347300000000001</c:v>
                </c:pt>
                <c:pt idx="34">
                  <c:v>13.3756</c:v>
                </c:pt>
                <c:pt idx="35">
                  <c:v>13.5197</c:v>
                </c:pt>
                <c:pt idx="36">
                  <c:v>13.618399999999999</c:v>
                </c:pt>
                <c:pt idx="37">
                  <c:v>13.5321</c:v>
                </c:pt>
                <c:pt idx="38">
                  <c:v>13.4358</c:v>
                </c:pt>
                <c:pt idx="39">
                  <c:v>13.500999999999999</c:v>
                </c:pt>
                <c:pt idx="40">
                  <c:v>13.6183</c:v>
                </c:pt>
                <c:pt idx="41">
                  <c:v>13.6713</c:v>
                </c:pt>
                <c:pt idx="42">
                  <c:v>13.7576</c:v>
                </c:pt>
                <c:pt idx="43">
                  <c:v>13.9544</c:v>
                </c:pt>
                <c:pt idx="44">
                  <c:v>14.086</c:v>
                </c:pt>
                <c:pt idx="45">
                  <c:v>14.0038</c:v>
                </c:pt>
                <c:pt idx="46">
                  <c:v>13.8711</c:v>
                </c:pt>
                <c:pt idx="47">
                  <c:v>13.8462</c:v>
                </c:pt>
                <c:pt idx="48">
                  <c:v>13.8117</c:v>
                </c:pt>
                <c:pt idx="49">
                  <c:v>13.671799999999999</c:v>
                </c:pt>
                <c:pt idx="50">
                  <c:v>13.6348</c:v>
                </c:pt>
                <c:pt idx="51">
                  <c:v>13.875299999999999</c:v>
                </c:pt>
                <c:pt idx="52">
                  <c:v>14.197800000000001</c:v>
                </c:pt>
                <c:pt idx="53">
                  <c:v>14.3565</c:v>
                </c:pt>
                <c:pt idx="54">
                  <c:v>14.2239</c:v>
                </c:pt>
                <c:pt idx="55">
                  <c:v>13.7822</c:v>
                </c:pt>
                <c:pt idx="56">
                  <c:v>13.310600000000001</c:v>
                </c:pt>
                <c:pt idx="57">
                  <c:v>13.123699999999999</c:v>
                </c:pt>
                <c:pt idx="58">
                  <c:v>13.4253</c:v>
                </c:pt>
                <c:pt idx="59">
                  <c:v>14.3011</c:v>
                </c:pt>
                <c:pt idx="60">
                  <c:v>15.5053</c:v>
                </c:pt>
                <c:pt idx="61">
                  <c:v>16.715299999999999</c:v>
                </c:pt>
                <c:pt idx="62">
                  <c:v>17.603400000000001</c:v>
                </c:pt>
                <c:pt idx="63">
                  <c:v>17.946899999999999</c:v>
                </c:pt>
                <c:pt idx="64">
                  <c:v>17.840499999999999</c:v>
                </c:pt>
                <c:pt idx="65">
                  <c:v>17.4573</c:v>
                </c:pt>
                <c:pt idx="66">
                  <c:v>17.073799999999999</c:v>
                </c:pt>
                <c:pt idx="67">
                  <c:v>17.136199999999999</c:v>
                </c:pt>
                <c:pt idx="68">
                  <c:v>17.405100000000001</c:v>
                </c:pt>
                <c:pt idx="69">
                  <c:v>17.813500000000001</c:v>
                </c:pt>
                <c:pt idx="70">
                  <c:v>18.3324</c:v>
                </c:pt>
                <c:pt idx="71">
                  <c:v>18.9343</c:v>
                </c:pt>
                <c:pt idx="72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68-42BC-8FDD-B020AF63C12B}"/>
            </c:ext>
          </c:extLst>
        </c:ser>
        <c:ser>
          <c:idx val="5"/>
          <c:order val="5"/>
          <c:tx>
            <c:strRef>
              <c:f>图8!$H$2</c:f>
              <c:strCache>
                <c:ptCount val="1"/>
                <c:pt idx="0">
                  <c:v>油耗随机森林模型-朗逸</c:v>
                </c:pt>
              </c:strCache>
            </c:strRef>
          </c:tx>
          <c:spPr>
            <a:ln w="28575" cap="rnd">
              <a:solidFill>
                <a:srgbClr val="C55659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图8!$B$3:$B$75</c:f>
              <c:numCache>
                <c:formatCode>General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图8!$H$3:$H$75</c:f>
              <c:numCache>
                <c:formatCode>General</c:formatCode>
                <c:ptCount val="73"/>
                <c:pt idx="0">
                  <c:v>16.2</c:v>
                </c:pt>
                <c:pt idx="1">
                  <c:v>14.3339</c:v>
                </c:pt>
                <c:pt idx="2">
                  <c:v>12.458399999999999</c:v>
                </c:pt>
                <c:pt idx="3">
                  <c:v>10.572800000000001</c:v>
                </c:pt>
                <c:pt idx="4">
                  <c:v>8.6780100000000004</c:v>
                </c:pt>
                <c:pt idx="5">
                  <c:v>6.7841199999999997</c:v>
                </c:pt>
                <c:pt idx="6">
                  <c:v>5.0497899999999998</c:v>
                </c:pt>
                <c:pt idx="7">
                  <c:v>3.8360300000000001</c:v>
                </c:pt>
                <c:pt idx="8">
                  <c:v>2.9913799999999999</c:v>
                </c:pt>
                <c:pt idx="9">
                  <c:v>2.4762900000000001</c:v>
                </c:pt>
                <c:pt idx="10">
                  <c:v>2.0125600000000001</c:v>
                </c:pt>
                <c:pt idx="11">
                  <c:v>1.3443799999999999</c:v>
                </c:pt>
                <c:pt idx="12">
                  <c:v>0.61383699999999997</c:v>
                </c:pt>
                <c:pt idx="13">
                  <c:v>7.7245499999999995E-2</c:v>
                </c:pt>
                <c:pt idx="14">
                  <c:v>2.5266799999999999E-2</c:v>
                </c:pt>
                <c:pt idx="15">
                  <c:v>0.64049900000000004</c:v>
                </c:pt>
                <c:pt idx="16">
                  <c:v>1.65964</c:v>
                </c:pt>
                <c:pt idx="17">
                  <c:v>2.70974</c:v>
                </c:pt>
                <c:pt idx="18">
                  <c:v>3.4076900000000001</c:v>
                </c:pt>
                <c:pt idx="19">
                  <c:v>3.4882</c:v>
                </c:pt>
                <c:pt idx="20">
                  <c:v>3.14514</c:v>
                </c:pt>
                <c:pt idx="21">
                  <c:v>2.7019899999999999</c:v>
                </c:pt>
                <c:pt idx="22">
                  <c:v>2.5583900000000002</c:v>
                </c:pt>
                <c:pt idx="23">
                  <c:v>2.9996299999999998</c:v>
                </c:pt>
                <c:pt idx="24">
                  <c:v>3.8090700000000002</c:v>
                </c:pt>
                <c:pt idx="25">
                  <c:v>4.6716899999999999</c:v>
                </c:pt>
                <c:pt idx="26">
                  <c:v>5.3495100000000004</c:v>
                </c:pt>
                <c:pt idx="27">
                  <c:v>5.7030799999999999</c:v>
                </c:pt>
                <c:pt idx="28">
                  <c:v>5.8947000000000003</c:v>
                </c:pt>
                <c:pt idx="29">
                  <c:v>6.0814599999999999</c:v>
                </c:pt>
                <c:pt idx="30">
                  <c:v>6.13591</c:v>
                </c:pt>
                <c:pt idx="31">
                  <c:v>5.9021100000000004</c:v>
                </c:pt>
                <c:pt idx="32">
                  <c:v>5.3661700000000003</c:v>
                </c:pt>
                <c:pt idx="33">
                  <c:v>4.5615199999999998</c:v>
                </c:pt>
                <c:pt idx="34">
                  <c:v>3.5741999999999998</c:v>
                </c:pt>
                <c:pt idx="35">
                  <c:v>2.49227</c:v>
                </c:pt>
                <c:pt idx="36">
                  <c:v>1.36585</c:v>
                </c:pt>
                <c:pt idx="37">
                  <c:v>0.217921</c:v>
                </c:pt>
                <c:pt idx="38">
                  <c:v>-0.99627299999999996</c:v>
                </c:pt>
                <c:pt idx="39">
                  <c:v>-2.3011599999999999</c:v>
                </c:pt>
                <c:pt idx="40">
                  <c:v>-3.589</c:v>
                </c:pt>
                <c:pt idx="41">
                  <c:v>-4.7334100000000001</c:v>
                </c:pt>
                <c:pt idx="42">
                  <c:v>-5.6507500000000004</c:v>
                </c:pt>
                <c:pt idx="43">
                  <c:v>-6.2474999999999996</c:v>
                </c:pt>
                <c:pt idx="44">
                  <c:v>-6.3585599999999998</c:v>
                </c:pt>
                <c:pt idx="45">
                  <c:v>-5.8864299999999998</c:v>
                </c:pt>
                <c:pt idx="46">
                  <c:v>-5.0379899999999997</c:v>
                </c:pt>
                <c:pt idx="47">
                  <c:v>-4.0443600000000002</c:v>
                </c:pt>
                <c:pt idx="48">
                  <c:v>-2.97505</c:v>
                </c:pt>
                <c:pt idx="49">
                  <c:v>-1.85365</c:v>
                </c:pt>
                <c:pt idx="50">
                  <c:v>-0.66952599999999995</c:v>
                </c:pt>
                <c:pt idx="51">
                  <c:v>0.579955</c:v>
                </c:pt>
                <c:pt idx="52">
                  <c:v>1.8412900000000001</c:v>
                </c:pt>
                <c:pt idx="53">
                  <c:v>3.0434600000000001</c:v>
                </c:pt>
                <c:pt idx="54">
                  <c:v>4.0976800000000004</c:v>
                </c:pt>
                <c:pt idx="55">
                  <c:v>4.9208699999999999</c:v>
                </c:pt>
                <c:pt idx="56">
                  <c:v>5.4640599999999999</c:v>
                </c:pt>
                <c:pt idx="57">
                  <c:v>5.7399699999999996</c:v>
                </c:pt>
                <c:pt idx="58">
                  <c:v>5.95303</c:v>
                </c:pt>
                <c:pt idx="59">
                  <c:v>6.2760600000000002</c:v>
                </c:pt>
                <c:pt idx="60">
                  <c:v>6.62059</c:v>
                </c:pt>
                <c:pt idx="61">
                  <c:v>6.9068500000000004</c:v>
                </c:pt>
                <c:pt idx="62">
                  <c:v>7.2862900000000002</c:v>
                </c:pt>
                <c:pt idx="63">
                  <c:v>7.9147100000000004</c:v>
                </c:pt>
                <c:pt idx="64">
                  <c:v>8.8084699999999998</c:v>
                </c:pt>
                <c:pt idx="65">
                  <c:v>9.9379899999999992</c:v>
                </c:pt>
                <c:pt idx="66">
                  <c:v>11.2354</c:v>
                </c:pt>
                <c:pt idx="67">
                  <c:v>12.661300000000001</c:v>
                </c:pt>
                <c:pt idx="68">
                  <c:v>14.083399999999999</c:v>
                </c:pt>
                <c:pt idx="69">
                  <c:v>15.4818</c:v>
                </c:pt>
                <c:pt idx="70">
                  <c:v>16.8644</c:v>
                </c:pt>
                <c:pt idx="71">
                  <c:v>18.2362</c:v>
                </c:pt>
                <c:pt idx="72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68-42BC-8FDD-B020AF63C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617695"/>
        <c:axId val="227619359"/>
      </c:lineChart>
      <c:catAx>
        <c:axId val="227617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距离（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27619359"/>
        <c:crossesAt val="-60"/>
        <c:auto val="1"/>
        <c:lblAlgn val="ctr"/>
        <c:lblOffset val="100"/>
        <c:tickLblSkip val="8"/>
        <c:tickMarkSkip val="8"/>
        <c:noMultiLvlLbl val="0"/>
      </c:catAx>
      <c:valAx>
        <c:axId val="227619359"/>
        <c:scaling>
          <c:orientation val="minMax"/>
          <c:max val="35"/>
          <c:min val="-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高度（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2761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311775001381482"/>
          <c:y val="1.7175484989590047E-2"/>
          <c:w val="0.85372993878022918"/>
          <c:h val="0.145706279131142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ysClr val="windowText" lastClr="000000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65705128205132E-2"/>
          <c:y val="3.9586139240631868E-2"/>
          <c:w val="0.88968277824714304"/>
          <c:h val="0.80038175682731583"/>
        </c:manualLayout>
      </c:layout>
      <c:lineChart>
        <c:grouping val="standard"/>
        <c:varyColors val="0"/>
        <c:ser>
          <c:idx val="1"/>
          <c:order val="0"/>
          <c:tx>
            <c:strRef>
              <c:f>图8!$C$2</c:f>
              <c:strCache>
                <c:ptCount val="1"/>
                <c:pt idx="0">
                  <c:v>Actual path</c:v>
                </c:pt>
              </c:strCache>
            </c:strRef>
          </c:tx>
          <c:spPr>
            <a:ln w="28575" cap="rnd">
              <a:solidFill>
                <a:srgbClr val="7572B5"/>
              </a:solidFill>
              <a:round/>
            </a:ln>
            <a:effectLst/>
          </c:spPr>
          <c:marker>
            <c:symbol val="none"/>
          </c:marker>
          <c:cat>
            <c:numRef>
              <c:f>图8!$B$3:$B$75</c:f>
              <c:numCache>
                <c:formatCode>General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图8!$C$3:$C$75</c:f>
              <c:numCache>
                <c:formatCode>General</c:formatCode>
                <c:ptCount val="73"/>
                <c:pt idx="0">
                  <c:v>16.2</c:v>
                </c:pt>
                <c:pt idx="1">
                  <c:v>16.18994431578869</c:v>
                </c:pt>
                <c:pt idx="2">
                  <c:v>16.23</c:v>
                </c:pt>
                <c:pt idx="3">
                  <c:v>16.438526330591301</c:v>
                </c:pt>
                <c:pt idx="4">
                  <c:v>16.77265954533005</c:v>
                </c:pt>
                <c:pt idx="5">
                  <c:v>16.87</c:v>
                </c:pt>
                <c:pt idx="6">
                  <c:v>17.088302024697409</c:v>
                </c:pt>
                <c:pt idx="7">
                  <c:v>17.3</c:v>
                </c:pt>
                <c:pt idx="8">
                  <c:v>17.50930536380227</c:v>
                </c:pt>
                <c:pt idx="9">
                  <c:v>17.81924715610285</c:v>
                </c:pt>
                <c:pt idx="10">
                  <c:v>17.976022409316101</c:v>
                </c:pt>
                <c:pt idx="11">
                  <c:v>18.167629384157461</c:v>
                </c:pt>
                <c:pt idx="12">
                  <c:v>18.381372409495501</c:v>
                </c:pt>
                <c:pt idx="13">
                  <c:v>18.510000000000002</c:v>
                </c:pt>
                <c:pt idx="14">
                  <c:v>18.694881042171922</c:v>
                </c:pt>
                <c:pt idx="15">
                  <c:v>18.820132298207739</c:v>
                </c:pt>
                <c:pt idx="16">
                  <c:v>19.182337629892189</c:v>
                </c:pt>
                <c:pt idx="17">
                  <c:v>19.395120829470329</c:v>
                </c:pt>
                <c:pt idx="18">
                  <c:v>19.709214521701849</c:v>
                </c:pt>
                <c:pt idx="19">
                  <c:v>19.985029120342169</c:v>
                </c:pt>
                <c:pt idx="20">
                  <c:v>20.36939951356478</c:v>
                </c:pt>
                <c:pt idx="21">
                  <c:v>20.813443634166571</c:v>
                </c:pt>
                <c:pt idx="22">
                  <c:v>21.185240874981801</c:v>
                </c:pt>
                <c:pt idx="23">
                  <c:v>21.51545779924508</c:v>
                </c:pt>
                <c:pt idx="24">
                  <c:v>21.9382837573126</c:v>
                </c:pt>
                <c:pt idx="25">
                  <c:v>22.35399581240268</c:v>
                </c:pt>
                <c:pt idx="26">
                  <c:v>22.800055267935761</c:v>
                </c:pt>
                <c:pt idx="27">
                  <c:v>23.07861966713304</c:v>
                </c:pt>
                <c:pt idx="28">
                  <c:v>23.222124073160721</c:v>
                </c:pt>
                <c:pt idx="29">
                  <c:v>23.26</c:v>
                </c:pt>
                <c:pt idx="30">
                  <c:v>23.118694100136729</c:v>
                </c:pt>
                <c:pt idx="31">
                  <c:v>22.865061108829561</c:v>
                </c:pt>
                <c:pt idx="32">
                  <c:v>22.50125603280393</c:v>
                </c:pt>
                <c:pt idx="33">
                  <c:v>22.081010880983051</c:v>
                </c:pt>
                <c:pt idx="34">
                  <c:v>21.685041237236799</c:v>
                </c:pt>
                <c:pt idx="35">
                  <c:v>21.264957590363331</c:v>
                </c:pt>
                <c:pt idx="36">
                  <c:v>20.913911979364531</c:v>
                </c:pt>
                <c:pt idx="37">
                  <c:v>20.546891729057549</c:v>
                </c:pt>
                <c:pt idx="38">
                  <c:v>20.15231743913272</c:v>
                </c:pt>
                <c:pt idx="39">
                  <c:v>19.799122285242859</c:v>
                </c:pt>
                <c:pt idx="40">
                  <c:v>19.514445110632909</c:v>
                </c:pt>
                <c:pt idx="41">
                  <c:v>19.327604185096419</c:v>
                </c:pt>
                <c:pt idx="42">
                  <c:v>19.208045162869649</c:v>
                </c:pt>
                <c:pt idx="43">
                  <c:v>19.2</c:v>
                </c:pt>
                <c:pt idx="44">
                  <c:v>19.163088389471781</c:v>
                </c:pt>
                <c:pt idx="45">
                  <c:v>19.327891389974219</c:v>
                </c:pt>
                <c:pt idx="46">
                  <c:v>19.56886483268708</c:v>
                </c:pt>
                <c:pt idx="47">
                  <c:v>19.96802621912861</c:v>
                </c:pt>
                <c:pt idx="48">
                  <c:v>20.41691357784077</c:v>
                </c:pt>
                <c:pt idx="49">
                  <c:v>21.054406819932488</c:v>
                </c:pt>
                <c:pt idx="50">
                  <c:v>21.56018265494739</c:v>
                </c:pt>
                <c:pt idx="51">
                  <c:v>22.046770650926891</c:v>
                </c:pt>
                <c:pt idx="52">
                  <c:v>22.412964446331369</c:v>
                </c:pt>
                <c:pt idx="53">
                  <c:v>22.760791875890021</c:v>
                </c:pt>
                <c:pt idx="54">
                  <c:v>23.213427008272301</c:v>
                </c:pt>
                <c:pt idx="55">
                  <c:v>23.673198019802019</c:v>
                </c:pt>
                <c:pt idx="56">
                  <c:v>24.00158638949922</c:v>
                </c:pt>
                <c:pt idx="57">
                  <c:v>24.216525702151539</c:v>
                </c:pt>
                <c:pt idx="58">
                  <c:v>24.302311240474591</c:v>
                </c:pt>
                <c:pt idx="59">
                  <c:v>24.151286518413581</c:v>
                </c:pt>
                <c:pt idx="60">
                  <c:v>24</c:v>
                </c:pt>
                <c:pt idx="61">
                  <c:v>23.85</c:v>
                </c:pt>
                <c:pt idx="62">
                  <c:v>23.54435048117206</c:v>
                </c:pt>
                <c:pt idx="63">
                  <c:v>23.144007055849851</c:v>
                </c:pt>
                <c:pt idx="64">
                  <c:v>22.791726575079771</c:v>
                </c:pt>
                <c:pt idx="65">
                  <c:v>22.423245392214501</c:v>
                </c:pt>
                <c:pt idx="66">
                  <c:v>22.00703436627866</c:v>
                </c:pt>
                <c:pt idx="67">
                  <c:v>21.6873983224318</c:v>
                </c:pt>
                <c:pt idx="68">
                  <c:v>21.364055877997689</c:v>
                </c:pt>
                <c:pt idx="69">
                  <c:v>20.91885697751945</c:v>
                </c:pt>
                <c:pt idx="70">
                  <c:v>20.414459886974011</c:v>
                </c:pt>
                <c:pt idx="71">
                  <c:v>20.03557895340829</c:v>
                </c:pt>
                <c:pt idx="72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92-4187-BBD2-BEB6D15D1C0C}"/>
            </c:ext>
          </c:extLst>
        </c:ser>
        <c:ser>
          <c:idx val="2"/>
          <c:order val="1"/>
          <c:tx>
            <c:strRef>
              <c:f>图8!$D$2</c:f>
              <c:strCache>
                <c:ptCount val="1"/>
                <c:pt idx="0">
                  <c:v>Fundamental path</c:v>
                </c:pt>
              </c:strCache>
            </c:strRef>
          </c:tx>
          <c:spPr>
            <a:ln w="28575" cap="rnd">
              <a:solidFill>
                <a:srgbClr val="CBB47B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图8!$B$3:$B$75</c:f>
              <c:numCache>
                <c:formatCode>General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图8!$D$3:$D$75</c:f>
              <c:numCache>
                <c:formatCode>0.00</c:formatCode>
                <c:ptCount val="73"/>
                <c:pt idx="0">
                  <c:v>16.2</c:v>
                </c:pt>
                <c:pt idx="1">
                  <c:v>16.247222222222309</c:v>
                </c:pt>
                <c:pt idx="2">
                  <c:v>16.294444444444618</c:v>
                </c:pt>
                <c:pt idx="3">
                  <c:v>16.341666666666928</c:v>
                </c:pt>
                <c:pt idx="4">
                  <c:v>16.388888888889237</c:v>
                </c:pt>
                <c:pt idx="5">
                  <c:v>16.436111111111547</c:v>
                </c:pt>
                <c:pt idx="6">
                  <c:v>16.483333333333857</c:v>
                </c:pt>
                <c:pt idx="7">
                  <c:v>16.530555555556166</c:v>
                </c:pt>
                <c:pt idx="8">
                  <c:v>16.577777777778476</c:v>
                </c:pt>
                <c:pt idx="9">
                  <c:v>16.625000000000785</c:v>
                </c:pt>
                <c:pt idx="10">
                  <c:v>16.672222222223095</c:v>
                </c:pt>
                <c:pt idx="11">
                  <c:v>16.719444444445404</c:v>
                </c:pt>
                <c:pt idx="12">
                  <c:v>16.766666666667714</c:v>
                </c:pt>
                <c:pt idx="13">
                  <c:v>16.813888888890023</c:v>
                </c:pt>
                <c:pt idx="14">
                  <c:v>16.861111111112333</c:v>
                </c:pt>
                <c:pt idx="15">
                  <c:v>16.908333333334642</c:v>
                </c:pt>
                <c:pt idx="16">
                  <c:v>16.955555555556952</c:v>
                </c:pt>
                <c:pt idx="17">
                  <c:v>17.002777777779261</c:v>
                </c:pt>
                <c:pt idx="18">
                  <c:v>17.050000000001571</c:v>
                </c:pt>
                <c:pt idx="19">
                  <c:v>17.097222222223881</c:v>
                </c:pt>
                <c:pt idx="20">
                  <c:v>17.14444444444619</c:v>
                </c:pt>
                <c:pt idx="21">
                  <c:v>17.1916666666685</c:v>
                </c:pt>
                <c:pt idx="22">
                  <c:v>17.238888888890809</c:v>
                </c:pt>
                <c:pt idx="23">
                  <c:v>17.286111111113119</c:v>
                </c:pt>
                <c:pt idx="24">
                  <c:v>17.333333333335428</c:v>
                </c:pt>
                <c:pt idx="25">
                  <c:v>17.380555555557738</c:v>
                </c:pt>
                <c:pt idx="26">
                  <c:v>17.427777777780047</c:v>
                </c:pt>
                <c:pt idx="27">
                  <c:v>17.475000000002357</c:v>
                </c:pt>
                <c:pt idx="28">
                  <c:v>17.522222222224666</c:v>
                </c:pt>
                <c:pt idx="29">
                  <c:v>17.569444444446976</c:v>
                </c:pt>
                <c:pt idx="30">
                  <c:v>17.616666666669285</c:v>
                </c:pt>
                <c:pt idx="31">
                  <c:v>17.663888888891595</c:v>
                </c:pt>
                <c:pt idx="32">
                  <c:v>17.711111111113905</c:v>
                </c:pt>
                <c:pt idx="33">
                  <c:v>17.758333333336214</c:v>
                </c:pt>
                <c:pt idx="34">
                  <c:v>17.805555555558524</c:v>
                </c:pt>
                <c:pt idx="35">
                  <c:v>17.852777777780833</c:v>
                </c:pt>
                <c:pt idx="36">
                  <c:v>17.900000000003143</c:v>
                </c:pt>
                <c:pt idx="37">
                  <c:v>17.947222222225452</c:v>
                </c:pt>
                <c:pt idx="38">
                  <c:v>17.994444444447762</c:v>
                </c:pt>
                <c:pt idx="39">
                  <c:v>18.041666666670071</c:v>
                </c:pt>
                <c:pt idx="40">
                  <c:v>18.088888888892381</c:v>
                </c:pt>
                <c:pt idx="41">
                  <c:v>18.13611111111469</c:v>
                </c:pt>
                <c:pt idx="42">
                  <c:v>18.183333333337</c:v>
                </c:pt>
                <c:pt idx="43">
                  <c:v>18.23055555555931</c:v>
                </c:pt>
                <c:pt idx="44">
                  <c:v>18.277777777781619</c:v>
                </c:pt>
                <c:pt idx="45">
                  <c:v>18.325000000003929</c:v>
                </c:pt>
                <c:pt idx="46">
                  <c:v>18.372222222226238</c:v>
                </c:pt>
                <c:pt idx="47">
                  <c:v>18.419444444448548</c:v>
                </c:pt>
                <c:pt idx="48">
                  <c:v>18.466666666670857</c:v>
                </c:pt>
                <c:pt idx="49">
                  <c:v>18.513888888893167</c:v>
                </c:pt>
                <c:pt idx="50">
                  <c:v>18.561111111115476</c:v>
                </c:pt>
                <c:pt idx="51">
                  <c:v>18.608333333337786</c:v>
                </c:pt>
                <c:pt idx="52">
                  <c:v>18.655555555560095</c:v>
                </c:pt>
                <c:pt idx="53">
                  <c:v>18.702777777782405</c:v>
                </c:pt>
                <c:pt idx="54">
                  <c:v>18.750000000004714</c:v>
                </c:pt>
                <c:pt idx="55">
                  <c:v>18.797222222227024</c:v>
                </c:pt>
                <c:pt idx="56">
                  <c:v>18.844444444449334</c:v>
                </c:pt>
                <c:pt idx="57">
                  <c:v>18.891666666671643</c:v>
                </c:pt>
                <c:pt idx="58">
                  <c:v>18.938888888893953</c:v>
                </c:pt>
                <c:pt idx="59">
                  <c:v>18.986111111116262</c:v>
                </c:pt>
                <c:pt idx="60">
                  <c:v>19.033333333338572</c:v>
                </c:pt>
                <c:pt idx="61">
                  <c:v>19.080555555560881</c:v>
                </c:pt>
                <c:pt idx="62">
                  <c:v>19.127777777783191</c:v>
                </c:pt>
                <c:pt idx="63">
                  <c:v>19.1750000000055</c:v>
                </c:pt>
                <c:pt idx="64">
                  <c:v>19.22222222222781</c:v>
                </c:pt>
                <c:pt idx="65">
                  <c:v>19.269444444450119</c:v>
                </c:pt>
                <c:pt idx="66">
                  <c:v>19.316666666672429</c:v>
                </c:pt>
                <c:pt idx="67">
                  <c:v>19.363888888894738</c:v>
                </c:pt>
                <c:pt idx="68">
                  <c:v>19.411111111117048</c:v>
                </c:pt>
                <c:pt idx="69">
                  <c:v>19.458333333339358</c:v>
                </c:pt>
                <c:pt idx="70">
                  <c:v>19.505555555561667</c:v>
                </c:pt>
                <c:pt idx="71">
                  <c:v>19.552777777783977</c:v>
                </c:pt>
                <c:pt idx="72">
                  <c:v>19.600000000006286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92-4187-BBD2-BEB6D15D1C0C}"/>
            </c:ext>
          </c:extLst>
        </c:ser>
        <c:ser>
          <c:idx val="6"/>
          <c:order val="2"/>
          <c:tx>
            <c:strRef>
              <c:f>图8!$E$1</c:f>
              <c:strCache>
                <c:ptCount val="1"/>
                <c:pt idx="0">
                  <c:v>Fuel-efficient path (MR-FCE)</c:v>
                </c:pt>
              </c:strCache>
            </c:strRef>
          </c:tx>
          <c:spPr>
            <a:ln w="28575" cap="rnd">
              <a:solidFill>
                <a:srgbClr val="54AC7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图8!$B$3:$B$75</c:f>
              <c:numCache>
                <c:formatCode>General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图8!$E$3:$E$75</c:f>
              <c:numCache>
                <c:formatCode>General</c:formatCode>
                <c:ptCount val="73"/>
                <c:pt idx="0">
                  <c:v>16.2</c:v>
                </c:pt>
                <c:pt idx="1">
                  <c:v>14.351699999999999</c:v>
                </c:pt>
                <c:pt idx="2">
                  <c:v>12.5289</c:v>
                </c:pt>
                <c:pt idx="3">
                  <c:v>10.742800000000001</c:v>
                </c:pt>
                <c:pt idx="4">
                  <c:v>9.0143199999999997</c:v>
                </c:pt>
                <c:pt idx="5">
                  <c:v>7.3833500000000001</c:v>
                </c:pt>
                <c:pt idx="6">
                  <c:v>6.0104300000000004</c:v>
                </c:pt>
                <c:pt idx="7">
                  <c:v>5.12974</c:v>
                </c:pt>
                <c:pt idx="8">
                  <c:v>4.5312099999999997</c:v>
                </c:pt>
                <c:pt idx="9">
                  <c:v>4.1387900000000002</c:v>
                </c:pt>
                <c:pt idx="10">
                  <c:v>3.6769599999999998</c:v>
                </c:pt>
                <c:pt idx="11">
                  <c:v>2.90429</c:v>
                </c:pt>
                <c:pt idx="12">
                  <c:v>1.9820500000000001</c:v>
                </c:pt>
                <c:pt idx="13">
                  <c:v>1.1716200000000001</c:v>
                </c:pt>
                <c:pt idx="14">
                  <c:v>0.69922099999999998</c:v>
                </c:pt>
                <c:pt idx="15">
                  <c:v>0.69397200000000003</c:v>
                </c:pt>
                <c:pt idx="16">
                  <c:v>0.94700200000000001</c:v>
                </c:pt>
                <c:pt idx="17">
                  <c:v>1.23129</c:v>
                </c:pt>
                <c:pt idx="18">
                  <c:v>1.56257</c:v>
                </c:pt>
                <c:pt idx="19">
                  <c:v>1.9646699999999999</c:v>
                </c:pt>
                <c:pt idx="20">
                  <c:v>2.2685599999999999</c:v>
                </c:pt>
                <c:pt idx="21">
                  <c:v>2.3338000000000001</c:v>
                </c:pt>
                <c:pt idx="22">
                  <c:v>2.3060999999999998</c:v>
                </c:pt>
                <c:pt idx="23">
                  <c:v>2.3253599999999999</c:v>
                </c:pt>
                <c:pt idx="24">
                  <c:v>2.2485499999999998</c:v>
                </c:pt>
                <c:pt idx="25">
                  <c:v>1.96065</c:v>
                </c:pt>
                <c:pt idx="26">
                  <c:v>1.7088399999999999</c:v>
                </c:pt>
                <c:pt idx="27">
                  <c:v>1.75465</c:v>
                </c:pt>
                <c:pt idx="28">
                  <c:v>2.0886300000000002</c:v>
                </c:pt>
                <c:pt idx="29">
                  <c:v>2.5973299999999999</c:v>
                </c:pt>
                <c:pt idx="30">
                  <c:v>3.01709</c:v>
                </c:pt>
                <c:pt idx="31">
                  <c:v>3.1783399999999999</c:v>
                </c:pt>
                <c:pt idx="32">
                  <c:v>3.3985400000000001</c:v>
                </c:pt>
                <c:pt idx="33">
                  <c:v>3.9892099999999999</c:v>
                </c:pt>
                <c:pt idx="34">
                  <c:v>4.8112500000000002</c:v>
                </c:pt>
                <c:pt idx="35">
                  <c:v>5.58718</c:v>
                </c:pt>
                <c:pt idx="36">
                  <c:v>5.91655</c:v>
                </c:pt>
                <c:pt idx="37">
                  <c:v>5.5189199999999996</c:v>
                </c:pt>
                <c:pt idx="38">
                  <c:v>4.66547</c:v>
                </c:pt>
                <c:pt idx="39">
                  <c:v>3.7400199999999999</c:v>
                </c:pt>
                <c:pt idx="40">
                  <c:v>3.06982</c:v>
                </c:pt>
                <c:pt idx="41">
                  <c:v>2.8467699999999998</c:v>
                </c:pt>
                <c:pt idx="42">
                  <c:v>2.8130600000000001</c:v>
                </c:pt>
                <c:pt idx="43">
                  <c:v>2.7100300000000002</c:v>
                </c:pt>
                <c:pt idx="44">
                  <c:v>2.6539000000000001</c:v>
                </c:pt>
                <c:pt idx="45">
                  <c:v>2.7687200000000001</c:v>
                </c:pt>
                <c:pt idx="46">
                  <c:v>2.8942199999999998</c:v>
                </c:pt>
                <c:pt idx="47">
                  <c:v>2.8776299999999999</c:v>
                </c:pt>
                <c:pt idx="48">
                  <c:v>2.8290600000000001</c:v>
                </c:pt>
                <c:pt idx="49">
                  <c:v>2.83365</c:v>
                </c:pt>
                <c:pt idx="50">
                  <c:v>2.6696</c:v>
                </c:pt>
                <c:pt idx="51">
                  <c:v>2.1469</c:v>
                </c:pt>
                <c:pt idx="52">
                  <c:v>1.4415</c:v>
                </c:pt>
                <c:pt idx="53">
                  <c:v>0.82351300000000005</c:v>
                </c:pt>
                <c:pt idx="54">
                  <c:v>0.60476399999999997</c:v>
                </c:pt>
                <c:pt idx="55">
                  <c:v>0.98726000000000003</c:v>
                </c:pt>
                <c:pt idx="56">
                  <c:v>1.74576</c:v>
                </c:pt>
                <c:pt idx="57">
                  <c:v>2.5624799999999999</c:v>
                </c:pt>
                <c:pt idx="58">
                  <c:v>3.13076</c:v>
                </c:pt>
                <c:pt idx="59">
                  <c:v>3.2925300000000002</c:v>
                </c:pt>
                <c:pt idx="60">
                  <c:v>3.4103500000000002</c:v>
                </c:pt>
                <c:pt idx="61">
                  <c:v>3.8617400000000002</c:v>
                </c:pt>
                <c:pt idx="62">
                  <c:v>4.6609699999999998</c:v>
                </c:pt>
                <c:pt idx="63">
                  <c:v>5.7027599999999996</c:v>
                </c:pt>
                <c:pt idx="64">
                  <c:v>6.7678599999999998</c:v>
                </c:pt>
                <c:pt idx="65">
                  <c:v>7.6936600000000004</c:v>
                </c:pt>
                <c:pt idx="66">
                  <c:v>8.6465599999999991</c:v>
                </c:pt>
                <c:pt idx="67">
                  <c:v>10.0862</c:v>
                </c:pt>
                <c:pt idx="68">
                  <c:v>11.843999999999999</c:v>
                </c:pt>
                <c:pt idx="69">
                  <c:v>13.719900000000001</c:v>
                </c:pt>
                <c:pt idx="70">
                  <c:v>15.653</c:v>
                </c:pt>
                <c:pt idx="71">
                  <c:v>17.6173</c:v>
                </c:pt>
                <c:pt idx="72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92-4187-BBD2-BEB6D15D1C0C}"/>
            </c:ext>
          </c:extLst>
        </c:ser>
        <c:ser>
          <c:idx val="3"/>
          <c:order val="3"/>
          <c:tx>
            <c:strRef>
              <c:f>图8!$F$1</c:f>
              <c:strCache>
                <c:ptCount val="1"/>
                <c:pt idx="0">
                  <c:v>Fuel-efficient path (RF-FCE)</c:v>
                </c:pt>
              </c:strCache>
            </c:strRef>
          </c:tx>
          <c:spPr>
            <a:ln w="28575" cap="rnd">
              <a:solidFill>
                <a:srgbClr val="4778B9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图8!$B$3:$B$75</c:f>
              <c:numCache>
                <c:formatCode>General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图8!$F$3:$F$75</c:f>
              <c:numCache>
                <c:formatCode>General</c:formatCode>
                <c:ptCount val="73"/>
                <c:pt idx="0">
                  <c:v>16.2</c:v>
                </c:pt>
                <c:pt idx="1">
                  <c:v>14.229200000000001</c:v>
                </c:pt>
                <c:pt idx="2">
                  <c:v>12.291600000000001</c:v>
                </c:pt>
                <c:pt idx="3">
                  <c:v>10.4109</c:v>
                </c:pt>
                <c:pt idx="4">
                  <c:v>8.6364300000000007</c:v>
                </c:pt>
                <c:pt idx="5">
                  <c:v>7.0837199999999996</c:v>
                </c:pt>
                <c:pt idx="6">
                  <c:v>6.2052100000000001</c:v>
                </c:pt>
                <c:pt idx="7">
                  <c:v>6.3958399999999997</c:v>
                </c:pt>
                <c:pt idx="8">
                  <c:v>6.6953699999999996</c:v>
                </c:pt>
                <c:pt idx="9">
                  <c:v>6.69252</c:v>
                </c:pt>
                <c:pt idx="10">
                  <c:v>6.2894600000000001</c:v>
                </c:pt>
                <c:pt idx="11">
                  <c:v>5.4830800000000002</c:v>
                </c:pt>
                <c:pt idx="12">
                  <c:v>4.46441</c:v>
                </c:pt>
                <c:pt idx="13">
                  <c:v>3.4748100000000002</c:v>
                </c:pt>
                <c:pt idx="14">
                  <c:v>2.7267199999999998</c:v>
                </c:pt>
                <c:pt idx="15">
                  <c:v>2.3372899999999999</c:v>
                </c:pt>
                <c:pt idx="16">
                  <c:v>2.0872799999999998</c:v>
                </c:pt>
                <c:pt idx="17">
                  <c:v>1.7819700000000001</c:v>
                </c:pt>
                <c:pt idx="18">
                  <c:v>1.6313899999999999</c:v>
                </c:pt>
                <c:pt idx="19">
                  <c:v>1.8610800000000001</c:v>
                </c:pt>
                <c:pt idx="20">
                  <c:v>2.3835999999999999</c:v>
                </c:pt>
                <c:pt idx="21">
                  <c:v>3.0044200000000001</c:v>
                </c:pt>
                <c:pt idx="22">
                  <c:v>3.4064000000000001</c:v>
                </c:pt>
                <c:pt idx="23">
                  <c:v>3.3719600000000001</c:v>
                </c:pt>
                <c:pt idx="24">
                  <c:v>3.1730900000000002</c:v>
                </c:pt>
                <c:pt idx="25">
                  <c:v>3.129</c:v>
                </c:pt>
                <c:pt idx="26">
                  <c:v>3.2974100000000002</c:v>
                </c:pt>
                <c:pt idx="27">
                  <c:v>3.64615</c:v>
                </c:pt>
                <c:pt idx="28">
                  <c:v>4.0375699999999997</c:v>
                </c:pt>
                <c:pt idx="29">
                  <c:v>4.34396</c:v>
                </c:pt>
                <c:pt idx="30">
                  <c:v>4.5688399999999998</c:v>
                </c:pt>
                <c:pt idx="31">
                  <c:v>4.7894899999999998</c:v>
                </c:pt>
                <c:pt idx="32">
                  <c:v>5.2444199999999999</c:v>
                </c:pt>
                <c:pt idx="33">
                  <c:v>6.1088199999999997</c:v>
                </c:pt>
                <c:pt idx="34">
                  <c:v>7.17943</c:v>
                </c:pt>
                <c:pt idx="35">
                  <c:v>8.1716700000000007</c:v>
                </c:pt>
                <c:pt idx="36">
                  <c:v>8.8275600000000001</c:v>
                </c:pt>
                <c:pt idx="37">
                  <c:v>9.0088399999999993</c:v>
                </c:pt>
                <c:pt idx="38">
                  <c:v>8.9975400000000008</c:v>
                </c:pt>
                <c:pt idx="39">
                  <c:v>9.0660699999999999</c:v>
                </c:pt>
                <c:pt idx="40">
                  <c:v>9.0921000000000003</c:v>
                </c:pt>
                <c:pt idx="41">
                  <c:v>8.9299599999999995</c:v>
                </c:pt>
                <c:pt idx="42">
                  <c:v>8.6828500000000002</c:v>
                </c:pt>
                <c:pt idx="43">
                  <c:v>8.4975000000000005</c:v>
                </c:pt>
                <c:pt idx="44">
                  <c:v>8.4703300000000006</c:v>
                </c:pt>
                <c:pt idx="45">
                  <c:v>8.6184600000000007</c:v>
                </c:pt>
                <c:pt idx="46">
                  <c:v>8.7112099999999995</c:v>
                </c:pt>
                <c:pt idx="47">
                  <c:v>8.5450599999999994</c:v>
                </c:pt>
                <c:pt idx="48">
                  <c:v>8.2221499999999992</c:v>
                </c:pt>
                <c:pt idx="49">
                  <c:v>7.9203999999999999</c:v>
                </c:pt>
                <c:pt idx="50">
                  <c:v>7.8402099999999999</c:v>
                </c:pt>
                <c:pt idx="51">
                  <c:v>8.0783199999999997</c:v>
                </c:pt>
                <c:pt idx="52">
                  <c:v>8.3376599999999996</c:v>
                </c:pt>
                <c:pt idx="53">
                  <c:v>8.3266600000000004</c:v>
                </c:pt>
                <c:pt idx="54">
                  <c:v>8.0952999999999999</c:v>
                </c:pt>
                <c:pt idx="55">
                  <c:v>7.82315</c:v>
                </c:pt>
                <c:pt idx="56">
                  <c:v>7.8787700000000003</c:v>
                </c:pt>
                <c:pt idx="57">
                  <c:v>8.5538500000000006</c:v>
                </c:pt>
                <c:pt idx="58">
                  <c:v>9.7119099999999996</c:v>
                </c:pt>
                <c:pt idx="59">
                  <c:v>11.093999999999999</c:v>
                </c:pt>
                <c:pt idx="60">
                  <c:v>12.3462</c:v>
                </c:pt>
                <c:pt idx="61">
                  <c:v>13.1279</c:v>
                </c:pt>
                <c:pt idx="62">
                  <c:v>13.234500000000001</c:v>
                </c:pt>
                <c:pt idx="63">
                  <c:v>12.613200000000001</c:v>
                </c:pt>
                <c:pt idx="64">
                  <c:v>11.5725</c:v>
                </c:pt>
                <c:pt idx="65">
                  <c:v>10.4716</c:v>
                </c:pt>
                <c:pt idx="66">
                  <c:v>9.7739200000000004</c:v>
                </c:pt>
                <c:pt idx="67">
                  <c:v>10.5421</c:v>
                </c:pt>
                <c:pt idx="68">
                  <c:v>12.0634</c:v>
                </c:pt>
                <c:pt idx="69">
                  <c:v>13.8239</c:v>
                </c:pt>
                <c:pt idx="70">
                  <c:v>15.697699999999999</c:v>
                </c:pt>
                <c:pt idx="71">
                  <c:v>17.631499999999999</c:v>
                </c:pt>
                <c:pt idx="72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92-4187-BBD2-BEB6D15D1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617695"/>
        <c:axId val="227619359"/>
      </c:lineChart>
      <c:catAx>
        <c:axId val="227617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距离（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27619359"/>
        <c:crossesAt val="-60"/>
        <c:auto val="1"/>
        <c:lblAlgn val="ctr"/>
        <c:lblOffset val="100"/>
        <c:tickLblSkip val="8"/>
        <c:tickMarkSkip val="8"/>
        <c:noMultiLvlLbl val="0"/>
      </c:catAx>
      <c:valAx>
        <c:axId val="227619359"/>
        <c:scaling>
          <c:orientation val="minMax"/>
          <c:max val="35"/>
          <c:min val="-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高度（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2761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311775001381482"/>
          <c:y val="1.7175484989590047E-2"/>
          <c:w val="0.85372993878022918"/>
          <c:h val="0.145706279131142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ysClr val="windowText" lastClr="000000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94819737613209E-2"/>
          <c:y val="3.9586139240631868E-2"/>
          <c:w val="0.88345066839585884"/>
          <c:h val="0.80038175682731583"/>
        </c:manualLayout>
      </c:layout>
      <c:lineChart>
        <c:grouping val="standard"/>
        <c:varyColors val="0"/>
        <c:ser>
          <c:idx val="1"/>
          <c:order val="0"/>
          <c:tx>
            <c:strRef>
              <c:f>图8!$C$2</c:f>
              <c:strCache>
                <c:ptCount val="1"/>
                <c:pt idx="0">
                  <c:v>Actual path</c:v>
                </c:pt>
              </c:strCache>
            </c:strRef>
          </c:tx>
          <c:spPr>
            <a:ln w="28575" cap="rnd">
              <a:solidFill>
                <a:srgbClr val="7572B5"/>
              </a:solidFill>
              <a:round/>
            </a:ln>
            <a:effectLst/>
          </c:spPr>
          <c:marker>
            <c:symbol val="none"/>
          </c:marker>
          <c:cat>
            <c:numRef>
              <c:f>图8!$B$3:$B$75</c:f>
              <c:numCache>
                <c:formatCode>General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图8!$C$3:$C$75</c:f>
              <c:numCache>
                <c:formatCode>General</c:formatCode>
                <c:ptCount val="73"/>
                <c:pt idx="0">
                  <c:v>16.2</c:v>
                </c:pt>
                <c:pt idx="1">
                  <c:v>16.18994431578869</c:v>
                </c:pt>
                <c:pt idx="2">
                  <c:v>16.23</c:v>
                </c:pt>
                <c:pt idx="3">
                  <c:v>16.438526330591301</c:v>
                </c:pt>
                <c:pt idx="4">
                  <c:v>16.77265954533005</c:v>
                </c:pt>
                <c:pt idx="5">
                  <c:v>16.87</c:v>
                </c:pt>
                <c:pt idx="6">
                  <c:v>17.088302024697409</c:v>
                </c:pt>
                <c:pt idx="7">
                  <c:v>17.3</c:v>
                </c:pt>
                <c:pt idx="8">
                  <c:v>17.50930536380227</c:v>
                </c:pt>
                <c:pt idx="9">
                  <c:v>17.81924715610285</c:v>
                </c:pt>
                <c:pt idx="10">
                  <c:v>17.976022409316101</c:v>
                </c:pt>
                <c:pt idx="11">
                  <c:v>18.167629384157461</c:v>
                </c:pt>
                <c:pt idx="12">
                  <c:v>18.381372409495501</c:v>
                </c:pt>
                <c:pt idx="13">
                  <c:v>18.510000000000002</c:v>
                </c:pt>
                <c:pt idx="14">
                  <c:v>18.694881042171922</c:v>
                </c:pt>
                <c:pt idx="15">
                  <c:v>18.820132298207739</c:v>
                </c:pt>
                <c:pt idx="16">
                  <c:v>19.182337629892189</c:v>
                </c:pt>
                <c:pt idx="17">
                  <c:v>19.395120829470329</c:v>
                </c:pt>
                <c:pt idx="18">
                  <c:v>19.709214521701849</c:v>
                </c:pt>
                <c:pt idx="19">
                  <c:v>19.985029120342169</c:v>
                </c:pt>
                <c:pt idx="20">
                  <c:v>20.36939951356478</c:v>
                </c:pt>
                <c:pt idx="21">
                  <c:v>20.813443634166571</c:v>
                </c:pt>
                <c:pt idx="22">
                  <c:v>21.185240874981801</c:v>
                </c:pt>
                <c:pt idx="23">
                  <c:v>21.51545779924508</c:v>
                </c:pt>
                <c:pt idx="24">
                  <c:v>21.9382837573126</c:v>
                </c:pt>
                <c:pt idx="25">
                  <c:v>22.35399581240268</c:v>
                </c:pt>
                <c:pt idx="26">
                  <c:v>22.800055267935761</c:v>
                </c:pt>
                <c:pt idx="27">
                  <c:v>23.07861966713304</c:v>
                </c:pt>
                <c:pt idx="28">
                  <c:v>23.222124073160721</c:v>
                </c:pt>
                <c:pt idx="29">
                  <c:v>23.26</c:v>
                </c:pt>
                <c:pt idx="30">
                  <c:v>23.118694100136729</c:v>
                </c:pt>
                <c:pt idx="31">
                  <c:v>22.865061108829561</c:v>
                </c:pt>
                <c:pt idx="32">
                  <c:v>22.50125603280393</c:v>
                </c:pt>
                <c:pt idx="33">
                  <c:v>22.081010880983051</c:v>
                </c:pt>
                <c:pt idx="34">
                  <c:v>21.685041237236799</c:v>
                </c:pt>
                <c:pt idx="35">
                  <c:v>21.264957590363331</c:v>
                </c:pt>
                <c:pt idx="36">
                  <c:v>20.913911979364531</c:v>
                </c:pt>
                <c:pt idx="37">
                  <c:v>20.546891729057549</c:v>
                </c:pt>
                <c:pt idx="38">
                  <c:v>20.15231743913272</c:v>
                </c:pt>
                <c:pt idx="39">
                  <c:v>19.799122285242859</c:v>
                </c:pt>
                <c:pt idx="40">
                  <c:v>19.514445110632909</c:v>
                </c:pt>
                <c:pt idx="41">
                  <c:v>19.327604185096419</c:v>
                </c:pt>
                <c:pt idx="42">
                  <c:v>19.208045162869649</c:v>
                </c:pt>
                <c:pt idx="43">
                  <c:v>19.2</c:v>
                </c:pt>
                <c:pt idx="44">
                  <c:v>19.163088389471781</c:v>
                </c:pt>
                <c:pt idx="45">
                  <c:v>19.327891389974219</c:v>
                </c:pt>
                <c:pt idx="46">
                  <c:v>19.56886483268708</c:v>
                </c:pt>
                <c:pt idx="47">
                  <c:v>19.96802621912861</c:v>
                </c:pt>
                <c:pt idx="48">
                  <c:v>20.41691357784077</c:v>
                </c:pt>
                <c:pt idx="49">
                  <c:v>21.054406819932488</c:v>
                </c:pt>
                <c:pt idx="50">
                  <c:v>21.56018265494739</c:v>
                </c:pt>
                <c:pt idx="51">
                  <c:v>22.046770650926891</c:v>
                </c:pt>
                <c:pt idx="52">
                  <c:v>22.412964446331369</c:v>
                </c:pt>
                <c:pt idx="53">
                  <c:v>22.760791875890021</c:v>
                </c:pt>
                <c:pt idx="54">
                  <c:v>23.213427008272301</c:v>
                </c:pt>
                <c:pt idx="55">
                  <c:v>23.673198019802019</c:v>
                </c:pt>
                <c:pt idx="56">
                  <c:v>24.00158638949922</c:v>
                </c:pt>
                <c:pt idx="57">
                  <c:v>24.216525702151539</c:v>
                </c:pt>
                <c:pt idx="58">
                  <c:v>24.302311240474591</c:v>
                </c:pt>
                <c:pt idx="59">
                  <c:v>24.151286518413581</c:v>
                </c:pt>
                <c:pt idx="60">
                  <c:v>24</c:v>
                </c:pt>
                <c:pt idx="61">
                  <c:v>23.85</c:v>
                </c:pt>
                <c:pt idx="62">
                  <c:v>23.54435048117206</c:v>
                </c:pt>
                <c:pt idx="63">
                  <c:v>23.144007055849851</c:v>
                </c:pt>
                <c:pt idx="64">
                  <c:v>22.791726575079771</c:v>
                </c:pt>
                <c:pt idx="65">
                  <c:v>22.423245392214501</c:v>
                </c:pt>
                <c:pt idx="66">
                  <c:v>22.00703436627866</c:v>
                </c:pt>
                <c:pt idx="67">
                  <c:v>21.6873983224318</c:v>
                </c:pt>
                <c:pt idx="68">
                  <c:v>21.364055877997689</c:v>
                </c:pt>
                <c:pt idx="69">
                  <c:v>20.91885697751945</c:v>
                </c:pt>
                <c:pt idx="70">
                  <c:v>20.414459886974011</c:v>
                </c:pt>
                <c:pt idx="71">
                  <c:v>20.03557895340829</c:v>
                </c:pt>
                <c:pt idx="72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C5-4239-B98B-097FC3604C28}"/>
            </c:ext>
          </c:extLst>
        </c:ser>
        <c:ser>
          <c:idx val="2"/>
          <c:order val="1"/>
          <c:tx>
            <c:strRef>
              <c:f>图8!$D$2</c:f>
              <c:strCache>
                <c:ptCount val="1"/>
                <c:pt idx="0">
                  <c:v>Fundamental path</c:v>
                </c:pt>
              </c:strCache>
            </c:strRef>
          </c:tx>
          <c:spPr>
            <a:ln w="28575" cap="rnd">
              <a:solidFill>
                <a:srgbClr val="CBB47B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图8!$B$3:$B$75</c:f>
              <c:numCache>
                <c:formatCode>General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图8!$D$3:$D$75</c:f>
              <c:numCache>
                <c:formatCode>0.00</c:formatCode>
                <c:ptCount val="73"/>
                <c:pt idx="0">
                  <c:v>16.2</c:v>
                </c:pt>
                <c:pt idx="1">
                  <c:v>16.247222222222309</c:v>
                </c:pt>
                <c:pt idx="2">
                  <c:v>16.294444444444618</c:v>
                </c:pt>
                <c:pt idx="3">
                  <c:v>16.341666666666928</c:v>
                </c:pt>
                <c:pt idx="4">
                  <c:v>16.388888888889237</c:v>
                </c:pt>
                <c:pt idx="5">
                  <c:v>16.436111111111547</c:v>
                </c:pt>
                <c:pt idx="6">
                  <c:v>16.483333333333857</c:v>
                </c:pt>
                <c:pt idx="7">
                  <c:v>16.530555555556166</c:v>
                </c:pt>
                <c:pt idx="8">
                  <c:v>16.577777777778476</c:v>
                </c:pt>
                <c:pt idx="9">
                  <c:v>16.625000000000785</c:v>
                </c:pt>
                <c:pt idx="10">
                  <c:v>16.672222222223095</c:v>
                </c:pt>
                <c:pt idx="11">
                  <c:v>16.719444444445404</c:v>
                </c:pt>
                <c:pt idx="12">
                  <c:v>16.766666666667714</c:v>
                </c:pt>
                <c:pt idx="13">
                  <c:v>16.813888888890023</c:v>
                </c:pt>
                <c:pt idx="14">
                  <c:v>16.861111111112333</c:v>
                </c:pt>
                <c:pt idx="15">
                  <c:v>16.908333333334642</c:v>
                </c:pt>
                <c:pt idx="16">
                  <c:v>16.955555555556952</c:v>
                </c:pt>
                <c:pt idx="17">
                  <c:v>17.002777777779261</c:v>
                </c:pt>
                <c:pt idx="18">
                  <c:v>17.050000000001571</c:v>
                </c:pt>
                <c:pt idx="19">
                  <c:v>17.097222222223881</c:v>
                </c:pt>
                <c:pt idx="20">
                  <c:v>17.14444444444619</c:v>
                </c:pt>
                <c:pt idx="21">
                  <c:v>17.1916666666685</c:v>
                </c:pt>
                <c:pt idx="22">
                  <c:v>17.238888888890809</c:v>
                </c:pt>
                <c:pt idx="23">
                  <c:v>17.286111111113119</c:v>
                </c:pt>
                <c:pt idx="24">
                  <c:v>17.333333333335428</c:v>
                </c:pt>
                <c:pt idx="25">
                  <c:v>17.380555555557738</c:v>
                </c:pt>
                <c:pt idx="26">
                  <c:v>17.427777777780047</c:v>
                </c:pt>
                <c:pt idx="27">
                  <c:v>17.475000000002357</c:v>
                </c:pt>
                <c:pt idx="28">
                  <c:v>17.522222222224666</c:v>
                </c:pt>
                <c:pt idx="29">
                  <c:v>17.569444444446976</c:v>
                </c:pt>
                <c:pt idx="30">
                  <c:v>17.616666666669285</c:v>
                </c:pt>
                <c:pt idx="31">
                  <c:v>17.663888888891595</c:v>
                </c:pt>
                <c:pt idx="32">
                  <c:v>17.711111111113905</c:v>
                </c:pt>
                <c:pt idx="33">
                  <c:v>17.758333333336214</c:v>
                </c:pt>
                <c:pt idx="34">
                  <c:v>17.805555555558524</c:v>
                </c:pt>
                <c:pt idx="35">
                  <c:v>17.852777777780833</c:v>
                </c:pt>
                <c:pt idx="36">
                  <c:v>17.900000000003143</c:v>
                </c:pt>
                <c:pt idx="37">
                  <c:v>17.947222222225452</c:v>
                </c:pt>
                <c:pt idx="38">
                  <c:v>17.994444444447762</c:v>
                </c:pt>
                <c:pt idx="39">
                  <c:v>18.041666666670071</c:v>
                </c:pt>
                <c:pt idx="40">
                  <c:v>18.088888888892381</c:v>
                </c:pt>
                <c:pt idx="41">
                  <c:v>18.13611111111469</c:v>
                </c:pt>
                <c:pt idx="42">
                  <c:v>18.183333333337</c:v>
                </c:pt>
                <c:pt idx="43">
                  <c:v>18.23055555555931</c:v>
                </c:pt>
                <c:pt idx="44">
                  <c:v>18.277777777781619</c:v>
                </c:pt>
                <c:pt idx="45">
                  <c:v>18.325000000003929</c:v>
                </c:pt>
                <c:pt idx="46">
                  <c:v>18.372222222226238</c:v>
                </c:pt>
                <c:pt idx="47">
                  <c:v>18.419444444448548</c:v>
                </c:pt>
                <c:pt idx="48">
                  <c:v>18.466666666670857</c:v>
                </c:pt>
                <c:pt idx="49">
                  <c:v>18.513888888893167</c:v>
                </c:pt>
                <c:pt idx="50">
                  <c:v>18.561111111115476</c:v>
                </c:pt>
                <c:pt idx="51">
                  <c:v>18.608333333337786</c:v>
                </c:pt>
                <c:pt idx="52">
                  <c:v>18.655555555560095</c:v>
                </c:pt>
                <c:pt idx="53">
                  <c:v>18.702777777782405</c:v>
                </c:pt>
                <c:pt idx="54">
                  <c:v>18.750000000004714</c:v>
                </c:pt>
                <c:pt idx="55">
                  <c:v>18.797222222227024</c:v>
                </c:pt>
                <c:pt idx="56">
                  <c:v>18.844444444449334</c:v>
                </c:pt>
                <c:pt idx="57">
                  <c:v>18.891666666671643</c:v>
                </c:pt>
                <c:pt idx="58">
                  <c:v>18.938888888893953</c:v>
                </c:pt>
                <c:pt idx="59">
                  <c:v>18.986111111116262</c:v>
                </c:pt>
                <c:pt idx="60">
                  <c:v>19.033333333338572</c:v>
                </c:pt>
                <c:pt idx="61">
                  <c:v>19.080555555560881</c:v>
                </c:pt>
                <c:pt idx="62">
                  <c:v>19.127777777783191</c:v>
                </c:pt>
                <c:pt idx="63">
                  <c:v>19.1750000000055</c:v>
                </c:pt>
                <c:pt idx="64">
                  <c:v>19.22222222222781</c:v>
                </c:pt>
                <c:pt idx="65">
                  <c:v>19.269444444450119</c:v>
                </c:pt>
                <c:pt idx="66">
                  <c:v>19.316666666672429</c:v>
                </c:pt>
                <c:pt idx="67">
                  <c:v>19.363888888894738</c:v>
                </c:pt>
                <c:pt idx="68">
                  <c:v>19.411111111117048</c:v>
                </c:pt>
                <c:pt idx="69">
                  <c:v>19.458333333339358</c:v>
                </c:pt>
                <c:pt idx="70">
                  <c:v>19.505555555561667</c:v>
                </c:pt>
                <c:pt idx="71">
                  <c:v>19.552777777783977</c:v>
                </c:pt>
                <c:pt idx="72">
                  <c:v>19.600000000006286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C5-4239-B98B-097FC3604C28}"/>
            </c:ext>
          </c:extLst>
        </c:ser>
        <c:ser>
          <c:idx val="6"/>
          <c:order val="2"/>
          <c:tx>
            <c:strRef>
              <c:f>图8!$E$1</c:f>
              <c:strCache>
                <c:ptCount val="1"/>
                <c:pt idx="0">
                  <c:v>Fuel-efficient path (MR-FCE)</c:v>
                </c:pt>
              </c:strCache>
            </c:strRef>
          </c:tx>
          <c:spPr>
            <a:ln w="28575" cap="rnd">
              <a:solidFill>
                <a:srgbClr val="59A95A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图8!$B$3:$B$75</c:f>
              <c:numCache>
                <c:formatCode>General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图8!$J$3:$J$75</c:f>
              <c:numCache>
                <c:formatCode>General</c:formatCode>
                <c:ptCount val="73"/>
                <c:pt idx="0">
                  <c:v>16.2</c:v>
                </c:pt>
                <c:pt idx="1">
                  <c:v>14.302899999999999</c:v>
                </c:pt>
                <c:pt idx="2">
                  <c:v>12.444800000000001</c:v>
                </c:pt>
                <c:pt idx="3">
                  <c:v>10.6402</c:v>
                </c:pt>
                <c:pt idx="4">
                  <c:v>8.9112399999999994</c:v>
                </c:pt>
                <c:pt idx="5">
                  <c:v>7.2862299999999998</c:v>
                </c:pt>
                <c:pt idx="6">
                  <c:v>5.8813399999999998</c:v>
                </c:pt>
                <c:pt idx="7">
                  <c:v>4.8945400000000001</c:v>
                </c:pt>
                <c:pt idx="8">
                  <c:v>4.3396800000000004</c:v>
                </c:pt>
                <c:pt idx="9">
                  <c:v>4.2114799999999999</c:v>
                </c:pt>
                <c:pt idx="10">
                  <c:v>3.9630800000000002</c:v>
                </c:pt>
                <c:pt idx="11">
                  <c:v>3.0945900000000002</c:v>
                </c:pt>
                <c:pt idx="12">
                  <c:v>1.8998900000000001</c:v>
                </c:pt>
                <c:pt idx="13">
                  <c:v>0.85293300000000005</c:v>
                </c:pt>
                <c:pt idx="14">
                  <c:v>0.33293099999999998</c:v>
                </c:pt>
                <c:pt idx="15">
                  <c:v>0.52685400000000004</c:v>
                </c:pt>
                <c:pt idx="16">
                  <c:v>0.96658500000000003</c:v>
                </c:pt>
                <c:pt idx="17">
                  <c:v>1.2035800000000001</c:v>
                </c:pt>
                <c:pt idx="18">
                  <c:v>1.48342</c:v>
                </c:pt>
                <c:pt idx="19">
                  <c:v>2.0481199999999999</c:v>
                </c:pt>
                <c:pt idx="20">
                  <c:v>2.47492</c:v>
                </c:pt>
                <c:pt idx="21">
                  <c:v>2.3900999999999999</c:v>
                </c:pt>
                <c:pt idx="22">
                  <c:v>2.22784</c:v>
                </c:pt>
                <c:pt idx="23">
                  <c:v>2.3952599999999999</c:v>
                </c:pt>
                <c:pt idx="24">
                  <c:v>2.4498899999999999</c:v>
                </c:pt>
                <c:pt idx="25">
                  <c:v>1.97949</c:v>
                </c:pt>
                <c:pt idx="26">
                  <c:v>1.4636</c:v>
                </c:pt>
                <c:pt idx="27">
                  <c:v>1.4515499999999999</c:v>
                </c:pt>
                <c:pt idx="28">
                  <c:v>1.9498200000000001</c:v>
                </c:pt>
                <c:pt idx="29">
                  <c:v>2.7436500000000001</c:v>
                </c:pt>
                <c:pt idx="30">
                  <c:v>3.2694000000000001</c:v>
                </c:pt>
                <c:pt idx="31">
                  <c:v>3.1564800000000002</c:v>
                </c:pt>
                <c:pt idx="32">
                  <c:v>3.0745900000000002</c:v>
                </c:pt>
                <c:pt idx="33">
                  <c:v>3.7015899999999999</c:v>
                </c:pt>
                <c:pt idx="34">
                  <c:v>4.8249700000000004</c:v>
                </c:pt>
                <c:pt idx="35">
                  <c:v>5.9738699999999998</c:v>
                </c:pt>
                <c:pt idx="36">
                  <c:v>6.4925600000000001</c:v>
                </c:pt>
                <c:pt idx="37">
                  <c:v>5.9226900000000002</c:v>
                </c:pt>
                <c:pt idx="38">
                  <c:v>4.6999899999999997</c:v>
                </c:pt>
                <c:pt idx="39">
                  <c:v>3.4457800000000001</c:v>
                </c:pt>
                <c:pt idx="40">
                  <c:v>2.6997900000000001</c:v>
                </c:pt>
                <c:pt idx="41">
                  <c:v>2.7361200000000001</c:v>
                </c:pt>
                <c:pt idx="42">
                  <c:v>2.9216600000000001</c:v>
                </c:pt>
                <c:pt idx="43">
                  <c:v>2.69157</c:v>
                </c:pt>
                <c:pt idx="44">
                  <c:v>2.4923099999999998</c:v>
                </c:pt>
                <c:pt idx="45">
                  <c:v>2.75726</c:v>
                </c:pt>
                <c:pt idx="46">
                  <c:v>3.0326399999999998</c:v>
                </c:pt>
                <c:pt idx="47">
                  <c:v>2.8927499999999999</c:v>
                </c:pt>
                <c:pt idx="48">
                  <c:v>2.7423700000000002</c:v>
                </c:pt>
                <c:pt idx="49">
                  <c:v>2.9361100000000002</c:v>
                </c:pt>
                <c:pt idx="50">
                  <c:v>2.9719199999999999</c:v>
                </c:pt>
                <c:pt idx="51">
                  <c:v>2.3654199999999999</c:v>
                </c:pt>
                <c:pt idx="52">
                  <c:v>1.3861699999999999</c:v>
                </c:pt>
                <c:pt idx="53">
                  <c:v>0.48180499999999998</c:v>
                </c:pt>
                <c:pt idx="54">
                  <c:v>0.13287099999999999</c:v>
                </c:pt>
                <c:pt idx="55">
                  <c:v>0.65016600000000002</c:v>
                </c:pt>
                <c:pt idx="56">
                  <c:v>1.7140500000000001</c:v>
                </c:pt>
                <c:pt idx="57">
                  <c:v>2.8439000000000001</c:v>
                </c:pt>
                <c:pt idx="58">
                  <c:v>3.4856799999999999</c:v>
                </c:pt>
                <c:pt idx="59">
                  <c:v>3.3481399999999999</c:v>
                </c:pt>
                <c:pt idx="60">
                  <c:v>3.1252200000000001</c:v>
                </c:pt>
                <c:pt idx="61">
                  <c:v>3.5165600000000001</c:v>
                </c:pt>
                <c:pt idx="62">
                  <c:v>4.4763799999999998</c:v>
                </c:pt>
                <c:pt idx="63">
                  <c:v>5.7474400000000001</c:v>
                </c:pt>
                <c:pt idx="64">
                  <c:v>6.9183399999999997</c:v>
                </c:pt>
                <c:pt idx="65">
                  <c:v>7.7159500000000003</c:v>
                </c:pt>
                <c:pt idx="66">
                  <c:v>8.5025899999999996</c:v>
                </c:pt>
                <c:pt idx="67">
                  <c:v>9.9148899999999998</c:v>
                </c:pt>
                <c:pt idx="68">
                  <c:v>11.7136</c:v>
                </c:pt>
                <c:pt idx="69">
                  <c:v>13.635400000000001</c:v>
                </c:pt>
                <c:pt idx="70">
                  <c:v>15.6081</c:v>
                </c:pt>
                <c:pt idx="71">
                  <c:v>17.6008</c:v>
                </c:pt>
                <c:pt idx="72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C5-4239-B98B-097FC3604C28}"/>
            </c:ext>
          </c:extLst>
        </c:ser>
        <c:ser>
          <c:idx val="3"/>
          <c:order val="3"/>
          <c:tx>
            <c:strRef>
              <c:f>图8!$F$1</c:f>
              <c:strCache>
                <c:ptCount val="1"/>
                <c:pt idx="0">
                  <c:v>Fuel-efficient path (RF-FCE)</c:v>
                </c:pt>
              </c:strCache>
            </c:strRef>
          </c:tx>
          <c:spPr>
            <a:ln w="28575" cap="rnd">
              <a:solidFill>
                <a:srgbClr val="4778B9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图8!$B$3:$B$75</c:f>
              <c:numCache>
                <c:formatCode>General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图8!$K$3:$K$75</c:f>
              <c:numCache>
                <c:formatCode>General</c:formatCode>
                <c:ptCount val="73"/>
                <c:pt idx="0">
                  <c:v>16.2</c:v>
                </c:pt>
                <c:pt idx="1">
                  <c:v>14.2014</c:v>
                </c:pt>
                <c:pt idx="2">
                  <c:v>12.214399999999999</c:v>
                </c:pt>
                <c:pt idx="3">
                  <c:v>10.262700000000001</c:v>
                </c:pt>
                <c:pt idx="4">
                  <c:v>8.4004300000000001</c:v>
                </c:pt>
                <c:pt idx="5">
                  <c:v>6.7530099999999997</c:v>
                </c:pt>
                <c:pt idx="6">
                  <c:v>5.8852000000000002</c:v>
                </c:pt>
                <c:pt idx="7">
                  <c:v>6.3327799999999996</c:v>
                </c:pt>
                <c:pt idx="8">
                  <c:v>6.94841</c:v>
                </c:pt>
                <c:pt idx="9">
                  <c:v>7.0601099999999999</c:v>
                </c:pt>
                <c:pt idx="10">
                  <c:v>6.6008500000000003</c:v>
                </c:pt>
                <c:pt idx="11">
                  <c:v>5.6555200000000001</c:v>
                </c:pt>
                <c:pt idx="12">
                  <c:v>4.4386900000000002</c:v>
                </c:pt>
                <c:pt idx="13">
                  <c:v>3.2317800000000001</c:v>
                </c:pt>
                <c:pt idx="14">
                  <c:v>2.43302</c:v>
                </c:pt>
                <c:pt idx="15">
                  <c:v>2.2687200000000001</c:v>
                </c:pt>
                <c:pt idx="16">
                  <c:v>2.1916199999999999</c:v>
                </c:pt>
                <c:pt idx="17">
                  <c:v>1.7176400000000001</c:v>
                </c:pt>
                <c:pt idx="18">
                  <c:v>1.3245899999999999</c:v>
                </c:pt>
                <c:pt idx="19">
                  <c:v>1.5531999999999999</c:v>
                </c:pt>
                <c:pt idx="20">
                  <c:v>2.29982</c:v>
                </c:pt>
                <c:pt idx="21">
                  <c:v>3.23766</c:v>
                </c:pt>
                <c:pt idx="22">
                  <c:v>3.7779699999999998</c:v>
                </c:pt>
                <c:pt idx="23">
                  <c:v>3.52155</c:v>
                </c:pt>
                <c:pt idx="24">
                  <c:v>3.0249899999999998</c:v>
                </c:pt>
                <c:pt idx="25">
                  <c:v>2.9064899999999998</c:v>
                </c:pt>
                <c:pt idx="26">
                  <c:v>3.1608700000000001</c:v>
                </c:pt>
                <c:pt idx="27">
                  <c:v>3.62778</c:v>
                </c:pt>
                <c:pt idx="28">
                  <c:v>4.1167699999999998</c:v>
                </c:pt>
                <c:pt idx="29">
                  <c:v>4.4594899999999997</c:v>
                </c:pt>
                <c:pt idx="30">
                  <c:v>4.5971299999999999</c:v>
                </c:pt>
                <c:pt idx="31">
                  <c:v>4.5976499999999998</c:v>
                </c:pt>
                <c:pt idx="32">
                  <c:v>4.9080199999999996</c:v>
                </c:pt>
                <c:pt idx="33">
                  <c:v>5.8881300000000003</c:v>
                </c:pt>
                <c:pt idx="34">
                  <c:v>7.2391300000000003</c:v>
                </c:pt>
                <c:pt idx="35">
                  <c:v>8.5041499999999992</c:v>
                </c:pt>
                <c:pt idx="36">
                  <c:v>9.2114600000000006</c:v>
                </c:pt>
                <c:pt idx="37">
                  <c:v>9.1229099999999992</c:v>
                </c:pt>
                <c:pt idx="38">
                  <c:v>8.8781599999999994</c:v>
                </c:pt>
                <c:pt idx="39">
                  <c:v>9.0556400000000004</c:v>
                </c:pt>
                <c:pt idx="40">
                  <c:v>9.2608599999999992</c:v>
                </c:pt>
                <c:pt idx="41">
                  <c:v>9.0515799999999995</c:v>
                </c:pt>
                <c:pt idx="42">
                  <c:v>8.63063</c:v>
                </c:pt>
                <c:pt idx="43">
                  <c:v>8.3169699999999995</c:v>
                </c:pt>
                <c:pt idx="44">
                  <c:v>8.3139400000000006</c:v>
                </c:pt>
                <c:pt idx="45">
                  <c:v>8.6661699999999993</c:v>
                </c:pt>
                <c:pt idx="46">
                  <c:v>8.9360599999999994</c:v>
                </c:pt>
                <c:pt idx="47">
                  <c:v>8.7292100000000001</c:v>
                </c:pt>
                <c:pt idx="48">
                  <c:v>8.20824</c:v>
                </c:pt>
                <c:pt idx="49">
                  <c:v>7.6863999999999999</c:v>
                </c:pt>
                <c:pt idx="50">
                  <c:v>7.5640900000000002</c:v>
                </c:pt>
                <c:pt idx="51">
                  <c:v>8.0485799999999994</c:v>
                </c:pt>
                <c:pt idx="52">
                  <c:v>8.5777400000000004</c:v>
                </c:pt>
                <c:pt idx="53">
                  <c:v>8.5897400000000008</c:v>
                </c:pt>
                <c:pt idx="54">
                  <c:v>8.1499900000000007</c:v>
                </c:pt>
                <c:pt idx="55">
                  <c:v>7.5511100000000004</c:v>
                </c:pt>
                <c:pt idx="56">
                  <c:v>7.3941600000000003</c:v>
                </c:pt>
                <c:pt idx="57">
                  <c:v>8.1465200000000006</c:v>
                </c:pt>
                <c:pt idx="58">
                  <c:v>9.5495000000000001</c:v>
                </c:pt>
                <c:pt idx="59">
                  <c:v>11.1897</c:v>
                </c:pt>
                <c:pt idx="60">
                  <c:v>12.6813</c:v>
                </c:pt>
                <c:pt idx="61">
                  <c:v>13.657299999999999</c:v>
                </c:pt>
                <c:pt idx="62">
                  <c:v>13.801299999999999</c:v>
                </c:pt>
                <c:pt idx="63">
                  <c:v>12.976000000000001</c:v>
                </c:pt>
                <c:pt idx="64">
                  <c:v>11.5983</c:v>
                </c:pt>
                <c:pt idx="65">
                  <c:v>10.183400000000001</c:v>
                </c:pt>
                <c:pt idx="66">
                  <c:v>9.3658900000000003</c:v>
                </c:pt>
                <c:pt idx="67">
                  <c:v>10.172000000000001</c:v>
                </c:pt>
                <c:pt idx="68">
                  <c:v>11.8063</c:v>
                </c:pt>
                <c:pt idx="69">
                  <c:v>13.664300000000001</c:v>
                </c:pt>
                <c:pt idx="70">
                  <c:v>15.614699999999999</c:v>
                </c:pt>
                <c:pt idx="71">
                  <c:v>17.601500000000001</c:v>
                </c:pt>
                <c:pt idx="72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C5-4239-B98B-097FC3604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617695"/>
        <c:axId val="227619359"/>
      </c:lineChart>
      <c:catAx>
        <c:axId val="227617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en-US" altLang="zh-CN"/>
                  <a:t>Distance (m)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27619359"/>
        <c:crossesAt val="-60"/>
        <c:auto val="1"/>
        <c:lblAlgn val="ctr"/>
        <c:lblOffset val="100"/>
        <c:tickLblSkip val="8"/>
        <c:tickMarkSkip val="8"/>
        <c:noMultiLvlLbl val="0"/>
      </c:catAx>
      <c:valAx>
        <c:axId val="227619359"/>
        <c:scaling>
          <c:orientation val="minMax"/>
          <c:max val="35"/>
          <c:min val="-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en-US" altLang="zh-CN"/>
                  <a:t>Altitude</a:t>
                </a:r>
                <a:r>
                  <a:rPr lang="zh-CN" altLang="en-US" baseline="0"/>
                  <a:t> </a:t>
                </a:r>
                <a:r>
                  <a:rPr lang="en-US" altLang="zh-CN" baseline="0"/>
                  <a:t>(</a:t>
                </a:r>
                <a:r>
                  <a:rPr lang="en-US" altLang="zh-CN"/>
                  <a:t>m)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2761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311775001381482"/>
          <c:y val="1.7175484989590047E-2"/>
          <c:w val="0.85372993878022918"/>
          <c:h val="0.145706279131142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ysClr val="windowText" lastClr="000000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48201566951564"/>
          <c:y val="3.5277777777777776E-2"/>
          <c:w val="0.83791435185185181"/>
          <c:h val="0.78960198412698412"/>
        </c:manualLayout>
      </c:layout>
      <c:lineChart>
        <c:grouping val="standard"/>
        <c:varyColors val="0"/>
        <c:ser>
          <c:idx val="0"/>
          <c:order val="0"/>
          <c:tx>
            <c:strRef>
              <c:f>图7!$M$15</c:f>
              <c:strCache>
                <c:ptCount val="1"/>
                <c:pt idx="0">
                  <c:v>朗逸-回归</c:v>
                </c:pt>
              </c:strCache>
            </c:strRef>
          </c:tx>
          <c:spPr>
            <a:ln w="28575" cap="rnd">
              <a:solidFill>
                <a:srgbClr val="01569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15699"/>
              </a:solidFill>
              <a:ln w="9525">
                <a:noFill/>
              </a:ln>
              <a:effectLst/>
            </c:spPr>
          </c:marker>
          <c:cat>
            <c:numRef>
              <c:f>图7!$L$16:$L$51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cat>
          <c:val>
            <c:numRef>
              <c:f>图7!$M$16:$M$51</c:f>
              <c:numCache>
                <c:formatCode>General</c:formatCode>
                <c:ptCount val="36"/>
                <c:pt idx="0">
                  <c:v>1</c:v>
                </c:pt>
                <c:pt idx="1">
                  <c:v>0.99</c:v>
                </c:pt>
                <c:pt idx="2">
                  <c:v>0.98899999999999999</c:v>
                </c:pt>
                <c:pt idx="3">
                  <c:v>0.98399999999999999</c:v>
                </c:pt>
                <c:pt idx="4">
                  <c:v>0.98299999999999998</c:v>
                </c:pt>
                <c:pt idx="5">
                  <c:v>0.98299999999999998</c:v>
                </c:pt>
                <c:pt idx="6">
                  <c:v>0.98099999999999998</c:v>
                </c:pt>
                <c:pt idx="7">
                  <c:v>0.98099999999999998</c:v>
                </c:pt>
                <c:pt idx="8">
                  <c:v>0.98099999999999998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0.97699999999999998</c:v>
                </c:pt>
                <c:pt idx="14">
                  <c:v>0.97599999999999998</c:v>
                </c:pt>
                <c:pt idx="15">
                  <c:v>0.97499999999999998</c:v>
                </c:pt>
                <c:pt idx="16">
                  <c:v>0.97399999999999998</c:v>
                </c:pt>
                <c:pt idx="17">
                  <c:v>0.97299999999999998</c:v>
                </c:pt>
                <c:pt idx="18">
                  <c:v>0.97299999999999998</c:v>
                </c:pt>
                <c:pt idx="19">
                  <c:v>0.97199999999999998</c:v>
                </c:pt>
                <c:pt idx="20">
                  <c:v>0.97</c:v>
                </c:pt>
                <c:pt idx="21">
                  <c:v>0.96899999999999997</c:v>
                </c:pt>
                <c:pt idx="22">
                  <c:v>0.96799999999999997</c:v>
                </c:pt>
                <c:pt idx="23">
                  <c:v>0.96699999999999997</c:v>
                </c:pt>
                <c:pt idx="24">
                  <c:v>0.96699999999999997</c:v>
                </c:pt>
                <c:pt idx="25">
                  <c:v>0.96499999999999997</c:v>
                </c:pt>
                <c:pt idx="26">
                  <c:v>0.96199999999999997</c:v>
                </c:pt>
                <c:pt idx="27">
                  <c:v>0.96199999999999997</c:v>
                </c:pt>
                <c:pt idx="28">
                  <c:v>0.96199999999999997</c:v>
                </c:pt>
                <c:pt idx="29">
                  <c:v>0.96199999999999997</c:v>
                </c:pt>
                <c:pt idx="30">
                  <c:v>0.96199999999999997</c:v>
                </c:pt>
                <c:pt idx="31">
                  <c:v>0.96199999999999997</c:v>
                </c:pt>
                <c:pt idx="32">
                  <c:v>0.96199999999999997</c:v>
                </c:pt>
                <c:pt idx="33">
                  <c:v>0.96199999999999997</c:v>
                </c:pt>
                <c:pt idx="34">
                  <c:v>0.96099999999999997</c:v>
                </c:pt>
                <c:pt idx="35">
                  <c:v>0.96099999999999997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C3-49DB-8ED2-D587E99571AB}"/>
            </c:ext>
          </c:extLst>
        </c:ser>
        <c:ser>
          <c:idx val="1"/>
          <c:order val="1"/>
          <c:tx>
            <c:strRef>
              <c:f>图7!$N$15</c:f>
              <c:strCache>
                <c:ptCount val="1"/>
                <c:pt idx="0">
                  <c:v>朗逸-随机</c:v>
                </c:pt>
              </c:strCache>
            </c:strRef>
          </c:tx>
          <c:spPr>
            <a:ln w="28575" cap="rnd">
              <a:solidFill>
                <a:srgbClr val="FAC00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AC00F"/>
              </a:solidFill>
              <a:ln w="9525">
                <a:noFill/>
              </a:ln>
              <a:effectLst/>
            </c:spPr>
          </c:marker>
          <c:cat>
            <c:numRef>
              <c:f>图7!$L$16:$L$51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cat>
          <c:val>
            <c:numRef>
              <c:f>图7!$N$16:$N$51</c:f>
              <c:numCache>
                <c:formatCode>General</c:formatCode>
                <c:ptCount val="36"/>
                <c:pt idx="0">
                  <c:v>0.92400000000000004</c:v>
                </c:pt>
                <c:pt idx="1">
                  <c:v>0.82</c:v>
                </c:pt>
                <c:pt idx="2">
                  <c:v>0.81399999999999995</c:v>
                </c:pt>
                <c:pt idx="3">
                  <c:v>0.81399999999999995</c:v>
                </c:pt>
                <c:pt idx="4">
                  <c:v>0.81299999999999994</c:v>
                </c:pt>
                <c:pt idx="5">
                  <c:v>0.81299999999999994</c:v>
                </c:pt>
                <c:pt idx="6">
                  <c:v>0.81299999999999994</c:v>
                </c:pt>
                <c:pt idx="7">
                  <c:v>0.81299999999999994</c:v>
                </c:pt>
                <c:pt idx="8">
                  <c:v>0.81299999999999994</c:v>
                </c:pt>
                <c:pt idx="9">
                  <c:v>0.81299999999999994</c:v>
                </c:pt>
                <c:pt idx="10">
                  <c:v>0.81299999999999994</c:v>
                </c:pt>
                <c:pt idx="11">
                  <c:v>0.81299999999999994</c:v>
                </c:pt>
                <c:pt idx="12">
                  <c:v>0.81299999999999994</c:v>
                </c:pt>
                <c:pt idx="13">
                  <c:v>0.81299999999999994</c:v>
                </c:pt>
                <c:pt idx="14">
                  <c:v>0.81299999999999994</c:v>
                </c:pt>
                <c:pt idx="15">
                  <c:v>0.81299999999999994</c:v>
                </c:pt>
                <c:pt idx="16">
                  <c:v>0.81299999999999994</c:v>
                </c:pt>
                <c:pt idx="17">
                  <c:v>0.81299999999999994</c:v>
                </c:pt>
                <c:pt idx="18">
                  <c:v>0.81299999999999994</c:v>
                </c:pt>
                <c:pt idx="19">
                  <c:v>0.81299999999999994</c:v>
                </c:pt>
                <c:pt idx="20">
                  <c:v>0.81100000000000005</c:v>
                </c:pt>
                <c:pt idx="21">
                  <c:v>0.81100000000000005</c:v>
                </c:pt>
                <c:pt idx="22">
                  <c:v>0.81100000000000005</c:v>
                </c:pt>
                <c:pt idx="23">
                  <c:v>0.81100000000000005</c:v>
                </c:pt>
                <c:pt idx="24">
                  <c:v>0.81100000000000005</c:v>
                </c:pt>
                <c:pt idx="25">
                  <c:v>0.81100000000000005</c:v>
                </c:pt>
                <c:pt idx="26">
                  <c:v>0.81100000000000005</c:v>
                </c:pt>
                <c:pt idx="27">
                  <c:v>0.81100000000000005</c:v>
                </c:pt>
                <c:pt idx="28">
                  <c:v>0.80800000000000005</c:v>
                </c:pt>
                <c:pt idx="29">
                  <c:v>0.80800000000000005</c:v>
                </c:pt>
                <c:pt idx="30">
                  <c:v>0.80600000000000005</c:v>
                </c:pt>
                <c:pt idx="31">
                  <c:v>0.80500000000000005</c:v>
                </c:pt>
                <c:pt idx="32">
                  <c:v>0.80500000000000005</c:v>
                </c:pt>
                <c:pt idx="33">
                  <c:v>0.80500000000000005</c:v>
                </c:pt>
                <c:pt idx="34">
                  <c:v>0.80500000000000005</c:v>
                </c:pt>
                <c:pt idx="35">
                  <c:v>0.80500000000000005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C3-49DB-8ED2-D587E99571AB}"/>
            </c:ext>
          </c:extLst>
        </c:ser>
        <c:ser>
          <c:idx val="2"/>
          <c:order val="2"/>
          <c:tx>
            <c:strRef>
              <c:f>图7!$O$15</c:f>
              <c:strCache>
                <c:ptCount val="1"/>
                <c:pt idx="0">
                  <c:v>迈腾-回归</c:v>
                </c:pt>
              </c:strCache>
            </c:strRef>
          </c:tx>
          <c:spPr>
            <a:ln w="28575" cap="rnd">
              <a:solidFill>
                <a:srgbClr val="5FC6C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FC6C9"/>
              </a:solidFill>
              <a:ln w="9525">
                <a:noFill/>
              </a:ln>
              <a:effectLst/>
            </c:spPr>
          </c:marker>
          <c:cat>
            <c:numRef>
              <c:f>图7!$L$16:$L$51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cat>
          <c:val>
            <c:numRef>
              <c:f>图7!$O$16:$O$51</c:f>
              <c:numCache>
                <c:formatCode>0.000</c:formatCode>
                <c:ptCount val="36"/>
                <c:pt idx="0">
                  <c:v>0.997</c:v>
                </c:pt>
                <c:pt idx="1">
                  <c:v>0.9547579420915896</c:v>
                </c:pt>
                <c:pt idx="2">
                  <c:v>0.95032933924635299</c:v>
                </c:pt>
                <c:pt idx="3">
                  <c:v>0.94930735397437527</c:v>
                </c:pt>
                <c:pt idx="4">
                  <c:v>0.94930735397437527</c:v>
                </c:pt>
                <c:pt idx="5">
                  <c:v>0.94726338343041994</c:v>
                </c:pt>
                <c:pt idx="6">
                  <c:v>0.94590073640111638</c:v>
                </c:pt>
                <c:pt idx="7">
                  <c:v>0.94590073640111638</c:v>
                </c:pt>
                <c:pt idx="8">
                  <c:v>0.94590073640111638</c:v>
                </c:pt>
                <c:pt idx="9">
                  <c:v>0.94590073640111638</c:v>
                </c:pt>
                <c:pt idx="10">
                  <c:v>0.94590073640111638</c:v>
                </c:pt>
                <c:pt idx="11">
                  <c:v>0.94556007464379044</c:v>
                </c:pt>
                <c:pt idx="12">
                  <c:v>0.94556007464379044</c:v>
                </c:pt>
                <c:pt idx="13">
                  <c:v>0.94249411882785739</c:v>
                </c:pt>
                <c:pt idx="14">
                  <c:v>0.94249411882785739</c:v>
                </c:pt>
                <c:pt idx="15">
                  <c:v>0.94113147179855383</c:v>
                </c:pt>
                <c:pt idx="16">
                  <c:v>0.94113147179855383</c:v>
                </c:pt>
                <c:pt idx="17">
                  <c:v>0.9390875012545985</c:v>
                </c:pt>
                <c:pt idx="18">
                  <c:v>0.9390875012545985</c:v>
                </c:pt>
                <c:pt idx="19">
                  <c:v>0.93568088368133961</c:v>
                </c:pt>
                <c:pt idx="20">
                  <c:v>0.93397757489471023</c:v>
                </c:pt>
                <c:pt idx="21">
                  <c:v>0.93397757489471023</c:v>
                </c:pt>
                <c:pt idx="22">
                  <c:v>0.9319336043507549</c:v>
                </c:pt>
                <c:pt idx="23">
                  <c:v>0.93125228083610312</c:v>
                </c:pt>
                <c:pt idx="24">
                  <c:v>0.92954897204947362</c:v>
                </c:pt>
                <c:pt idx="25">
                  <c:v>0.92886764853482184</c:v>
                </c:pt>
                <c:pt idx="26">
                  <c:v>0.92750500150551829</c:v>
                </c:pt>
                <c:pt idx="27">
                  <c:v>0.92750500150551829</c:v>
                </c:pt>
                <c:pt idx="28">
                  <c:v>0.92580169271888879</c:v>
                </c:pt>
                <c:pt idx="29">
                  <c:v>0.92580169271888879</c:v>
                </c:pt>
                <c:pt idx="30">
                  <c:v>0.92477970744691107</c:v>
                </c:pt>
                <c:pt idx="31">
                  <c:v>0.92443904568958513</c:v>
                </c:pt>
                <c:pt idx="32">
                  <c:v>0.92443904568958513</c:v>
                </c:pt>
                <c:pt idx="33">
                  <c:v>0.92409838393225918</c:v>
                </c:pt>
                <c:pt idx="34">
                  <c:v>0.92409838393225918</c:v>
                </c:pt>
                <c:pt idx="35">
                  <c:v>0.92409838393225918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C3-49DB-8ED2-D587E99571AB}"/>
            </c:ext>
          </c:extLst>
        </c:ser>
        <c:ser>
          <c:idx val="3"/>
          <c:order val="3"/>
          <c:tx>
            <c:strRef>
              <c:f>图7!$P$15</c:f>
              <c:strCache>
                <c:ptCount val="1"/>
                <c:pt idx="0">
                  <c:v>迈腾-随机</c:v>
                </c:pt>
              </c:strCache>
            </c:strRef>
          </c:tx>
          <c:spPr>
            <a:ln w="28575" cap="rnd">
              <a:solidFill>
                <a:srgbClr val="F3764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3764A"/>
              </a:solidFill>
              <a:ln w="9525">
                <a:noFill/>
              </a:ln>
              <a:effectLst/>
            </c:spPr>
          </c:marker>
          <c:cat>
            <c:numRef>
              <c:f>图7!$L$16:$L$51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cat>
          <c:val>
            <c:numRef>
              <c:f>图7!$P$16:$P$51</c:f>
              <c:numCache>
                <c:formatCode>0.000</c:formatCode>
                <c:ptCount val="36"/>
                <c:pt idx="0">
                  <c:v>0.997</c:v>
                </c:pt>
                <c:pt idx="1">
                  <c:v>0.96430362954467963</c:v>
                </c:pt>
                <c:pt idx="2">
                  <c:v>0.95864464235048952</c:v>
                </c:pt>
                <c:pt idx="3">
                  <c:v>0.95833025417303452</c:v>
                </c:pt>
                <c:pt idx="4">
                  <c:v>0.95707270146321455</c:v>
                </c:pt>
                <c:pt idx="5">
                  <c:v>0.95707270146321455</c:v>
                </c:pt>
                <c:pt idx="6">
                  <c:v>0.95518637239848447</c:v>
                </c:pt>
                <c:pt idx="7">
                  <c:v>0.95455759604357449</c:v>
                </c:pt>
                <c:pt idx="8">
                  <c:v>0.95455759604357449</c:v>
                </c:pt>
                <c:pt idx="9">
                  <c:v>0.95267126697884441</c:v>
                </c:pt>
                <c:pt idx="10">
                  <c:v>0.95235687880138942</c:v>
                </c:pt>
                <c:pt idx="11">
                  <c:v>0.95141371426902444</c:v>
                </c:pt>
                <c:pt idx="12">
                  <c:v>0.94921299702683937</c:v>
                </c:pt>
                <c:pt idx="13">
                  <c:v>0.94921299702683937</c:v>
                </c:pt>
                <c:pt idx="14">
                  <c:v>0.94921299702683937</c:v>
                </c:pt>
                <c:pt idx="15">
                  <c:v>0.94921299702683937</c:v>
                </c:pt>
                <c:pt idx="16">
                  <c:v>0.94921299702683937</c:v>
                </c:pt>
                <c:pt idx="17">
                  <c:v>0.94921299702683937</c:v>
                </c:pt>
                <c:pt idx="18">
                  <c:v>0.94921299702683937</c:v>
                </c:pt>
                <c:pt idx="19">
                  <c:v>0.94575472707483432</c:v>
                </c:pt>
                <c:pt idx="20">
                  <c:v>0.94575472707483432</c:v>
                </c:pt>
                <c:pt idx="21">
                  <c:v>0.94575472707483432</c:v>
                </c:pt>
                <c:pt idx="22">
                  <c:v>0.94575472707483432</c:v>
                </c:pt>
                <c:pt idx="23">
                  <c:v>0.94575472707483432</c:v>
                </c:pt>
                <c:pt idx="24">
                  <c:v>0.94575472707483432</c:v>
                </c:pt>
                <c:pt idx="25">
                  <c:v>0.94575472707483432</c:v>
                </c:pt>
                <c:pt idx="26">
                  <c:v>0.94575472707483432</c:v>
                </c:pt>
                <c:pt idx="27">
                  <c:v>0.94575472707483432</c:v>
                </c:pt>
                <c:pt idx="28">
                  <c:v>0.94575472707483432</c:v>
                </c:pt>
                <c:pt idx="29">
                  <c:v>0.94575472707483432</c:v>
                </c:pt>
                <c:pt idx="30">
                  <c:v>0.94575472707483432</c:v>
                </c:pt>
                <c:pt idx="31">
                  <c:v>0.94575472707483432</c:v>
                </c:pt>
                <c:pt idx="32">
                  <c:v>0.94512595071992433</c:v>
                </c:pt>
                <c:pt idx="33">
                  <c:v>0.94418278618755935</c:v>
                </c:pt>
                <c:pt idx="34">
                  <c:v>0.94418278618755935</c:v>
                </c:pt>
                <c:pt idx="35">
                  <c:v>0.94418278618755935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C3-49DB-8ED2-D587E9957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593264"/>
        <c:axId val="879595344"/>
      </c:lineChart>
      <c:catAx>
        <c:axId val="87959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搜索阶段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7959534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879595344"/>
        <c:scaling>
          <c:orientation val="minMax"/>
          <c:max val="1"/>
          <c:min val="0.7500000000000001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生态损失系数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.00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79593264"/>
        <c:crosses val="autoZero"/>
        <c:crossBetween val="between"/>
        <c:majorUnit val="2.5000000000000005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787426933952093"/>
          <c:y val="0.18073348939490674"/>
          <c:w val="0.14987955385685589"/>
          <c:h val="0.36054033786317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35168493194956"/>
          <c:y val="3.5277777777777776E-2"/>
          <c:w val="0.81004471526387667"/>
          <c:h val="0.78960198412698412"/>
        </c:manualLayout>
      </c:layout>
      <c:lineChart>
        <c:grouping val="standard"/>
        <c:varyColors val="0"/>
        <c:ser>
          <c:idx val="2"/>
          <c:order val="0"/>
          <c:tx>
            <c:strRef>
              <c:f>图7!$O$14</c:f>
              <c:strCache>
                <c:ptCount val="1"/>
                <c:pt idx="0">
                  <c:v>FSD (MR-FCE)</c:v>
                </c:pt>
              </c:strCache>
            </c:strRef>
          </c:tx>
          <c:spPr>
            <a:ln w="28575" cap="rnd">
              <a:solidFill>
                <a:srgbClr val="5FC6C9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5FC6C9"/>
              </a:solidFill>
              <a:ln w="9525">
                <a:noFill/>
              </a:ln>
              <a:effectLst/>
            </c:spPr>
          </c:marker>
          <c:cat>
            <c:numRef>
              <c:f>图7!$L$16:$L$51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cat>
          <c:val>
            <c:numRef>
              <c:f>图7!$O$16:$O$51</c:f>
              <c:numCache>
                <c:formatCode>0.000</c:formatCode>
                <c:ptCount val="36"/>
                <c:pt idx="0">
                  <c:v>0.997</c:v>
                </c:pt>
                <c:pt idx="1">
                  <c:v>0.9547579420915896</c:v>
                </c:pt>
                <c:pt idx="2">
                  <c:v>0.95032933924635299</c:v>
                </c:pt>
                <c:pt idx="3">
                  <c:v>0.94930735397437527</c:v>
                </c:pt>
                <c:pt idx="4">
                  <c:v>0.94930735397437527</c:v>
                </c:pt>
                <c:pt idx="5">
                  <c:v>0.94726338343041994</c:v>
                </c:pt>
                <c:pt idx="6">
                  <c:v>0.94590073640111638</c:v>
                </c:pt>
                <c:pt idx="7">
                  <c:v>0.94590073640111638</c:v>
                </c:pt>
                <c:pt idx="8">
                  <c:v>0.94590073640111638</c:v>
                </c:pt>
                <c:pt idx="9">
                  <c:v>0.94590073640111638</c:v>
                </c:pt>
                <c:pt idx="10">
                  <c:v>0.94590073640111638</c:v>
                </c:pt>
                <c:pt idx="11">
                  <c:v>0.94556007464379044</c:v>
                </c:pt>
                <c:pt idx="12">
                  <c:v>0.94556007464379044</c:v>
                </c:pt>
                <c:pt idx="13">
                  <c:v>0.94249411882785739</c:v>
                </c:pt>
                <c:pt idx="14">
                  <c:v>0.94249411882785739</c:v>
                </c:pt>
                <c:pt idx="15">
                  <c:v>0.94113147179855383</c:v>
                </c:pt>
                <c:pt idx="16">
                  <c:v>0.94113147179855383</c:v>
                </c:pt>
                <c:pt idx="17">
                  <c:v>0.9390875012545985</c:v>
                </c:pt>
                <c:pt idx="18">
                  <c:v>0.9390875012545985</c:v>
                </c:pt>
                <c:pt idx="19">
                  <c:v>0.93568088368133961</c:v>
                </c:pt>
                <c:pt idx="20">
                  <c:v>0.93397757489471023</c:v>
                </c:pt>
                <c:pt idx="21">
                  <c:v>0.93397757489471023</c:v>
                </c:pt>
                <c:pt idx="22">
                  <c:v>0.9319336043507549</c:v>
                </c:pt>
                <c:pt idx="23">
                  <c:v>0.93125228083610312</c:v>
                </c:pt>
                <c:pt idx="24">
                  <c:v>0.92954897204947362</c:v>
                </c:pt>
                <c:pt idx="25">
                  <c:v>0.92886764853482184</c:v>
                </c:pt>
                <c:pt idx="26">
                  <c:v>0.92750500150551829</c:v>
                </c:pt>
                <c:pt idx="27">
                  <c:v>0.92750500150551829</c:v>
                </c:pt>
                <c:pt idx="28">
                  <c:v>0.92580169271888879</c:v>
                </c:pt>
                <c:pt idx="29">
                  <c:v>0.92580169271888879</c:v>
                </c:pt>
                <c:pt idx="30">
                  <c:v>0.92477970744691107</c:v>
                </c:pt>
                <c:pt idx="31">
                  <c:v>0.92443904568958513</c:v>
                </c:pt>
                <c:pt idx="32">
                  <c:v>0.92443904568958513</c:v>
                </c:pt>
                <c:pt idx="33">
                  <c:v>0.92409838393225918</c:v>
                </c:pt>
                <c:pt idx="34">
                  <c:v>0.92409838393225918</c:v>
                </c:pt>
                <c:pt idx="35">
                  <c:v>0.92409838393225918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30-4033-802B-4AEC194A67BA}"/>
            </c:ext>
          </c:extLst>
        </c:ser>
        <c:ser>
          <c:idx val="3"/>
          <c:order val="1"/>
          <c:tx>
            <c:strRef>
              <c:f>图7!$P$14</c:f>
              <c:strCache>
                <c:ptCount val="1"/>
                <c:pt idx="0">
                  <c:v>FSD (RF-FCE)</c:v>
                </c:pt>
              </c:strCache>
            </c:strRef>
          </c:tx>
          <c:spPr>
            <a:ln w="28575" cap="rnd">
              <a:solidFill>
                <a:srgbClr val="F3764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3764A"/>
              </a:solidFill>
              <a:ln w="9525">
                <a:noFill/>
              </a:ln>
              <a:effectLst/>
            </c:spPr>
          </c:marker>
          <c:cat>
            <c:numRef>
              <c:f>图7!$L$16:$L$51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cat>
          <c:val>
            <c:numRef>
              <c:f>图7!$P$16:$P$51</c:f>
              <c:numCache>
                <c:formatCode>0.000</c:formatCode>
                <c:ptCount val="36"/>
                <c:pt idx="0">
                  <c:v>0.997</c:v>
                </c:pt>
                <c:pt idx="1">
                  <c:v>0.96430362954467963</c:v>
                </c:pt>
                <c:pt idx="2">
                  <c:v>0.95864464235048952</c:v>
                </c:pt>
                <c:pt idx="3">
                  <c:v>0.95833025417303452</c:v>
                </c:pt>
                <c:pt idx="4">
                  <c:v>0.95707270146321455</c:v>
                </c:pt>
                <c:pt idx="5">
                  <c:v>0.95707270146321455</c:v>
                </c:pt>
                <c:pt idx="6">
                  <c:v>0.95518637239848447</c:v>
                </c:pt>
                <c:pt idx="7">
                  <c:v>0.95455759604357449</c:v>
                </c:pt>
                <c:pt idx="8">
                  <c:v>0.95455759604357449</c:v>
                </c:pt>
                <c:pt idx="9">
                  <c:v>0.95267126697884441</c:v>
                </c:pt>
                <c:pt idx="10">
                  <c:v>0.95235687880138942</c:v>
                </c:pt>
                <c:pt idx="11">
                  <c:v>0.95141371426902444</c:v>
                </c:pt>
                <c:pt idx="12">
                  <c:v>0.94921299702683937</c:v>
                </c:pt>
                <c:pt idx="13">
                  <c:v>0.94921299702683937</c:v>
                </c:pt>
                <c:pt idx="14">
                  <c:v>0.94921299702683937</c:v>
                </c:pt>
                <c:pt idx="15">
                  <c:v>0.94921299702683937</c:v>
                </c:pt>
                <c:pt idx="16">
                  <c:v>0.94921299702683937</c:v>
                </c:pt>
                <c:pt idx="17">
                  <c:v>0.94921299702683937</c:v>
                </c:pt>
                <c:pt idx="18">
                  <c:v>0.94921299702683937</c:v>
                </c:pt>
                <c:pt idx="19">
                  <c:v>0.94575472707483432</c:v>
                </c:pt>
                <c:pt idx="20">
                  <c:v>0.94575472707483432</c:v>
                </c:pt>
                <c:pt idx="21">
                  <c:v>0.94575472707483432</c:v>
                </c:pt>
                <c:pt idx="22">
                  <c:v>0.94575472707483432</c:v>
                </c:pt>
                <c:pt idx="23">
                  <c:v>0.94575472707483432</c:v>
                </c:pt>
                <c:pt idx="24">
                  <c:v>0.94575472707483432</c:v>
                </c:pt>
                <c:pt idx="25">
                  <c:v>0.94575472707483432</c:v>
                </c:pt>
                <c:pt idx="26">
                  <c:v>0.94575472707483432</c:v>
                </c:pt>
                <c:pt idx="27">
                  <c:v>0.94575472707483432</c:v>
                </c:pt>
                <c:pt idx="28">
                  <c:v>0.94575472707483432</c:v>
                </c:pt>
                <c:pt idx="29">
                  <c:v>0.94575472707483432</c:v>
                </c:pt>
                <c:pt idx="30">
                  <c:v>0.94575472707483432</c:v>
                </c:pt>
                <c:pt idx="31">
                  <c:v>0.94575472707483432</c:v>
                </c:pt>
                <c:pt idx="32">
                  <c:v>0.94512595071992433</c:v>
                </c:pt>
                <c:pt idx="33">
                  <c:v>0.94418278618755935</c:v>
                </c:pt>
                <c:pt idx="34">
                  <c:v>0.94418278618755935</c:v>
                </c:pt>
                <c:pt idx="35">
                  <c:v>0.94418278618755935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30-4033-802B-4AEC194A6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593264"/>
        <c:axId val="879595344"/>
      </c:lineChart>
      <c:catAx>
        <c:axId val="87959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en-US" altLang="zh-CN"/>
                  <a:t>Search phase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7959534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879595344"/>
        <c:scaling>
          <c:orientation val="minMax"/>
          <c:max val="1"/>
          <c:min val="0.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en-US" altLang="zh-CN"/>
                  <a:t>Coefficient of ecological loss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8634019909005414E-2"/>
              <c:y val="8.63842470761916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.00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79593264"/>
        <c:crosses val="autoZero"/>
        <c:crossBetween val="between"/>
        <c:majorUnit val="2.5000000000000005E-2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942130404302308"/>
          <c:y val="3.2526419178464605E-2"/>
          <c:w val="0.24242732650086998"/>
          <c:h val="0.189832207216340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图9!$T$1</c:f>
              <c:strCache>
                <c:ptCount val="1"/>
                <c:pt idx="0">
                  <c:v>道路高程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图9!$R$2:$R$74</c:f>
              <c:numCache>
                <c:formatCode>0_ 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图9!$T$2:$T$74</c:f>
              <c:numCache>
                <c:formatCode>0.0_ </c:formatCode>
                <c:ptCount val="73"/>
                <c:pt idx="0">
                  <c:v>16.2</c:v>
                </c:pt>
                <c:pt idx="1">
                  <c:v>17.074999999999999</c:v>
                </c:pt>
                <c:pt idx="2">
                  <c:v>17.95</c:v>
                </c:pt>
                <c:pt idx="3">
                  <c:v>18.824999999999999</c:v>
                </c:pt>
                <c:pt idx="4">
                  <c:v>19.7</c:v>
                </c:pt>
                <c:pt idx="5">
                  <c:v>20.4696</c:v>
                </c:pt>
                <c:pt idx="6">
                  <c:v>21.073799999999999</c:v>
                </c:pt>
                <c:pt idx="7">
                  <c:v>21.513300000000001</c:v>
                </c:pt>
                <c:pt idx="8">
                  <c:v>21.7821</c:v>
                </c:pt>
                <c:pt idx="9">
                  <c:v>21.886299999999999</c:v>
                </c:pt>
                <c:pt idx="10">
                  <c:v>21.823799999999999</c:v>
                </c:pt>
                <c:pt idx="11">
                  <c:v>21.5946</c:v>
                </c:pt>
                <c:pt idx="12">
                  <c:v>21.2</c:v>
                </c:pt>
                <c:pt idx="13">
                  <c:v>20.7</c:v>
                </c:pt>
                <c:pt idx="14">
                  <c:v>20.2</c:v>
                </c:pt>
                <c:pt idx="15">
                  <c:v>19.7</c:v>
                </c:pt>
                <c:pt idx="16">
                  <c:v>19.2</c:v>
                </c:pt>
                <c:pt idx="17">
                  <c:v>18.7</c:v>
                </c:pt>
                <c:pt idx="18">
                  <c:v>18.2</c:v>
                </c:pt>
                <c:pt idx="19">
                  <c:v>17.7</c:v>
                </c:pt>
                <c:pt idx="20">
                  <c:v>17.283300000000001</c:v>
                </c:pt>
                <c:pt idx="21">
                  <c:v>17.033300000000001</c:v>
                </c:pt>
                <c:pt idx="22">
                  <c:v>16.95</c:v>
                </c:pt>
                <c:pt idx="23">
                  <c:v>17.033300000000001</c:v>
                </c:pt>
                <c:pt idx="24">
                  <c:v>17.283300000000001</c:v>
                </c:pt>
                <c:pt idx="25">
                  <c:v>17.7</c:v>
                </c:pt>
                <c:pt idx="26">
                  <c:v>18.2</c:v>
                </c:pt>
                <c:pt idx="27">
                  <c:v>18.7</c:v>
                </c:pt>
                <c:pt idx="28">
                  <c:v>19.2</c:v>
                </c:pt>
                <c:pt idx="29">
                  <c:v>19.7</c:v>
                </c:pt>
                <c:pt idx="30">
                  <c:v>20.2</c:v>
                </c:pt>
                <c:pt idx="31">
                  <c:v>20.7</c:v>
                </c:pt>
                <c:pt idx="32">
                  <c:v>21.2</c:v>
                </c:pt>
                <c:pt idx="33">
                  <c:v>21.7</c:v>
                </c:pt>
                <c:pt idx="34">
                  <c:v>22.116699999999998</c:v>
                </c:pt>
                <c:pt idx="35">
                  <c:v>22.366699999999998</c:v>
                </c:pt>
                <c:pt idx="36">
                  <c:v>22.45</c:v>
                </c:pt>
                <c:pt idx="37">
                  <c:v>22.366699999999998</c:v>
                </c:pt>
                <c:pt idx="38">
                  <c:v>22.116699999999998</c:v>
                </c:pt>
                <c:pt idx="39">
                  <c:v>21.7</c:v>
                </c:pt>
                <c:pt idx="40">
                  <c:v>21.2</c:v>
                </c:pt>
                <c:pt idx="41">
                  <c:v>20.7</c:v>
                </c:pt>
                <c:pt idx="42">
                  <c:v>20.2</c:v>
                </c:pt>
                <c:pt idx="43">
                  <c:v>19.7</c:v>
                </c:pt>
                <c:pt idx="44">
                  <c:v>19.2</c:v>
                </c:pt>
                <c:pt idx="45">
                  <c:v>18.7</c:v>
                </c:pt>
                <c:pt idx="46">
                  <c:v>18.2</c:v>
                </c:pt>
                <c:pt idx="47">
                  <c:v>17.7</c:v>
                </c:pt>
                <c:pt idx="48">
                  <c:v>17.283300000000001</c:v>
                </c:pt>
                <c:pt idx="49">
                  <c:v>17.033300000000001</c:v>
                </c:pt>
                <c:pt idx="50">
                  <c:v>16.95</c:v>
                </c:pt>
                <c:pt idx="51">
                  <c:v>17.033300000000001</c:v>
                </c:pt>
                <c:pt idx="52">
                  <c:v>17.283300000000001</c:v>
                </c:pt>
                <c:pt idx="53">
                  <c:v>17.7</c:v>
                </c:pt>
                <c:pt idx="54">
                  <c:v>18.2</c:v>
                </c:pt>
                <c:pt idx="55">
                  <c:v>18.7</c:v>
                </c:pt>
                <c:pt idx="56">
                  <c:v>19.2</c:v>
                </c:pt>
                <c:pt idx="57">
                  <c:v>19.7</c:v>
                </c:pt>
                <c:pt idx="58">
                  <c:v>20.2</c:v>
                </c:pt>
                <c:pt idx="59">
                  <c:v>20.7</c:v>
                </c:pt>
                <c:pt idx="60">
                  <c:v>21.2</c:v>
                </c:pt>
                <c:pt idx="61">
                  <c:v>21.7</c:v>
                </c:pt>
                <c:pt idx="62">
                  <c:v>22.139800000000001</c:v>
                </c:pt>
                <c:pt idx="63">
                  <c:v>22.4148</c:v>
                </c:pt>
                <c:pt idx="64">
                  <c:v>22.523099999999999</c:v>
                </c:pt>
                <c:pt idx="65">
                  <c:v>22.4148</c:v>
                </c:pt>
                <c:pt idx="66">
                  <c:v>22.239799999999999</c:v>
                </c:pt>
                <c:pt idx="67">
                  <c:v>21.848099999999999</c:v>
                </c:pt>
                <c:pt idx="68">
                  <c:v>21.4</c:v>
                </c:pt>
                <c:pt idx="69">
                  <c:v>20.95</c:v>
                </c:pt>
                <c:pt idx="70">
                  <c:v>20.5</c:v>
                </c:pt>
                <c:pt idx="71">
                  <c:v>20.05</c:v>
                </c:pt>
                <c:pt idx="72">
                  <c:v>19.599999999999998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01-4240-B5A4-C8FD8EB8E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6285344"/>
        <c:axId val="1216279520"/>
      </c:lineChart>
      <c:catAx>
        <c:axId val="1216285344"/>
        <c:scaling>
          <c:orientation val="minMax"/>
        </c:scaling>
        <c:delete val="0"/>
        <c:axPos val="b"/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6279520"/>
        <c:crosses val="autoZero"/>
        <c:auto val="1"/>
        <c:lblAlgn val="ctr"/>
        <c:lblOffset val="100"/>
        <c:noMultiLvlLbl val="0"/>
      </c:catAx>
      <c:valAx>
        <c:axId val="121627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628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49537142841776E-2"/>
          <c:y val="3.9586139240631868E-2"/>
          <c:w val="0.87207468809011024"/>
          <c:h val="0.80038175682731583"/>
        </c:manualLayout>
      </c:layout>
      <c:lineChart>
        <c:grouping val="standard"/>
        <c:varyColors val="0"/>
        <c:ser>
          <c:idx val="0"/>
          <c:order val="0"/>
          <c:tx>
            <c:strRef>
              <c:f>图9!$AB$1</c:f>
              <c:strCache>
                <c:ptCount val="1"/>
                <c:pt idx="0">
                  <c:v>Actual path</c:v>
                </c:pt>
              </c:strCache>
            </c:strRef>
          </c:tx>
          <c:spPr>
            <a:ln w="28575" cap="rnd">
              <a:solidFill>
                <a:srgbClr val="4D85BD"/>
              </a:solidFill>
              <a:round/>
            </a:ln>
            <a:effectLst/>
          </c:spPr>
          <c:marker>
            <c:symbol val="none"/>
          </c:marker>
          <c:dPt>
            <c:idx val="57"/>
            <c:marker>
              <c:symbol val="none"/>
            </c:marker>
            <c:bubble3D val="0"/>
            <c:spPr>
              <a:ln w="28575" cap="rnd">
                <a:solidFill>
                  <a:srgbClr val="015699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81-49EB-B825-7D37A3AFD732}"/>
              </c:ext>
            </c:extLst>
          </c:dPt>
          <c:cat>
            <c:numRef>
              <c:f>图9!$AA$2:$AA$74</c:f>
              <c:numCache>
                <c:formatCode>0_ 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图9!$AB$2:$AB$74</c:f>
              <c:numCache>
                <c:formatCode>General</c:formatCode>
                <c:ptCount val="73"/>
                <c:pt idx="0">
                  <c:v>16.2</c:v>
                </c:pt>
                <c:pt idx="1">
                  <c:v>16.18994431578869</c:v>
                </c:pt>
                <c:pt idx="2">
                  <c:v>16.23</c:v>
                </c:pt>
                <c:pt idx="3">
                  <c:v>16.438526330591301</c:v>
                </c:pt>
                <c:pt idx="4">
                  <c:v>16.77265954533005</c:v>
                </c:pt>
                <c:pt idx="5">
                  <c:v>16.87</c:v>
                </c:pt>
                <c:pt idx="6">
                  <c:v>17.088302024697409</c:v>
                </c:pt>
                <c:pt idx="7">
                  <c:v>17.3</c:v>
                </c:pt>
                <c:pt idx="8">
                  <c:v>17.50930536380227</c:v>
                </c:pt>
                <c:pt idx="9">
                  <c:v>17.81924715610285</c:v>
                </c:pt>
                <c:pt idx="10">
                  <c:v>17.976022409316101</c:v>
                </c:pt>
                <c:pt idx="11">
                  <c:v>18.167629384157461</c:v>
                </c:pt>
                <c:pt idx="12">
                  <c:v>18.381372409495501</c:v>
                </c:pt>
                <c:pt idx="13">
                  <c:v>18.510000000000002</c:v>
                </c:pt>
                <c:pt idx="14">
                  <c:v>18.694881042171922</c:v>
                </c:pt>
                <c:pt idx="15">
                  <c:v>18.820132298207739</c:v>
                </c:pt>
                <c:pt idx="16">
                  <c:v>19.182337629892189</c:v>
                </c:pt>
                <c:pt idx="17">
                  <c:v>19.395120829470329</c:v>
                </c:pt>
                <c:pt idx="18">
                  <c:v>19.709214521701849</c:v>
                </c:pt>
                <c:pt idx="19">
                  <c:v>19.985029120342169</c:v>
                </c:pt>
                <c:pt idx="20">
                  <c:v>20.36939951356478</c:v>
                </c:pt>
                <c:pt idx="21">
                  <c:v>20.813443634166571</c:v>
                </c:pt>
                <c:pt idx="22">
                  <c:v>21.185240874981801</c:v>
                </c:pt>
                <c:pt idx="23">
                  <c:v>21.51545779924508</c:v>
                </c:pt>
                <c:pt idx="24">
                  <c:v>21.9382837573126</c:v>
                </c:pt>
                <c:pt idx="25">
                  <c:v>22.35399581240268</c:v>
                </c:pt>
                <c:pt idx="26">
                  <c:v>22.800055267935761</c:v>
                </c:pt>
                <c:pt idx="27">
                  <c:v>23.07861966713304</c:v>
                </c:pt>
                <c:pt idx="28">
                  <c:v>23.222124073160721</c:v>
                </c:pt>
                <c:pt idx="29">
                  <c:v>23.26</c:v>
                </c:pt>
                <c:pt idx="30">
                  <c:v>23.118694100136729</c:v>
                </c:pt>
                <c:pt idx="31">
                  <c:v>22.865061108829561</c:v>
                </c:pt>
                <c:pt idx="32">
                  <c:v>22.50125603280393</c:v>
                </c:pt>
                <c:pt idx="33">
                  <c:v>22.081010880983051</c:v>
                </c:pt>
                <c:pt idx="34">
                  <c:v>21.685041237236799</c:v>
                </c:pt>
                <c:pt idx="35">
                  <c:v>21.264957590363331</c:v>
                </c:pt>
                <c:pt idx="36">
                  <c:v>20.913911979364531</c:v>
                </c:pt>
                <c:pt idx="37">
                  <c:v>20.546891729057549</c:v>
                </c:pt>
                <c:pt idx="38">
                  <c:v>20.15231743913272</c:v>
                </c:pt>
                <c:pt idx="39">
                  <c:v>19.799122285242859</c:v>
                </c:pt>
                <c:pt idx="40">
                  <c:v>19.514445110632909</c:v>
                </c:pt>
                <c:pt idx="41">
                  <c:v>19.327604185096419</c:v>
                </c:pt>
                <c:pt idx="42">
                  <c:v>19.208045162869649</c:v>
                </c:pt>
                <c:pt idx="43">
                  <c:v>19.2</c:v>
                </c:pt>
                <c:pt idx="44">
                  <c:v>19.163088389471781</c:v>
                </c:pt>
                <c:pt idx="45">
                  <c:v>19.327891389974219</c:v>
                </c:pt>
                <c:pt idx="46">
                  <c:v>19.56886483268708</c:v>
                </c:pt>
                <c:pt idx="47">
                  <c:v>19.96802621912861</c:v>
                </c:pt>
                <c:pt idx="48">
                  <c:v>20.41691357784077</c:v>
                </c:pt>
                <c:pt idx="49">
                  <c:v>21.054406819932488</c:v>
                </c:pt>
                <c:pt idx="50">
                  <c:v>21.56018265494739</c:v>
                </c:pt>
                <c:pt idx="51">
                  <c:v>22.046770650926891</c:v>
                </c:pt>
                <c:pt idx="52">
                  <c:v>22.412964446331369</c:v>
                </c:pt>
                <c:pt idx="53">
                  <c:v>22.760791875890021</c:v>
                </c:pt>
                <c:pt idx="54">
                  <c:v>23.213427008272301</c:v>
                </c:pt>
                <c:pt idx="55">
                  <c:v>23.673198019802019</c:v>
                </c:pt>
                <c:pt idx="56">
                  <c:v>24.00158638949922</c:v>
                </c:pt>
                <c:pt idx="57">
                  <c:v>24.216525702151539</c:v>
                </c:pt>
                <c:pt idx="58">
                  <c:v>24.302311240474591</c:v>
                </c:pt>
                <c:pt idx="59">
                  <c:v>24.151286518413581</c:v>
                </c:pt>
                <c:pt idx="60">
                  <c:v>24</c:v>
                </c:pt>
                <c:pt idx="61">
                  <c:v>23.85</c:v>
                </c:pt>
                <c:pt idx="62">
                  <c:v>23.54435048117206</c:v>
                </c:pt>
                <c:pt idx="63">
                  <c:v>23.144007055849851</c:v>
                </c:pt>
                <c:pt idx="64">
                  <c:v>22.791726575079771</c:v>
                </c:pt>
                <c:pt idx="65">
                  <c:v>22.423245392214501</c:v>
                </c:pt>
                <c:pt idx="66">
                  <c:v>22.00703436627866</c:v>
                </c:pt>
                <c:pt idx="67">
                  <c:v>21.6873983224318</c:v>
                </c:pt>
                <c:pt idx="68">
                  <c:v>21.364055877997689</c:v>
                </c:pt>
                <c:pt idx="69">
                  <c:v>20.91885697751945</c:v>
                </c:pt>
                <c:pt idx="70">
                  <c:v>20.414459886974011</c:v>
                </c:pt>
                <c:pt idx="71">
                  <c:v>20.03557895340829</c:v>
                </c:pt>
                <c:pt idx="72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81-49EB-B825-7D37A3AFD732}"/>
            </c:ext>
          </c:extLst>
        </c:ser>
        <c:ser>
          <c:idx val="2"/>
          <c:order val="1"/>
          <c:tx>
            <c:strRef>
              <c:f>图9!$AC$1</c:f>
              <c:strCache>
                <c:ptCount val="1"/>
                <c:pt idx="0">
                  <c:v>Single-arc path</c:v>
                </c:pt>
              </c:strCache>
            </c:strRef>
          </c:tx>
          <c:spPr>
            <a:ln w="28575" cap="rnd">
              <a:solidFill>
                <a:srgbClr val="F3764A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图9!$AA$2:$AA$74</c:f>
              <c:numCache>
                <c:formatCode>0_ 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图9!$AC$2:$AC$74</c:f>
              <c:numCache>
                <c:formatCode>0.0_ </c:formatCode>
                <c:ptCount val="73"/>
                <c:pt idx="0">
                  <c:v>16.200000000003183</c:v>
                </c:pt>
                <c:pt idx="1">
                  <c:v>16.477735799903439</c:v>
                </c:pt>
                <c:pt idx="2">
                  <c:v>16.748978071604778</c:v>
                </c:pt>
                <c:pt idx="3">
                  <c:v>17.013726828786002</c:v>
                </c:pt>
                <c:pt idx="4">
                  <c:v>17.271982084893079</c:v>
                </c:pt>
                <c:pt idx="5">
                  <c:v>17.523743852964525</c:v>
                </c:pt>
                <c:pt idx="6">
                  <c:v>17.769012145806027</c:v>
                </c:pt>
                <c:pt idx="7">
                  <c:v>18.007786975815815</c:v>
                </c:pt>
                <c:pt idx="8">
                  <c:v>18.240068354984668</c:v>
                </c:pt>
                <c:pt idx="9">
                  <c:v>18.465856295186949</c:v>
                </c:pt>
                <c:pt idx="10">
                  <c:v>18.685150807773152</c:v>
                </c:pt>
                <c:pt idx="11">
                  <c:v>18.897951903802731</c:v>
                </c:pt>
                <c:pt idx="12">
                  <c:v>19.104259594102313</c:v>
                </c:pt>
                <c:pt idx="13">
                  <c:v>19.304073889149276</c:v>
                </c:pt>
                <c:pt idx="14">
                  <c:v>19.497394798955337</c:v>
                </c:pt>
                <c:pt idx="15">
                  <c:v>19.684222333357592</c:v>
                </c:pt>
                <c:pt idx="16">
                  <c:v>19.864556501843889</c:v>
                </c:pt>
                <c:pt idx="17">
                  <c:v>20.038397313436416</c:v>
                </c:pt>
                <c:pt idx="18">
                  <c:v>20.205744776982737</c:v>
                </c:pt>
                <c:pt idx="19">
                  <c:v>20.36659890098117</c:v>
                </c:pt>
                <c:pt idx="20">
                  <c:v>20.520959693580789</c:v>
                </c:pt>
                <c:pt idx="21">
                  <c:v>20.668827162523211</c:v>
                </c:pt>
                <c:pt idx="22">
                  <c:v>20.810201315317226</c:v>
                </c:pt>
                <c:pt idx="23">
                  <c:v>20.945082159122375</c:v>
                </c:pt>
                <c:pt idx="24">
                  <c:v>21.073469700748955</c:v>
                </c:pt>
                <c:pt idx="25">
                  <c:v>21.195363946716224</c:v>
                </c:pt>
                <c:pt idx="26">
                  <c:v>21.310764903194194</c:v>
                </c:pt>
                <c:pt idx="27">
                  <c:v>21.419672576003631</c:v>
                </c:pt>
                <c:pt idx="28">
                  <c:v>21.522086970674263</c:v>
                </c:pt>
                <c:pt idx="29">
                  <c:v>21.618008092328363</c:v>
                </c:pt>
                <c:pt idx="30">
                  <c:v>21.707435945855377</c:v>
                </c:pt>
                <c:pt idx="31">
                  <c:v>21.790370535853707</c:v>
                </c:pt>
                <c:pt idx="32">
                  <c:v>21.866811866397892</c:v>
                </c:pt>
                <c:pt idx="33">
                  <c:v>21.936759941446052</c:v>
                </c:pt>
                <c:pt idx="34">
                  <c:v>22.000214764490647</c:v>
                </c:pt>
                <c:pt idx="35">
                  <c:v>22.057176338733097</c:v>
                </c:pt>
                <c:pt idx="36">
                  <c:v>22.107644667141994</c:v>
                </c:pt>
                <c:pt idx="37">
                  <c:v>22.151619752162059</c:v>
                </c:pt>
                <c:pt idx="38">
                  <c:v>22.189101596063391</c:v>
                </c:pt>
                <c:pt idx="39">
                  <c:v>22.220090200708636</c:v>
                </c:pt>
                <c:pt idx="40">
                  <c:v>22.244585567727608</c:v>
                </c:pt>
                <c:pt idx="41">
                  <c:v>22.262587698342667</c:v>
                </c:pt>
                <c:pt idx="42">
                  <c:v>22.274096593426929</c:v>
                </c:pt>
                <c:pt idx="43">
                  <c:v>22.279112253620678</c:v>
                </c:pt>
                <c:pt idx="44">
                  <c:v>22.277634679098536</c:v>
                </c:pt>
                <c:pt idx="45">
                  <c:v>22.269663869860505</c:v>
                </c:pt>
                <c:pt idx="46">
                  <c:v>22.255199825440922</c:v>
                </c:pt>
                <c:pt idx="47">
                  <c:v>22.234242545199503</c:v>
                </c:pt>
                <c:pt idx="48">
                  <c:v>22.206792027972096</c:v>
                </c:pt>
                <c:pt idx="49">
                  <c:v>22.172848272419923</c:v>
                </c:pt>
                <c:pt idx="50">
                  <c:v>22.132411276796756</c:v>
                </c:pt>
                <c:pt idx="51">
                  <c:v>22.085481039123533</c:v>
                </c:pt>
                <c:pt idx="52">
                  <c:v>22.032057556955532</c:v>
                </c:pt>
                <c:pt idx="53">
                  <c:v>21.97214082767341</c:v>
                </c:pt>
                <c:pt idx="54">
                  <c:v>21.905730848133953</c:v>
                </c:pt>
                <c:pt idx="55">
                  <c:v>21.832827615019323</c:v>
                </c:pt>
                <c:pt idx="56">
                  <c:v>21.753431124662438</c:v>
                </c:pt>
                <c:pt idx="57">
                  <c:v>21.667541373046969</c:v>
                </c:pt>
                <c:pt idx="58">
                  <c:v>21.575158355807343</c:v>
                </c:pt>
                <c:pt idx="59">
                  <c:v>21.476282068345153</c:v>
                </c:pt>
                <c:pt idx="60">
                  <c:v>21.370912505538126</c:v>
                </c:pt>
                <c:pt idx="61">
                  <c:v>21.259049662147572</c:v>
                </c:pt>
                <c:pt idx="62">
                  <c:v>21.140693532410932</c:v>
                </c:pt>
                <c:pt idx="63">
                  <c:v>21.015844110449233</c:v>
                </c:pt>
                <c:pt idx="64">
                  <c:v>20.88450138991784</c:v>
                </c:pt>
                <c:pt idx="65">
                  <c:v>20.746665364122872</c:v>
                </c:pt>
                <c:pt idx="66">
                  <c:v>20.602336026137618</c:v>
                </c:pt>
                <c:pt idx="67">
                  <c:v>20.451513368627911</c:v>
                </c:pt>
                <c:pt idx="68">
                  <c:v>20.294197384026756</c:v>
                </c:pt>
                <c:pt idx="69">
                  <c:v>20.130388064301496</c:v>
                </c:pt>
                <c:pt idx="70">
                  <c:v>19.960085401186642</c:v>
                </c:pt>
                <c:pt idx="71">
                  <c:v>19.783289386067462</c:v>
                </c:pt>
                <c:pt idx="72">
                  <c:v>19.600000009979976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81-49EB-B825-7D37A3AFD732}"/>
            </c:ext>
          </c:extLst>
        </c:ser>
        <c:ser>
          <c:idx val="6"/>
          <c:order val="2"/>
          <c:tx>
            <c:strRef>
              <c:f>图9!$AD$1</c:f>
              <c:strCache>
                <c:ptCount val="1"/>
                <c:pt idx="0">
                  <c:v>Multi-arc path</c:v>
                </c:pt>
              </c:strCache>
            </c:strRef>
          </c:tx>
          <c:spPr>
            <a:ln w="28575" cap="rnd">
              <a:solidFill>
                <a:srgbClr val="5FC6C9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图9!$AA$2:$AA$74</c:f>
              <c:numCache>
                <c:formatCode>0_ 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图9!$AD$2:$AD$74</c:f>
              <c:numCache>
                <c:formatCode>0.00_ </c:formatCode>
                <c:ptCount val="73"/>
                <c:pt idx="0">
                  <c:v>16.2</c:v>
                </c:pt>
                <c:pt idx="1">
                  <c:v>17.324999999999999</c:v>
                </c:pt>
                <c:pt idx="2">
                  <c:v>18.45</c:v>
                </c:pt>
                <c:pt idx="3">
                  <c:v>19.567399999999999</c:v>
                </c:pt>
                <c:pt idx="4">
                  <c:v>20.558699999999998</c:v>
                </c:pt>
                <c:pt idx="5">
                  <c:v>21.383099999999999</c:v>
                </c:pt>
                <c:pt idx="6">
                  <c:v>22.040799999999997</c:v>
                </c:pt>
                <c:pt idx="7">
                  <c:v>22.5319</c:v>
                </c:pt>
                <c:pt idx="8">
                  <c:v>22.856299999999997</c:v>
                </c:pt>
                <c:pt idx="9">
                  <c:v>23.013999999999999</c:v>
                </c:pt>
                <c:pt idx="10">
                  <c:v>23.004999999999999</c:v>
                </c:pt>
                <c:pt idx="11">
                  <c:v>22.8294</c:v>
                </c:pt>
                <c:pt idx="12">
                  <c:v>22.487099999999998</c:v>
                </c:pt>
                <c:pt idx="13">
                  <c:v>21.978099999999998</c:v>
                </c:pt>
                <c:pt idx="14">
                  <c:v>21.3429</c:v>
                </c:pt>
                <c:pt idx="15">
                  <c:v>20.7</c:v>
                </c:pt>
                <c:pt idx="16">
                  <c:v>20.057099999999998</c:v>
                </c:pt>
                <c:pt idx="17">
                  <c:v>19.414300000000001</c:v>
                </c:pt>
                <c:pt idx="18">
                  <c:v>18.7714</c:v>
                </c:pt>
                <c:pt idx="19">
                  <c:v>18.189799999999998</c:v>
                </c:pt>
                <c:pt idx="20">
                  <c:v>17.773099999999999</c:v>
                </c:pt>
                <c:pt idx="21">
                  <c:v>17.523099999999999</c:v>
                </c:pt>
                <c:pt idx="22">
                  <c:v>17.439599999999999</c:v>
                </c:pt>
                <c:pt idx="23">
                  <c:v>17.523099999999999</c:v>
                </c:pt>
                <c:pt idx="24">
                  <c:v>17.773099999999999</c:v>
                </c:pt>
                <c:pt idx="25">
                  <c:v>18.128599999999999</c:v>
                </c:pt>
                <c:pt idx="26">
                  <c:v>18.7714</c:v>
                </c:pt>
                <c:pt idx="27">
                  <c:v>19.414300000000001</c:v>
                </c:pt>
                <c:pt idx="28">
                  <c:v>20.057099999999998</c:v>
                </c:pt>
                <c:pt idx="29">
                  <c:v>20.7</c:v>
                </c:pt>
                <c:pt idx="30">
                  <c:v>21.3429</c:v>
                </c:pt>
                <c:pt idx="31">
                  <c:v>21.985700000000001</c:v>
                </c:pt>
                <c:pt idx="32">
                  <c:v>22.628599999999999</c:v>
                </c:pt>
                <c:pt idx="33">
                  <c:v>23.2102</c:v>
                </c:pt>
                <c:pt idx="34">
                  <c:v>23.626899999999999</c:v>
                </c:pt>
                <c:pt idx="35">
                  <c:v>23.876899999999999</c:v>
                </c:pt>
                <c:pt idx="36">
                  <c:v>23.96</c:v>
                </c:pt>
                <c:pt idx="37">
                  <c:v>23.876899999999999</c:v>
                </c:pt>
                <c:pt idx="38">
                  <c:v>23.626899999999999</c:v>
                </c:pt>
                <c:pt idx="39">
                  <c:v>23.2102</c:v>
                </c:pt>
                <c:pt idx="40">
                  <c:v>22.628599999999999</c:v>
                </c:pt>
                <c:pt idx="41">
                  <c:v>21.985700000000001</c:v>
                </c:pt>
                <c:pt idx="42">
                  <c:v>21.3429</c:v>
                </c:pt>
                <c:pt idx="43">
                  <c:v>20.7</c:v>
                </c:pt>
                <c:pt idx="44">
                  <c:v>20.057099999999998</c:v>
                </c:pt>
                <c:pt idx="45">
                  <c:v>19.414300000000001</c:v>
                </c:pt>
                <c:pt idx="46">
                  <c:v>18.7714</c:v>
                </c:pt>
                <c:pt idx="47">
                  <c:v>18.189799999999998</c:v>
                </c:pt>
                <c:pt idx="48">
                  <c:v>17.773099999999999</c:v>
                </c:pt>
                <c:pt idx="49">
                  <c:v>17.523099999999999</c:v>
                </c:pt>
                <c:pt idx="50">
                  <c:v>17.439599999999999</c:v>
                </c:pt>
                <c:pt idx="51">
                  <c:v>17.523099999999999</c:v>
                </c:pt>
                <c:pt idx="52">
                  <c:v>17.773099999999999</c:v>
                </c:pt>
                <c:pt idx="53">
                  <c:v>18.128599999999999</c:v>
                </c:pt>
                <c:pt idx="54">
                  <c:v>18.7714</c:v>
                </c:pt>
                <c:pt idx="55">
                  <c:v>19.414300000000001</c:v>
                </c:pt>
                <c:pt idx="56">
                  <c:v>20.057099999999998</c:v>
                </c:pt>
                <c:pt idx="57">
                  <c:v>20.7</c:v>
                </c:pt>
                <c:pt idx="58">
                  <c:v>21.3429</c:v>
                </c:pt>
                <c:pt idx="59">
                  <c:v>21.985700000000001</c:v>
                </c:pt>
                <c:pt idx="60">
                  <c:v>22.628599999999999</c:v>
                </c:pt>
                <c:pt idx="61">
                  <c:v>23.183299999999999</c:v>
                </c:pt>
                <c:pt idx="62">
                  <c:v>23.571400000000001</c:v>
                </c:pt>
                <c:pt idx="63">
                  <c:v>23.7928</c:v>
                </c:pt>
                <c:pt idx="64">
                  <c:v>23.8476</c:v>
                </c:pt>
                <c:pt idx="65">
                  <c:v>23.735700000000001</c:v>
                </c:pt>
                <c:pt idx="66">
                  <c:v>23.457100000000001</c:v>
                </c:pt>
                <c:pt idx="67">
                  <c:v>23.011899999999997</c:v>
                </c:pt>
                <c:pt idx="68">
                  <c:v>22.399899999999999</c:v>
                </c:pt>
                <c:pt idx="69">
                  <c:v>21.7</c:v>
                </c:pt>
                <c:pt idx="70">
                  <c:v>21</c:v>
                </c:pt>
                <c:pt idx="71">
                  <c:v>20.299999999999997</c:v>
                </c:pt>
                <c:pt idx="72">
                  <c:v>19.599999999999998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81-49EB-B825-7D37A3AFD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617695"/>
        <c:axId val="227619359"/>
      </c:lineChart>
      <c:catAx>
        <c:axId val="227617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en-US" altLang="zh-CN" sz="1200"/>
                  <a:t>Distance</a:t>
                </a:r>
                <a:r>
                  <a:rPr lang="zh-CN" altLang="en-US" sz="1200" baseline="0"/>
                  <a:t> </a:t>
                </a:r>
                <a:r>
                  <a:rPr lang="en-US" altLang="zh-CN" sz="1200" baseline="0"/>
                  <a:t>(</a:t>
                </a:r>
                <a:r>
                  <a:rPr lang="en-US" altLang="zh-CN" sz="1200"/>
                  <a:t>m)</a:t>
                </a:r>
                <a:endParaRPr lang="zh-CN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27619359"/>
        <c:crossesAt val="-60"/>
        <c:auto val="1"/>
        <c:lblAlgn val="ctr"/>
        <c:lblOffset val="100"/>
        <c:tickLblSkip val="8"/>
        <c:tickMarkSkip val="8"/>
        <c:noMultiLvlLbl val="0"/>
      </c:catAx>
      <c:valAx>
        <c:axId val="227619359"/>
        <c:scaling>
          <c:orientation val="minMax"/>
          <c:max val="26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en-US" altLang="zh-CN" sz="1200"/>
                  <a:t>Altitude (m)</a:t>
                </a:r>
                <a:endParaRPr lang="zh-CN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2761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996189458689453"/>
          <c:y val="0.48985274240010229"/>
          <c:w val="0.22893999287749284"/>
          <c:h val="0.309195618879209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ysClr val="windowText" lastClr="000000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图9!$AB$1</c:f>
              <c:strCache>
                <c:ptCount val="1"/>
                <c:pt idx="0">
                  <c:v>Actual path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图9!$AB$2:$AB$74</c:f>
              <c:numCache>
                <c:formatCode>General</c:formatCode>
                <c:ptCount val="73"/>
                <c:pt idx="0">
                  <c:v>16.2</c:v>
                </c:pt>
                <c:pt idx="1">
                  <c:v>16.18994431578869</c:v>
                </c:pt>
                <c:pt idx="2">
                  <c:v>16.23</c:v>
                </c:pt>
                <c:pt idx="3">
                  <c:v>16.438526330591301</c:v>
                </c:pt>
                <c:pt idx="4">
                  <c:v>16.77265954533005</c:v>
                </c:pt>
                <c:pt idx="5">
                  <c:v>16.87</c:v>
                </c:pt>
                <c:pt idx="6">
                  <c:v>17.088302024697409</c:v>
                </c:pt>
                <c:pt idx="7">
                  <c:v>17.3</c:v>
                </c:pt>
                <c:pt idx="8">
                  <c:v>17.50930536380227</c:v>
                </c:pt>
                <c:pt idx="9">
                  <c:v>17.81924715610285</c:v>
                </c:pt>
                <c:pt idx="10">
                  <c:v>17.976022409316101</c:v>
                </c:pt>
                <c:pt idx="11">
                  <c:v>18.167629384157461</c:v>
                </c:pt>
                <c:pt idx="12">
                  <c:v>18.381372409495501</c:v>
                </c:pt>
                <c:pt idx="13">
                  <c:v>18.510000000000002</c:v>
                </c:pt>
                <c:pt idx="14">
                  <c:v>18.694881042171922</c:v>
                </c:pt>
                <c:pt idx="15">
                  <c:v>18.820132298207739</c:v>
                </c:pt>
                <c:pt idx="16">
                  <c:v>19.182337629892189</c:v>
                </c:pt>
                <c:pt idx="17">
                  <c:v>19.395120829470329</c:v>
                </c:pt>
                <c:pt idx="18">
                  <c:v>19.709214521701849</c:v>
                </c:pt>
                <c:pt idx="19">
                  <c:v>19.985029120342169</c:v>
                </c:pt>
                <c:pt idx="20">
                  <c:v>20.36939951356478</c:v>
                </c:pt>
                <c:pt idx="21">
                  <c:v>20.813443634166571</c:v>
                </c:pt>
                <c:pt idx="22">
                  <c:v>21.185240874981801</c:v>
                </c:pt>
                <c:pt idx="23">
                  <c:v>21.51545779924508</c:v>
                </c:pt>
                <c:pt idx="24">
                  <c:v>21.9382837573126</c:v>
                </c:pt>
                <c:pt idx="25">
                  <c:v>22.35399581240268</c:v>
                </c:pt>
                <c:pt idx="26">
                  <c:v>22.800055267935761</c:v>
                </c:pt>
                <c:pt idx="27">
                  <c:v>23.07861966713304</c:v>
                </c:pt>
                <c:pt idx="28">
                  <c:v>23.222124073160721</c:v>
                </c:pt>
                <c:pt idx="29">
                  <c:v>23.26</c:v>
                </c:pt>
                <c:pt idx="30">
                  <c:v>23.118694100136729</c:v>
                </c:pt>
                <c:pt idx="31">
                  <c:v>22.865061108829561</c:v>
                </c:pt>
                <c:pt idx="32">
                  <c:v>22.50125603280393</c:v>
                </c:pt>
                <c:pt idx="33">
                  <c:v>22.081010880983051</c:v>
                </c:pt>
                <c:pt idx="34">
                  <c:v>21.685041237236799</c:v>
                </c:pt>
                <c:pt idx="35">
                  <c:v>21.264957590363331</c:v>
                </c:pt>
                <c:pt idx="36">
                  <c:v>20.913911979364531</c:v>
                </c:pt>
                <c:pt idx="37">
                  <c:v>20.546891729057549</c:v>
                </c:pt>
                <c:pt idx="38">
                  <c:v>20.15231743913272</c:v>
                </c:pt>
                <c:pt idx="39">
                  <c:v>19.799122285242859</c:v>
                </c:pt>
                <c:pt idx="40">
                  <c:v>19.514445110632909</c:v>
                </c:pt>
                <c:pt idx="41">
                  <c:v>19.327604185096419</c:v>
                </c:pt>
                <c:pt idx="42">
                  <c:v>19.208045162869649</c:v>
                </c:pt>
                <c:pt idx="43">
                  <c:v>19.2</c:v>
                </c:pt>
                <c:pt idx="44">
                  <c:v>19.163088389471781</c:v>
                </c:pt>
                <c:pt idx="45">
                  <c:v>19.327891389974219</c:v>
                </c:pt>
                <c:pt idx="46">
                  <c:v>19.56886483268708</c:v>
                </c:pt>
                <c:pt idx="47">
                  <c:v>19.96802621912861</c:v>
                </c:pt>
                <c:pt idx="48">
                  <c:v>20.41691357784077</c:v>
                </c:pt>
                <c:pt idx="49">
                  <c:v>21.054406819932488</c:v>
                </c:pt>
                <c:pt idx="50">
                  <c:v>21.56018265494739</c:v>
                </c:pt>
                <c:pt idx="51">
                  <c:v>22.046770650926891</c:v>
                </c:pt>
                <c:pt idx="52">
                  <c:v>22.412964446331369</c:v>
                </c:pt>
                <c:pt idx="53">
                  <c:v>22.760791875890021</c:v>
                </c:pt>
                <c:pt idx="54">
                  <c:v>23.213427008272301</c:v>
                </c:pt>
                <c:pt idx="55">
                  <c:v>23.673198019802019</c:v>
                </c:pt>
                <c:pt idx="56">
                  <c:v>24.00158638949922</c:v>
                </c:pt>
                <c:pt idx="57">
                  <c:v>24.216525702151539</c:v>
                </c:pt>
                <c:pt idx="58">
                  <c:v>24.302311240474591</c:v>
                </c:pt>
                <c:pt idx="59">
                  <c:v>24.151286518413581</c:v>
                </c:pt>
                <c:pt idx="60">
                  <c:v>24</c:v>
                </c:pt>
                <c:pt idx="61">
                  <c:v>23.85</c:v>
                </c:pt>
                <c:pt idx="62">
                  <c:v>23.54435048117206</c:v>
                </c:pt>
                <c:pt idx="63">
                  <c:v>23.144007055849851</c:v>
                </c:pt>
                <c:pt idx="64">
                  <c:v>22.791726575079771</c:v>
                </c:pt>
                <c:pt idx="65">
                  <c:v>22.423245392214501</c:v>
                </c:pt>
                <c:pt idx="66">
                  <c:v>22.00703436627866</c:v>
                </c:pt>
                <c:pt idx="67">
                  <c:v>21.6873983224318</c:v>
                </c:pt>
                <c:pt idx="68">
                  <c:v>21.364055877997689</c:v>
                </c:pt>
                <c:pt idx="69">
                  <c:v>20.91885697751945</c:v>
                </c:pt>
                <c:pt idx="70">
                  <c:v>20.414459886974011</c:v>
                </c:pt>
                <c:pt idx="71">
                  <c:v>20.03557895340829</c:v>
                </c:pt>
                <c:pt idx="72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1-4A39-BDEF-8CF3F83E6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655248"/>
        <c:axId val="466656496"/>
      </c:lineChart>
      <c:catAx>
        <c:axId val="46665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6656496"/>
        <c:crosses val="autoZero"/>
        <c:auto val="1"/>
        <c:lblAlgn val="ctr"/>
        <c:lblOffset val="100"/>
        <c:noMultiLvlLbl val="0"/>
      </c:catAx>
      <c:valAx>
        <c:axId val="46665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665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65705128205132E-2"/>
          <c:y val="3.9586139240631868E-2"/>
          <c:w val="0.88968277824714304"/>
          <c:h val="0.80038175682731583"/>
        </c:manualLayout>
      </c:layout>
      <c:lineChart>
        <c:grouping val="standard"/>
        <c:varyColors val="0"/>
        <c:ser>
          <c:idx val="0"/>
          <c:order val="0"/>
          <c:tx>
            <c:strRef>
              <c:f>图9!$C$1</c:f>
              <c:strCache>
                <c:ptCount val="1"/>
                <c:pt idx="0">
                  <c:v>实际路线</c:v>
                </c:pt>
              </c:strCache>
            </c:strRef>
          </c:tx>
          <c:spPr>
            <a:ln w="28575" cap="rnd">
              <a:solidFill>
                <a:srgbClr val="015699"/>
              </a:solidFill>
              <a:round/>
            </a:ln>
            <a:effectLst/>
          </c:spPr>
          <c:marker>
            <c:symbol val="none"/>
          </c:marker>
          <c:cat>
            <c:numRef>
              <c:f>图9!$A$2:$A$38</c:f>
              <c:numCache>
                <c:formatCode>General</c:formatCode>
                <c:ptCount val="3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</c:numCache>
            </c:numRef>
          </c:cat>
          <c:val>
            <c:numRef>
              <c:f>图9!$C$2:$C$38</c:f>
              <c:numCache>
                <c:formatCode>General</c:formatCode>
                <c:ptCount val="37"/>
                <c:pt idx="0">
                  <c:v>16.2</c:v>
                </c:pt>
                <c:pt idx="1">
                  <c:v>16.23</c:v>
                </c:pt>
                <c:pt idx="2">
                  <c:v>16.77265954533005</c:v>
                </c:pt>
                <c:pt idx="3">
                  <c:v>17.088302024697409</c:v>
                </c:pt>
                <c:pt idx="4">
                  <c:v>17.50930536380227</c:v>
                </c:pt>
                <c:pt idx="5">
                  <c:v>17.976022409316101</c:v>
                </c:pt>
                <c:pt idx="6">
                  <c:v>18.381372409495501</c:v>
                </c:pt>
                <c:pt idx="7">
                  <c:v>18.694881042171922</c:v>
                </c:pt>
                <c:pt idx="8">
                  <c:v>19.182337629892189</c:v>
                </c:pt>
                <c:pt idx="9">
                  <c:v>19.709214521701849</c:v>
                </c:pt>
                <c:pt idx="10">
                  <c:v>20.36939951356478</c:v>
                </c:pt>
                <c:pt idx="11">
                  <c:v>21.185240874981801</c:v>
                </c:pt>
                <c:pt idx="12">
                  <c:v>21.9382837573126</c:v>
                </c:pt>
                <c:pt idx="13">
                  <c:v>22.800055267935761</c:v>
                </c:pt>
                <c:pt idx="14">
                  <c:v>23.222124073160721</c:v>
                </c:pt>
                <c:pt idx="15">
                  <c:v>23.118694100136729</c:v>
                </c:pt>
                <c:pt idx="16">
                  <c:v>22.50125603280393</c:v>
                </c:pt>
                <c:pt idx="17">
                  <c:v>21.685041237236799</c:v>
                </c:pt>
                <c:pt idx="18">
                  <c:v>20.913911979364531</c:v>
                </c:pt>
                <c:pt idx="19">
                  <c:v>20.15231743913272</c:v>
                </c:pt>
                <c:pt idx="20">
                  <c:v>19.514445110632909</c:v>
                </c:pt>
                <c:pt idx="21">
                  <c:v>19.208045162869649</c:v>
                </c:pt>
                <c:pt idx="22">
                  <c:v>19.163088389471781</c:v>
                </c:pt>
                <c:pt idx="23">
                  <c:v>19.56886483268708</c:v>
                </c:pt>
                <c:pt idx="24">
                  <c:v>20.41691357784077</c:v>
                </c:pt>
                <c:pt idx="25">
                  <c:v>21.56018265494739</c:v>
                </c:pt>
                <c:pt idx="26">
                  <c:v>22.412964446331369</c:v>
                </c:pt>
                <c:pt idx="27">
                  <c:v>23.213427008272301</c:v>
                </c:pt>
                <c:pt idx="28">
                  <c:v>24.00158638949922</c:v>
                </c:pt>
                <c:pt idx="29">
                  <c:v>24.302311240474591</c:v>
                </c:pt>
                <c:pt idx="30">
                  <c:v>24</c:v>
                </c:pt>
                <c:pt idx="31">
                  <c:v>23.54435048117206</c:v>
                </c:pt>
                <c:pt idx="32">
                  <c:v>22.791726575079771</c:v>
                </c:pt>
                <c:pt idx="33">
                  <c:v>22.00703436627866</c:v>
                </c:pt>
                <c:pt idx="34">
                  <c:v>21.364055877997689</c:v>
                </c:pt>
                <c:pt idx="35">
                  <c:v>20.414459886974011</c:v>
                </c:pt>
                <c:pt idx="36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1-4E86-A1C8-04EC691BAD43}"/>
            </c:ext>
          </c:extLst>
        </c:ser>
        <c:ser>
          <c:idx val="1"/>
          <c:order val="1"/>
          <c:tx>
            <c:strRef>
              <c:f>图9!$D$1</c:f>
              <c:strCache>
                <c:ptCount val="1"/>
                <c:pt idx="0">
                  <c:v>基准路线</c:v>
                </c:pt>
              </c:strCache>
            </c:strRef>
          </c:tx>
          <c:spPr>
            <a:ln w="28575" cap="rnd">
              <a:solidFill>
                <a:srgbClr val="FAC00F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图9!$A$2:$A$38</c:f>
              <c:numCache>
                <c:formatCode>General</c:formatCode>
                <c:ptCount val="3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</c:numCache>
            </c:numRef>
          </c:cat>
          <c:val>
            <c:numRef>
              <c:f>图9!$D$2:$D$38</c:f>
              <c:numCache>
                <c:formatCode>0.00</c:formatCode>
                <c:ptCount val="37"/>
                <c:pt idx="0">
                  <c:v>16.2</c:v>
                </c:pt>
                <c:pt idx="1">
                  <c:v>16.294444444444444</c:v>
                </c:pt>
                <c:pt idx="2">
                  <c:v>16.388888888888889</c:v>
                </c:pt>
                <c:pt idx="3">
                  <c:v>16.483333333333334</c:v>
                </c:pt>
                <c:pt idx="4">
                  <c:v>16.577777777777776</c:v>
                </c:pt>
                <c:pt idx="5">
                  <c:v>16.672222222222221</c:v>
                </c:pt>
                <c:pt idx="6">
                  <c:v>16.766666666666666</c:v>
                </c:pt>
                <c:pt idx="7">
                  <c:v>16.861111111111111</c:v>
                </c:pt>
                <c:pt idx="8">
                  <c:v>16.955555555555556</c:v>
                </c:pt>
                <c:pt idx="9">
                  <c:v>17.05</c:v>
                </c:pt>
                <c:pt idx="10">
                  <c:v>17.144444444444446</c:v>
                </c:pt>
                <c:pt idx="11">
                  <c:v>17.238888888888887</c:v>
                </c:pt>
                <c:pt idx="12">
                  <c:v>17.333333333333332</c:v>
                </c:pt>
                <c:pt idx="13">
                  <c:v>17.427777777777777</c:v>
                </c:pt>
                <c:pt idx="14">
                  <c:v>17.522222222222222</c:v>
                </c:pt>
                <c:pt idx="15">
                  <c:v>17.616666666666667</c:v>
                </c:pt>
                <c:pt idx="16">
                  <c:v>17.711111111111112</c:v>
                </c:pt>
                <c:pt idx="17">
                  <c:v>17.805555555555557</c:v>
                </c:pt>
                <c:pt idx="18">
                  <c:v>17.899999999999999</c:v>
                </c:pt>
                <c:pt idx="19">
                  <c:v>17.994444444444444</c:v>
                </c:pt>
                <c:pt idx="20">
                  <c:v>18.088888888888889</c:v>
                </c:pt>
                <c:pt idx="21">
                  <c:v>18.183333333333334</c:v>
                </c:pt>
                <c:pt idx="22">
                  <c:v>18.277777777777779</c:v>
                </c:pt>
                <c:pt idx="23">
                  <c:v>18.372222222222224</c:v>
                </c:pt>
                <c:pt idx="24">
                  <c:v>18.466666666666669</c:v>
                </c:pt>
                <c:pt idx="25">
                  <c:v>18.56111111111111</c:v>
                </c:pt>
                <c:pt idx="26">
                  <c:v>18.655555555555555</c:v>
                </c:pt>
                <c:pt idx="27">
                  <c:v>18.75</c:v>
                </c:pt>
                <c:pt idx="28">
                  <c:v>18.844444444444445</c:v>
                </c:pt>
                <c:pt idx="29">
                  <c:v>18.93888888888889</c:v>
                </c:pt>
                <c:pt idx="30">
                  <c:v>19.033333333333335</c:v>
                </c:pt>
                <c:pt idx="31">
                  <c:v>19.12777777777778</c:v>
                </c:pt>
                <c:pt idx="32">
                  <c:v>19.222222222222225</c:v>
                </c:pt>
                <c:pt idx="33">
                  <c:v>19.316666666666666</c:v>
                </c:pt>
                <c:pt idx="34">
                  <c:v>19.411111111111111</c:v>
                </c:pt>
                <c:pt idx="35">
                  <c:v>19.505555555555556</c:v>
                </c:pt>
                <c:pt idx="36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D1-4E86-A1C8-04EC691BAD43}"/>
            </c:ext>
          </c:extLst>
        </c:ser>
        <c:ser>
          <c:idx val="2"/>
          <c:order val="2"/>
          <c:tx>
            <c:strRef>
              <c:f>图9!$J$1</c:f>
              <c:strCache>
                <c:ptCount val="1"/>
                <c:pt idx="0">
                  <c:v>单弧</c:v>
                </c:pt>
              </c:strCache>
            </c:strRef>
          </c:tx>
          <c:spPr>
            <a:ln w="28575" cap="rnd">
              <a:solidFill>
                <a:srgbClr val="F3764A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图9!$A$2:$A$38</c:f>
              <c:numCache>
                <c:formatCode>General</c:formatCode>
                <c:ptCount val="3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</c:numCache>
            </c:numRef>
          </c:cat>
          <c:val>
            <c:numRef>
              <c:f>图9!$J$2:$J$38</c:f>
              <c:numCache>
                <c:formatCode>0.0_ </c:formatCode>
                <c:ptCount val="37"/>
                <c:pt idx="0">
                  <c:v>16.2</c:v>
                </c:pt>
                <c:pt idx="1">
                  <c:v>16.742644444444444</c:v>
                </c:pt>
                <c:pt idx="2">
                  <c:v>17.260888888888889</c:v>
                </c:pt>
                <c:pt idx="3">
                  <c:v>17.752833333333335</c:v>
                </c:pt>
                <c:pt idx="4">
                  <c:v>18.219077777777777</c:v>
                </c:pt>
                <c:pt idx="5">
                  <c:v>18.659722222222221</c:v>
                </c:pt>
                <c:pt idx="6">
                  <c:v>19.074766666666665</c:v>
                </c:pt>
                <c:pt idx="7">
                  <c:v>19.464111111111112</c:v>
                </c:pt>
                <c:pt idx="8">
                  <c:v>19.827855555555555</c:v>
                </c:pt>
                <c:pt idx="9">
                  <c:v>20.165900000000001</c:v>
                </c:pt>
                <c:pt idx="10">
                  <c:v>20.478344444444446</c:v>
                </c:pt>
                <c:pt idx="11">
                  <c:v>20.765188888888886</c:v>
                </c:pt>
                <c:pt idx="12">
                  <c:v>21.02623333333333</c:v>
                </c:pt>
                <c:pt idx="13">
                  <c:v>21.261777777777777</c:v>
                </c:pt>
                <c:pt idx="14">
                  <c:v>21.471622222222223</c:v>
                </c:pt>
                <c:pt idx="15">
                  <c:v>21.655866666666668</c:v>
                </c:pt>
                <c:pt idx="16">
                  <c:v>21.814411111111113</c:v>
                </c:pt>
                <c:pt idx="17">
                  <c:v>21.947255555555557</c:v>
                </c:pt>
                <c:pt idx="18">
                  <c:v>22.054600000000001</c:v>
                </c:pt>
                <c:pt idx="19">
                  <c:v>22.136144444444444</c:v>
                </c:pt>
                <c:pt idx="20">
                  <c:v>22.192188888888889</c:v>
                </c:pt>
                <c:pt idx="21">
                  <c:v>22.222533333333335</c:v>
                </c:pt>
                <c:pt idx="22">
                  <c:v>22.227177777777779</c:v>
                </c:pt>
                <c:pt idx="23">
                  <c:v>22.206222222222223</c:v>
                </c:pt>
                <c:pt idx="24">
                  <c:v>22.15956666666667</c:v>
                </c:pt>
                <c:pt idx="25">
                  <c:v>22.087411111111109</c:v>
                </c:pt>
                <c:pt idx="26">
                  <c:v>21.989455555555555</c:v>
                </c:pt>
                <c:pt idx="27">
                  <c:v>21.8659</c:v>
                </c:pt>
                <c:pt idx="28">
                  <c:v>21.716744444444444</c:v>
                </c:pt>
                <c:pt idx="29">
                  <c:v>21.541888888888892</c:v>
                </c:pt>
                <c:pt idx="30">
                  <c:v>21.341433333333335</c:v>
                </c:pt>
                <c:pt idx="31">
                  <c:v>21.115277777777781</c:v>
                </c:pt>
                <c:pt idx="32">
                  <c:v>20.863522222222226</c:v>
                </c:pt>
                <c:pt idx="33">
                  <c:v>20.586066666666667</c:v>
                </c:pt>
                <c:pt idx="34">
                  <c:v>20.283011111111112</c:v>
                </c:pt>
                <c:pt idx="35">
                  <c:v>19.954355555555555</c:v>
                </c:pt>
                <c:pt idx="36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D1-4E86-A1C8-04EC691BAD43}"/>
            </c:ext>
          </c:extLst>
        </c:ser>
        <c:ser>
          <c:idx val="6"/>
          <c:order val="3"/>
          <c:tx>
            <c:strRef>
              <c:f>图9!$O$1</c:f>
              <c:strCache>
                <c:ptCount val="1"/>
                <c:pt idx="0">
                  <c:v>多弧</c:v>
                </c:pt>
              </c:strCache>
            </c:strRef>
          </c:tx>
          <c:spPr>
            <a:ln w="28575" cap="rnd">
              <a:solidFill>
                <a:srgbClr val="5FC6C9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图9!$A$2:$A$38</c:f>
              <c:numCache>
                <c:formatCode>General</c:formatCode>
                <c:ptCount val="3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</c:numCache>
            </c:numRef>
          </c:cat>
          <c:val>
            <c:numRef>
              <c:f>图9!$O$2:$O$38</c:f>
              <c:numCache>
                <c:formatCode>0.0_ </c:formatCode>
                <c:ptCount val="37"/>
                <c:pt idx="0">
                  <c:v>16.2</c:v>
                </c:pt>
                <c:pt idx="1">
                  <c:v>17.95</c:v>
                </c:pt>
                <c:pt idx="2">
                  <c:v>19.7</c:v>
                </c:pt>
                <c:pt idx="3">
                  <c:v>21.073799999999999</c:v>
                </c:pt>
                <c:pt idx="4">
                  <c:v>21.7821</c:v>
                </c:pt>
                <c:pt idx="5">
                  <c:v>21.823799999999999</c:v>
                </c:pt>
                <c:pt idx="6">
                  <c:v>21.2</c:v>
                </c:pt>
                <c:pt idx="7">
                  <c:v>20.2</c:v>
                </c:pt>
                <c:pt idx="8">
                  <c:v>19.2</c:v>
                </c:pt>
                <c:pt idx="9">
                  <c:v>18.2</c:v>
                </c:pt>
                <c:pt idx="10">
                  <c:v>17.283300000000001</c:v>
                </c:pt>
                <c:pt idx="11">
                  <c:v>16.95</c:v>
                </c:pt>
                <c:pt idx="12">
                  <c:v>17.283300000000001</c:v>
                </c:pt>
                <c:pt idx="13">
                  <c:v>18.2</c:v>
                </c:pt>
                <c:pt idx="14">
                  <c:v>19.2</c:v>
                </c:pt>
                <c:pt idx="15">
                  <c:v>20.2</c:v>
                </c:pt>
                <c:pt idx="16">
                  <c:v>21.2</c:v>
                </c:pt>
                <c:pt idx="17">
                  <c:v>22.116699999999998</c:v>
                </c:pt>
                <c:pt idx="18">
                  <c:v>22.45</c:v>
                </c:pt>
                <c:pt idx="19">
                  <c:v>22.116699999999998</c:v>
                </c:pt>
                <c:pt idx="20">
                  <c:v>21.2</c:v>
                </c:pt>
                <c:pt idx="21">
                  <c:v>20.2</c:v>
                </c:pt>
                <c:pt idx="22">
                  <c:v>19.2</c:v>
                </c:pt>
                <c:pt idx="23">
                  <c:v>18.2</c:v>
                </c:pt>
                <c:pt idx="24">
                  <c:v>17.283300000000001</c:v>
                </c:pt>
                <c:pt idx="25">
                  <c:v>16.95</c:v>
                </c:pt>
                <c:pt idx="26">
                  <c:v>17.283300000000001</c:v>
                </c:pt>
                <c:pt idx="27">
                  <c:v>18.2</c:v>
                </c:pt>
                <c:pt idx="28">
                  <c:v>19.2</c:v>
                </c:pt>
                <c:pt idx="29">
                  <c:v>20.2</c:v>
                </c:pt>
                <c:pt idx="30">
                  <c:v>21.2</c:v>
                </c:pt>
                <c:pt idx="31">
                  <c:v>22.139800000000001</c:v>
                </c:pt>
                <c:pt idx="32">
                  <c:v>22.523099999999999</c:v>
                </c:pt>
                <c:pt idx="33">
                  <c:v>22.239799999999999</c:v>
                </c:pt>
                <c:pt idx="34">
                  <c:v>21.4</c:v>
                </c:pt>
                <c:pt idx="35">
                  <c:v>20.5</c:v>
                </c:pt>
                <c:pt idx="36">
                  <c:v>19.599999999999998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D1-4E86-A1C8-04EC691BA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617695"/>
        <c:axId val="227619359"/>
      </c:lineChart>
      <c:catAx>
        <c:axId val="227617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距离（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27619359"/>
        <c:crossesAt val="-60"/>
        <c:auto val="1"/>
        <c:lblAlgn val="ctr"/>
        <c:lblOffset val="100"/>
        <c:tickLblSkip val="4"/>
        <c:tickMarkSkip val="4"/>
        <c:noMultiLvlLbl val="0"/>
      </c:catAx>
      <c:valAx>
        <c:axId val="227619359"/>
        <c:scaling>
          <c:orientation val="minMax"/>
          <c:max val="26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高度（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2761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996189458689453"/>
          <c:y val="0.48985274240010229"/>
          <c:w val="0.22893999287749284"/>
          <c:h val="0.309195618879209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ysClr val="windowText" lastClr="000000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03241164621864"/>
          <c:y val="0.1411776788770969"/>
          <c:w val="0.83021790880791069"/>
          <c:h val="0.69306772794705007"/>
        </c:manualLayout>
      </c:layout>
      <c:scatterChart>
        <c:scatterStyle val="lineMarker"/>
        <c:varyColors val="0"/>
        <c:ser>
          <c:idx val="0"/>
          <c:order val="0"/>
          <c:tx>
            <c:strRef>
              <c:f>图9!$V$1</c:f>
              <c:strCache>
                <c:ptCount val="1"/>
                <c:pt idx="0">
                  <c:v>高程控制点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图9!$R$2:$R$74</c:f>
              <c:numCache>
                <c:formatCode>0_ 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xVal>
          <c:yVal>
            <c:numRef>
              <c:f>图9!$V$2:$V$74</c:f>
              <c:numCache>
                <c:formatCode>General</c:formatCode>
                <c:ptCount val="73"/>
                <c:pt idx="0">
                  <c:v>16.2</c:v>
                </c:pt>
                <c:pt idx="8">
                  <c:v>23.2</c:v>
                </c:pt>
                <c:pt idx="22">
                  <c:v>16.2</c:v>
                </c:pt>
                <c:pt idx="36">
                  <c:v>23.2</c:v>
                </c:pt>
                <c:pt idx="50">
                  <c:v>16.2</c:v>
                </c:pt>
                <c:pt idx="64">
                  <c:v>23.2</c:v>
                </c:pt>
                <c:pt idx="72">
                  <c:v>19.599999999999998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35-4038-8C90-BD97A6E0B3BB}"/>
            </c:ext>
          </c:extLst>
        </c:ser>
        <c:ser>
          <c:idx val="1"/>
          <c:order val="1"/>
          <c:tx>
            <c:strRef>
              <c:f>图9!$T$1</c:f>
              <c:strCache>
                <c:ptCount val="1"/>
                <c:pt idx="0">
                  <c:v>道路高程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图9!$R$2:$R$74</c:f>
              <c:numCache>
                <c:formatCode>0_ 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xVal>
          <c:yVal>
            <c:numRef>
              <c:f>图9!$T$2:$T$74</c:f>
              <c:numCache>
                <c:formatCode>0.0_ </c:formatCode>
                <c:ptCount val="73"/>
                <c:pt idx="0">
                  <c:v>16.2</c:v>
                </c:pt>
                <c:pt idx="1">
                  <c:v>17.074999999999999</c:v>
                </c:pt>
                <c:pt idx="2">
                  <c:v>17.95</c:v>
                </c:pt>
                <c:pt idx="3">
                  <c:v>18.824999999999999</c:v>
                </c:pt>
                <c:pt idx="4">
                  <c:v>19.7</c:v>
                </c:pt>
                <c:pt idx="5">
                  <c:v>20.4696</c:v>
                </c:pt>
                <c:pt idx="6">
                  <c:v>21.073799999999999</c:v>
                </c:pt>
                <c:pt idx="7">
                  <c:v>21.513300000000001</c:v>
                </c:pt>
                <c:pt idx="8">
                  <c:v>21.7821</c:v>
                </c:pt>
                <c:pt idx="9">
                  <c:v>21.886299999999999</c:v>
                </c:pt>
                <c:pt idx="10">
                  <c:v>21.823799999999999</c:v>
                </c:pt>
                <c:pt idx="11">
                  <c:v>21.5946</c:v>
                </c:pt>
                <c:pt idx="12">
                  <c:v>21.2</c:v>
                </c:pt>
                <c:pt idx="13">
                  <c:v>20.7</c:v>
                </c:pt>
                <c:pt idx="14">
                  <c:v>20.2</c:v>
                </c:pt>
                <c:pt idx="15">
                  <c:v>19.7</c:v>
                </c:pt>
                <c:pt idx="16">
                  <c:v>19.2</c:v>
                </c:pt>
                <c:pt idx="17">
                  <c:v>18.7</c:v>
                </c:pt>
                <c:pt idx="18">
                  <c:v>18.2</c:v>
                </c:pt>
                <c:pt idx="19">
                  <c:v>17.7</c:v>
                </c:pt>
                <c:pt idx="20">
                  <c:v>17.283300000000001</c:v>
                </c:pt>
                <c:pt idx="21">
                  <c:v>17.033300000000001</c:v>
                </c:pt>
                <c:pt idx="22">
                  <c:v>16.95</c:v>
                </c:pt>
                <c:pt idx="23">
                  <c:v>17.033300000000001</c:v>
                </c:pt>
                <c:pt idx="24">
                  <c:v>17.283300000000001</c:v>
                </c:pt>
                <c:pt idx="25">
                  <c:v>17.7</c:v>
                </c:pt>
                <c:pt idx="26">
                  <c:v>18.2</c:v>
                </c:pt>
                <c:pt idx="27">
                  <c:v>18.7</c:v>
                </c:pt>
                <c:pt idx="28">
                  <c:v>19.2</c:v>
                </c:pt>
                <c:pt idx="29">
                  <c:v>19.7</c:v>
                </c:pt>
                <c:pt idx="30">
                  <c:v>20.2</c:v>
                </c:pt>
                <c:pt idx="31">
                  <c:v>20.7</c:v>
                </c:pt>
                <c:pt idx="32">
                  <c:v>21.2</c:v>
                </c:pt>
                <c:pt idx="33">
                  <c:v>21.7</c:v>
                </c:pt>
                <c:pt idx="34">
                  <c:v>22.116699999999998</c:v>
                </c:pt>
                <c:pt idx="35">
                  <c:v>22.366699999999998</c:v>
                </c:pt>
                <c:pt idx="36">
                  <c:v>22.45</c:v>
                </c:pt>
                <c:pt idx="37">
                  <c:v>22.366699999999998</c:v>
                </c:pt>
                <c:pt idx="38">
                  <c:v>22.116699999999998</c:v>
                </c:pt>
                <c:pt idx="39">
                  <c:v>21.7</c:v>
                </c:pt>
                <c:pt idx="40">
                  <c:v>21.2</c:v>
                </c:pt>
                <c:pt idx="41">
                  <c:v>20.7</c:v>
                </c:pt>
                <c:pt idx="42">
                  <c:v>20.2</c:v>
                </c:pt>
                <c:pt idx="43">
                  <c:v>19.7</c:v>
                </c:pt>
                <c:pt idx="44">
                  <c:v>19.2</c:v>
                </c:pt>
                <c:pt idx="45">
                  <c:v>18.7</c:v>
                </c:pt>
                <c:pt idx="46">
                  <c:v>18.2</c:v>
                </c:pt>
                <c:pt idx="47">
                  <c:v>17.7</c:v>
                </c:pt>
                <c:pt idx="48">
                  <c:v>17.283300000000001</c:v>
                </c:pt>
                <c:pt idx="49">
                  <c:v>17.033300000000001</c:v>
                </c:pt>
                <c:pt idx="50">
                  <c:v>16.95</c:v>
                </c:pt>
                <c:pt idx="51">
                  <c:v>17.033300000000001</c:v>
                </c:pt>
                <c:pt idx="52">
                  <c:v>17.283300000000001</c:v>
                </c:pt>
                <c:pt idx="53">
                  <c:v>17.7</c:v>
                </c:pt>
                <c:pt idx="54">
                  <c:v>18.2</c:v>
                </c:pt>
                <c:pt idx="55">
                  <c:v>18.7</c:v>
                </c:pt>
                <c:pt idx="56">
                  <c:v>19.2</c:v>
                </c:pt>
                <c:pt idx="57">
                  <c:v>19.7</c:v>
                </c:pt>
                <c:pt idx="58">
                  <c:v>20.2</c:v>
                </c:pt>
                <c:pt idx="59">
                  <c:v>20.7</c:v>
                </c:pt>
                <c:pt idx="60">
                  <c:v>21.2</c:v>
                </c:pt>
                <c:pt idx="61">
                  <c:v>21.7</c:v>
                </c:pt>
                <c:pt idx="62">
                  <c:v>22.139800000000001</c:v>
                </c:pt>
                <c:pt idx="63">
                  <c:v>22.4148</c:v>
                </c:pt>
                <c:pt idx="64">
                  <c:v>22.523099999999999</c:v>
                </c:pt>
                <c:pt idx="65">
                  <c:v>22.4148</c:v>
                </c:pt>
                <c:pt idx="66">
                  <c:v>22.239799999999999</c:v>
                </c:pt>
                <c:pt idx="67">
                  <c:v>21.848099999999999</c:v>
                </c:pt>
                <c:pt idx="68">
                  <c:v>21.4</c:v>
                </c:pt>
                <c:pt idx="69">
                  <c:v>20.95</c:v>
                </c:pt>
                <c:pt idx="70">
                  <c:v>20.5</c:v>
                </c:pt>
                <c:pt idx="71">
                  <c:v>20.05</c:v>
                </c:pt>
                <c:pt idx="72">
                  <c:v>19.599999999999998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35-4038-8C90-BD97A6E0B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350944"/>
        <c:axId val="1061348448"/>
      </c:scatterChart>
      <c:valAx>
        <c:axId val="1061350944"/>
        <c:scaling>
          <c:orientation val="minMax"/>
          <c:max val="3600"/>
          <c:min val="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061348448"/>
        <c:crosses val="autoZero"/>
        <c:crossBetween val="midCat"/>
        <c:majorUnit val="400"/>
      </c:valAx>
      <c:valAx>
        <c:axId val="1061348448"/>
        <c:scaling>
          <c:orientation val="minMax"/>
          <c:max val="26"/>
          <c:min val="10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061350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14507198228128"/>
          <c:y val="4.0244208604359288E-2"/>
          <c:w val="0.15946843853820597"/>
          <c:h val="0.126874928677393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弧度回归速度分析!$A$15</c:f>
              <c:strCache>
                <c:ptCount val="1"/>
                <c:pt idx="0">
                  <c:v>实验车速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弧度回归速度分析!$A$16:$A$160</c:f>
              <c:numCache>
                <c:formatCode>0.00</c:formatCode>
                <c:ptCount val="145"/>
                <c:pt idx="0">
                  <c:v>25.995999999999999</c:v>
                </c:pt>
                <c:pt idx="1">
                  <c:v>26.247900000000001</c:v>
                </c:pt>
                <c:pt idx="2">
                  <c:v>26.609100000000002</c:v>
                </c:pt>
                <c:pt idx="3">
                  <c:v>26.978899999999999</c:v>
                </c:pt>
                <c:pt idx="4">
                  <c:v>27.326899999999998</c:v>
                </c:pt>
                <c:pt idx="5">
                  <c:v>27.335699999999999</c:v>
                </c:pt>
                <c:pt idx="6">
                  <c:v>27.0625</c:v>
                </c:pt>
                <c:pt idx="7">
                  <c:v>26.622</c:v>
                </c:pt>
                <c:pt idx="8">
                  <c:v>26.305</c:v>
                </c:pt>
                <c:pt idx="9">
                  <c:v>26.115400000000001</c:v>
                </c:pt>
                <c:pt idx="10">
                  <c:v>26.292400000000001</c:v>
                </c:pt>
                <c:pt idx="11">
                  <c:v>26.4345</c:v>
                </c:pt>
                <c:pt idx="12">
                  <c:v>26.106200000000001</c:v>
                </c:pt>
                <c:pt idx="13">
                  <c:v>25.740100000000002</c:v>
                </c:pt>
                <c:pt idx="14">
                  <c:v>25.5748</c:v>
                </c:pt>
                <c:pt idx="15">
                  <c:v>25.419499999999999</c:v>
                </c:pt>
                <c:pt idx="16">
                  <c:v>25.1449</c:v>
                </c:pt>
                <c:pt idx="17">
                  <c:v>25.026900000000001</c:v>
                </c:pt>
                <c:pt idx="18">
                  <c:v>24.679600000000001</c:v>
                </c:pt>
                <c:pt idx="19">
                  <c:v>24.111699999999999</c:v>
                </c:pt>
                <c:pt idx="20">
                  <c:v>23.842400000000001</c:v>
                </c:pt>
                <c:pt idx="21">
                  <c:v>23.645800000000001</c:v>
                </c:pt>
                <c:pt idx="22">
                  <c:v>23.4087</c:v>
                </c:pt>
                <c:pt idx="23">
                  <c:v>23.295000000000002</c:v>
                </c:pt>
                <c:pt idx="24">
                  <c:v>23.7074</c:v>
                </c:pt>
                <c:pt idx="25">
                  <c:v>24.2225</c:v>
                </c:pt>
                <c:pt idx="26">
                  <c:v>24.755700000000001</c:v>
                </c:pt>
                <c:pt idx="27">
                  <c:v>25.367699999999999</c:v>
                </c:pt>
                <c:pt idx="28">
                  <c:v>25.879000000000001</c:v>
                </c:pt>
                <c:pt idx="29">
                  <c:v>25.638300000000001</c:v>
                </c:pt>
                <c:pt idx="30">
                  <c:v>25.401399999999999</c:v>
                </c:pt>
                <c:pt idx="31">
                  <c:v>25.510999999999999</c:v>
                </c:pt>
                <c:pt idx="32">
                  <c:v>25.6007</c:v>
                </c:pt>
                <c:pt idx="33">
                  <c:v>25.081600000000002</c:v>
                </c:pt>
                <c:pt idx="34">
                  <c:v>24.657</c:v>
                </c:pt>
                <c:pt idx="35">
                  <c:v>24.337700000000002</c:v>
                </c:pt>
                <c:pt idx="36">
                  <c:v>23.87</c:v>
                </c:pt>
                <c:pt idx="37">
                  <c:v>23.325199999999999</c:v>
                </c:pt>
                <c:pt idx="38">
                  <c:v>22.822700000000001</c:v>
                </c:pt>
                <c:pt idx="39">
                  <c:v>22.228200000000001</c:v>
                </c:pt>
                <c:pt idx="40">
                  <c:v>21.794899999999998</c:v>
                </c:pt>
                <c:pt idx="41">
                  <c:v>21.5349</c:v>
                </c:pt>
                <c:pt idx="42">
                  <c:v>21.363800000000001</c:v>
                </c:pt>
                <c:pt idx="43">
                  <c:v>21.668099999999999</c:v>
                </c:pt>
                <c:pt idx="44">
                  <c:v>21.930800000000001</c:v>
                </c:pt>
                <c:pt idx="45">
                  <c:v>22.420200000000001</c:v>
                </c:pt>
                <c:pt idx="46">
                  <c:v>23.0274</c:v>
                </c:pt>
                <c:pt idx="47">
                  <c:v>22.8812</c:v>
                </c:pt>
                <c:pt idx="48">
                  <c:v>22.619299999999999</c:v>
                </c:pt>
                <c:pt idx="49">
                  <c:v>22.8628</c:v>
                </c:pt>
                <c:pt idx="50">
                  <c:v>22.694199999999999</c:v>
                </c:pt>
                <c:pt idx="51">
                  <c:v>23.102799999999998</c:v>
                </c:pt>
                <c:pt idx="52">
                  <c:v>23.748100000000001</c:v>
                </c:pt>
                <c:pt idx="53">
                  <c:v>24.0242</c:v>
                </c:pt>
                <c:pt idx="54">
                  <c:v>23.962599999999998</c:v>
                </c:pt>
                <c:pt idx="55">
                  <c:v>23.855499999999999</c:v>
                </c:pt>
                <c:pt idx="56">
                  <c:v>24.129200000000001</c:v>
                </c:pt>
                <c:pt idx="57">
                  <c:v>24.544599999999999</c:v>
                </c:pt>
                <c:pt idx="58">
                  <c:v>25.037299999999998</c:v>
                </c:pt>
                <c:pt idx="59">
                  <c:v>25.041699999999999</c:v>
                </c:pt>
                <c:pt idx="60">
                  <c:v>24.810300000000002</c:v>
                </c:pt>
                <c:pt idx="61">
                  <c:v>24.5215</c:v>
                </c:pt>
                <c:pt idx="62">
                  <c:v>24.2958</c:v>
                </c:pt>
                <c:pt idx="63">
                  <c:v>24.392099999999999</c:v>
                </c:pt>
                <c:pt idx="64">
                  <c:v>24.715399999999999</c:v>
                </c:pt>
                <c:pt idx="65">
                  <c:v>25.017700000000001</c:v>
                </c:pt>
                <c:pt idx="66">
                  <c:v>25.214700000000001</c:v>
                </c:pt>
                <c:pt idx="67">
                  <c:v>25.0519</c:v>
                </c:pt>
                <c:pt idx="68">
                  <c:v>25.0884</c:v>
                </c:pt>
                <c:pt idx="69">
                  <c:v>25.44</c:v>
                </c:pt>
                <c:pt idx="70">
                  <c:v>25.513000000000002</c:v>
                </c:pt>
                <c:pt idx="71">
                  <c:v>25.263500000000001</c:v>
                </c:pt>
                <c:pt idx="72">
                  <c:v>25.047799999999999</c:v>
                </c:pt>
                <c:pt idx="73">
                  <c:v>25.049800000000001</c:v>
                </c:pt>
                <c:pt idx="74">
                  <c:v>24.902699999999999</c:v>
                </c:pt>
                <c:pt idx="75">
                  <c:v>24.6661</c:v>
                </c:pt>
                <c:pt idx="76">
                  <c:v>24.439599999999999</c:v>
                </c:pt>
                <c:pt idx="77">
                  <c:v>24.415900000000001</c:v>
                </c:pt>
                <c:pt idx="78">
                  <c:v>24.253699999999998</c:v>
                </c:pt>
                <c:pt idx="79">
                  <c:v>24.069400000000002</c:v>
                </c:pt>
                <c:pt idx="80">
                  <c:v>24.350999999999999</c:v>
                </c:pt>
                <c:pt idx="81">
                  <c:v>24.574200000000001</c:v>
                </c:pt>
                <c:pt idx="82">
                  <c:v>24.843299999999999</c:v>
                </c:pt>
                <c:pt idx="83">
                  <c:v>24.874400000000001</c:v>
                </c:pt>
                <c:pt idx="84">
                  <c:v>24.962</c:v>
                </c:pt>
                <c:pt idx="85">
                  <c:v>25.016500000000001</c:v>
                </c:pt>
                <c:pt idx="86">
                  <c:v>24.992000000000001</c:v>
                </c:pt>
                <c:pt idx="87">
                  <c:v>25.046399999999998</c:v>
                </c:pt>
                <c:pt idx="88">
                  <c:v>25.418500000000002</c:v>
                </c:pt>
                <c:pt idx="89">
                  <c:v>25.5915</c:v>
                </c:pt>
                <c:pt idx="90">
                  <c:v>25.3093</c:v>
                </c:pt>
                <c:pt idx="91">
                  <c:v>24.9146</c:v>
                </c:pt>
                <c:pt idx="92">
                  <c:v>24.522400000000001</c:v>
                </c:pt>
                <c:pt idx="93">
                  <c:v>24.328499999999998</c:v>
                </c:pt>
                <c:pt idx="94">
                  <c:v>24.680399999999999</c:v>
                </c:pt>
                <c:pt idx="95">
                  <c:v>25.232800000000001</c:v>
                </c:pt>
                <c:pt idx="96">
                  <c:v>25.676500000000001</c:v>
                </c:pt>
                <c:pt idx="97">
                  <c:v>26.153400000000001</c:v>
                </c:pt>
                <c:pt idx="98">
                  <c:v>26.112500000000001</c:v>
                </c:pt>
                <c:pt idx="99">
                  <c:v>26.3003</c:v>
                </c:pt>
                <c:pt idx="100">
                  <c:v>26.550899999999999</c:v>
                </c:pt>
                <c:pt idx="101">
                  <c:v>26.611499999999999</c:v>
                </c:pt>
                <c:pt idx="102">
                  <c:v>26.506900000000002</c:v>
                </c:pt>
                <c:pt idx="103">
                  <c:v>26.545999999999999</c:v>
                </c:pt>
                <c:pt idx="104">
                  <c:v>26.638000000000002</c:v>
                </c:pt>
                <c:pt idx="105">
                  <c:v>26.421700000000001</c:v>
                </c:pt>
                <c:pt idx="106">
                  <c:v>26.679300000000001</c:v>
                </c:pt>
                <c:pt idx="107">
                  <c:v>26.9207</c:v>
                </c:pt>
                <c:pt idx="108">
                  <c:v>26.627800000000001</c:v>
                </c:pt>
                <c:pt idx="109">
                  <c:v>26.196400000000001</c:v>
                </c:pt>
                <c:pt idx="110">
                  <c:v>25.747299999999999</c:v>
                </c:pt>
                <c:pt idx="111">
                  <c:v>25.1723</c:v>
                </c:pt>
                <c:pt idx="112">
                  <c:v>24.857900000000001</c:v>
                </c:pt>
                <c:pt idx="113">
                  <c:v>24.95</c:v>
                </c:pt>
                <c:pt idx="114">
                  <c:v>24.980699999999999</c:v>
                </c:pt>
                <c:pt idx="115">
                  <c:v>24.8855</c:v>
                </c:pt>
                <c:pt idx="116">
                  <c:v>24.749500000000001</c:v>
                </c:pt>
                <c:pt idx="117">
                  <c:v>24.946999999999999</c:v>
                </c:pt>
                <c:pt idx="118">
                  <c:v>24.838000000000001</c:v>
                </c:pt>
                <c:pt idx="119">
                  <c:v>24.628900000000002</c:v>
                </c:pt>
                <c:pt idx="120">
                  <c:v>24.3813</c:v>
                </c:pt>
                <c:pt idx="121">
                  <c:v>23.816700000000001</c:v>
                </c:pt>
                <c:pt idx="122">
                  <c:v>23.330500000000001</c:v>
                </c:pt>
                <c:pt idx="123">
                  <c:v>23.223400000000002</c:v>
                </c:pt>
                <c:pt idx="124">
                  <c:v>23.625599999999999</c:v>
                </c:pt>
                <c:pt idx="125">
                  <c:v>24.179600000000001</c:v>
                </c:pt>
                <c:pt idx="126">
                  <c:v>24.323599999999999</c:v>
                </c:pt>
                <c:pt idx="127">
                  <c:v>24.380199999999999</c:v>
                </c:pt>
                <c:pt idx="128">
                  <c:v>24.394600000000001</c:v>
                </c:pt>
                <c:pt idx="129">
                  <c:v>23.6965</c:v>
                </c:pt>
                <c:pt idx="130">
                  <c:v>23.307400000000001</c:v>
                </c:pt>
                <c:pt idx="131">
                  <c:v>23.182300000000001</c:v>
                </c:pt>
                <c:pt idx="132">
                  <c:v>23.500299999999999</c:v>
                </c:pt>
                <c:pt idx="133">
                  <c:v>23.3857</c:v>
                </c:pt>
                <c:pt idx="134">
                  <c:v>23.492899999999999</c:v>
                </c:pt>
                <c:pt idx="135">
                  <c:v>23.674900000000001</c:v>
                </c:pt>
                <c:pt idx="136">
                  <c:v>23.5139</c:v>
                </c:pt>
                <c:pt idx="137">
                  <c:v>23.4055</c:v>
                </c:pt>
                <c:pt idx="138">
                  <c:v>23.827000000000002</c:v>
                </c:pt>
                <c:pt idx="139">
                  <c:v>24.383700000000001</c:v>
                </c:pt>
                <c:pt idx="140">
                  <c:v>24.996300000000002</c:v>
                </c:pt>
                <c:pt idx="141">
                  <c:v>25.571400000000001</c:v>
                </c:pt>
                <c:pt idx="142">
                  <c:v>26.1053</c:v>
                </c:pt>
                <c:pt idx="143">
                  <c:v>26.2529</c:v>
                </c:pt>
                <c:pt idx="144">
                  <c:v>26.347000000000001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B5-463C-8D4F-062B98ACD575}"/>
            </c:ext>
          </c:extLst>
        </c:ser>
        <c:ser>
          <c:idx val="1"/>
          <c:order val="1"/>
          <c:tx>
            <c:strRef>
              <c:f>弧度回归速度分析!$B$15</c:f>
              <c:strCache>
                <c:ptCount val="1"/>
                <c:pt idx="0">
                  <c:v>实际路线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弧度回归速度分析!$B$16:$B$160</c:f>
              <c:numCache>
                <c:formatCode>General</c:formatCode>
                <c:ptCount val="14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25.1</c:v>
                </c:pt>
                <c:pt idx="54">
                  <c:v>25.2</c:v>
                </c:pt>
                <c:pt idx="55">
                  <c:v>25.3</c:v>
                </c:pt>
                <c:pt idx="56">
                  <c:v>25.4</c:v>
                </c:pt>
                <c:pt idx="57">
                  <c:v>25.5</c:v>
                </c:pt>
                <c:pt idx="58">
                  <c:v>25.6</c:v>
                </c:pt>
                <c:pt idx="59">
                  <c:v>25.7</c:v>
                </c:pt>
                <c:pt idx="60">
                  <c:v>25.8</c:v>
                </c:pt>
                <c:pt idx="61">
                  <c:v>26</c:v>
                </c:pt>
                <c:pt idx="62">
                  <c:v>26.2</c:v>
                </c:pt>
                <c:pt idx="63">
                  <c:v>26.4</c:v>
                </c:pt>
                <c:pt idx="64">
                  <c:v>26.5</c:v>
                </c:pt>
                <c:pt idx="65">
                  <c:v>26.7</c:v>
                </c:pt>
                <c:pt idx="66">
                  <c:v>26.8</c:v>
                </c:pt>
                <c:pt idx="67">
                  <c:v>26.9</c:v>
                </c:pt>
                <c:pt idx="68">
                  <c:v>27</c:v>
                </c:pt>
                <c:pt idx="69">
                  <c:v>27.1</c:v>
                </c:pt>
                <c:pt idx="70">
                  <c:v>27.2</c:v>
                </c:pt>
                <c:pt idx="71">
                  <c:v>27.3</c:v>
                </c:pt>
                <c:pt idx="72">
                  <c:v>27.4</c:v>
                </c:pt>
                <c:pt idx="73">
                  <c:v>27.5</c:v>
                </c:pt>
                <c:pt idx="74">
                  <c:v>27.6</c:v>
                </c:pt>
                <c:pt idx="75">
                  <c:v>27.7</c:v>
                </c:pt>
                <c:pt idx="76">
                  <c:v>27.78</c:v>
                </c:pt>
                <c:pt idx="77">
                  <c:v>27.78</c:v>
                </c:pt>
                <c:pt idx="78">
                  <c:v>27.78</c:v>
                </c:pt>
                <c:pt idx="79">
                  <c:v>27.78</c:v>
                </c:pt>
                <c:pt idx="80">
                  <c:v>27.78</c:v>
                </c:pt>
                <c:pt idx="81">
                  <c:v>27.78</c:v>
                </c:pt>
                <c:pt idx="82">
                  <c:v>27.78</c:v>
                </c:pt>
                <c:pt idx="83">
                  <c:v>27.78</c:v>
                </c:pt>
                <c:pt idx="84">
                  <c:v>27.7</c:v>
                </c:pt>
                <c:pt idx="85">
                  <c:v>27.6</c:v>
                </c:pt>
                <c:pt idx="86">
                  <c:v>27.5</c:v>
                </c:pt>
                <c:pt idx="87">
                  <c:v>27.4</c:v>
                </c:pt>
                <c:pt idx="88">
                  <c:v>27.3</c:v>
                </c:pt>
                <c:pt idx="89">
                  <c:v>27.2</c:v>
                </c:pt>
                <c:pt idx="90">
                  <c:v>27.1</c:v>
                </c:pt>
                <c:pt idx="91">
                  <c:v>27</c:v>
                </c:pt>
                <c:pt idx="92">
                  <c:v>26.9</c:v>
                </c:pt>
                <c:pt idx="93">
                  <c:v>26.7</c:v>
                </c:pt>
                <c:pt idx="94">
                  <c:v>26.6</c:v>
                </c:pt>
                <c:pt idx="95">
                  <c:v>26.5</c:v>
                </c:pt>
                <c:pt idx="96">
                  <c:v>26.4</c:v>
                </c:pt>
                <c:pt idx="97">
                  <c:v>26.2</c:v>
                </c:pt>
                <c:pt idx="98">
                  <c:v>26</c:v>
                </c:pt>
                <c:pt idx="99">
                  <c:v>25.9</c:v>
                </c:pt>
                <c:pt idx="100">
                  <c:v>25.8</c:v>
                </c:pt>
                <c:pt idx="101">
                  <c:v>25.7</c:v>
                </c:pt>
                <c:pt idx="102">
                  <c:v>25.6</c:v>
                </c:pt>
                <c:pt idx="103">
                  <c:v>25.5</c:v>
                </c:pt>
                <c:pt idx="104">
                  <c:v>25.4</c:v>
                </c:pt>
                <c:pt idx="105">
                  <c:v>25.3</c:v>
                </c:pt>
                <c:pt idx="106">
                  <c:v>25.2</c:v>
                </c:pt>
                <c:pt idx="107">
                  <c:v>25.1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25.1</c:v>
                </c:pt>
                <c:pt idx="126">
                  <c:v>25.2</c:v>
                </c:pt>
                <c:pt idx="127">
                  <c:v>25.2</c:v>
                </c:pt>
                <c:pt idx="128">
                  <c:v>25.2</c:v>
                </c:pt>
                <c:pt idx="129">
                  <c:v>25.2</c:v>
                </c:pt>
                <c:pt idx="130">
                  <c:v>25.2</c:v>
                </c:pt>
                <c:pt idx="131">
                  <c:v>25.2</c:v>
                </c:pt>
                <c:pt idx="132">
                  <c:v>25.2</c:v>
                </c:pt>
                <c:pt idx="133">
                  <c:v>25.2</c:v>
                </c:pt>
                <c:pt idx="134">
                  <c:v>25.2</c:v>
                </c:pt>
                <c:pt idx="135">
                  <c:v>25.2</c:v>
                </c:pt>
                <c:pt idx="136">
                  <c:v>25.2</c:v>
                </c:pt>
                <c:pt idx="137">
                  <c:v>25.2</c:v>
                </c:pt>
                <c:pt idx="138">
                  <c:v>25.2</c:v>
                </c:pt>
                <c:pt idx="139">
                  <c:v>25.2</c:v>
                </c:pt>
                <c:pt idx="140">
                  <c:v>25.2</c:v>
                </c:pt>
                <c:pt idx="141">
                  <c:v>25.2</c:v>
                </c:pt>
                <c:pt idx="142">
                  <c:v>25.2</c:v>
                </c:pt>
                <c:pt idx="143">
                  <c:v>25.1</c:v>
                </c:pt>
                <c:pt idx="14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B5-463C-8D4F-062B98ACD575}"/>
            </c:ext>
          </c:extLst>
        </c:ser>
        <c:ser>
          <c:idx val="2"/>
          <c:order val="2"/>
          <c:tx>
            <c:strRef>
              <c:f>弧度回归速度分析!$C$15</c:f>
              <c:strCache>
                <c:ptCount val="1"/>
                <c:pt idx="0">
                  <c:v>多弧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弧度回归速度分析!$C$16:$C$160</c:f>
              <c:numCache>
                <c:formatCode>General</c:formatCode>
                <c:ptCount val="14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25.1</c:v>
                </c:pt>
                <c:pt idx="18">
                  <c:v>25.2</c:v>
                </c:pt>
                <c:pt idx="19">
                  <c:v>25.3</c:v>
                </c:pt>
                <c:pt idx="20">
                  <c:v>25.4</c:v>
                </c:pt>
                <c:pt idx="21">
                  <c:v>25.6</c:v>
                </c:pt>
                <c:pt idx="22">
                  <c:v>25.8</c:v>
                </c:pt>
                <c:pt idx="23">
                  <c:v>26</c:v>
                </c:pt>
                <c:pt idx="24">
                  <c:v>26.1</c:v>
                </c:pt>
                <c:pt idx="25">
                  <c:v>26.3</c:v>
                </c:pt>
                <c:pt idx="26">
                  <c:v>26.5</c:v>
                </c:pt>
                <c:pt idx="27">
                  <c:v>26.7</c:v>
                </c:pt>
                <c:pt idx="28">
                  <c:v>26.9</c:v>
                </c:pt>
                <c:pt idx="29">
                  <c:v>27.1</c:v>
                </c:pt>
                <c:pt idx="30">
                  <c:v>27.3</c:v>
                </c:pt>
                <c:pt idx="31">
                  <c:v>27.5</c:v>
                </c:pt>
                <c:pt idx="32">
                  <c:v>27.6</c:v>
                </c:pt>
                <c:pt idx="33">
                  <c:v>27.7</c:v>
                </c:pt>
                <c:pt idx="34">
                  <c:v>27.78</c:v>
                </c:pt>
                <c:pt idx="35">
                  <c:v>27.78</c:v>
                </c:pt>
                <c:pt idx="36">
                  <c:v>27.78</c:v>
                </c:pt>
                <c:pt idx="37">
                  <c:v>27.78</c:v>
                </c:pt>
                <c:pt idx="38">
                  <c:v>27.78</c:v>
                </c:pt>
                <c:pt idx="39">
                  <c:v>27.78</c:v>
                </c:pt>
                <c:pt idx="40">
                  <c:v>27.78</c:v>
                </c:pt>
                <c:pt idx="41">
                  <c:v>27.78</c:v>
                </c:pt>
                <c:pt idx="42">
                  <c:v>27.78</c:v>
                </c:pt>
                <c:pt idx="43">
                  <c:v>27.78</c:v>
                </c:pt>
                <c:pt idx="44">
                  <c:v>27.7</c:v>
                </c:pt>
                <c:pt idx="45">
                  <c:v>27.6</c:v>
                </c:pt>
                <c:pt idx="46">
                  <c:v>27.5</c:v>
                </c:pt>
                <c:pt idx="47">
                  <c:v>27.4</c:v>
                </c:pt>
                <c:pt idx="48">
                  <c:v>27.3</c:v>
                </c:pt>
                <c:pt idx="49">
                  <c:v>27.2</c:v>
                </c:pt>
                <c:pt idx="50">
                  <c:v>27.1</c:v>
                </c:pt>
                <c:pt idx="51">
                  <c:v>27</c:v>
                </c:pt>
                <c:pt idx="52">
                  <c:v>26.9</c:v>
                </c:pt>
                <c:pt idx="53">
                  <c:v>26.7</c:v>
                </c:pt>
                <c:pt idx="54">
                  <c:v>26.5</c:v>
                </c:pt>
                <c:pt idx="55">
                  <c:v>26.4</c:v>
                </c:pt>
                <c:pt idx="56">
                  <c:v>26.3</c:v>
                </c:pt>
                <c:pt idx="57">
                  <c:v>26.2</c:v>
                </c:pt>
                <c:pt idx="58">
                  <c:v>26.1</c:v>
                </c:pt>
                <c:pt idx="59">
                  <c:v>26</c:v>
                </c:pt>
                <c:pt idx="60">
                  <c:v>25.9</c:v>
                </c:pt>
                <c:pt idx="61">
                  <c:v>25.8</c:v>
                </c:pt>
                <c:pt idx="62">
                  <c:v>25.7</c:v>
                </c:pt>
                <c:pt idx="63">
                  <c:v>25.7</c:v>
                </c:pt>
                <c:pt idx="64">
                  <c:v>25.7</c:v>
                </c:pt>
                <c:pt idx="65">
                  <c:v>25.7</c:v>
                </c:pt>
                <c:pt idx="66">
                  <c:v>25.7</c:v>
                </c:pt>
                <c:pt idx="67">
                  <c:v>25.7</c:v>
                </c:pt>
                <c:pt idx="68">
                  <c:v>25.7</c:v>
                </c:pt>
                <c:pt idx="69">
                  <c:v>25.8</c:v>
                </c:pt>
                <c:pt idx="70">
                  <c:v>25.9</c:v>
                </c:pt>
                <c:pt idx="71">
                  <c:v>26</c:v>
                </c:pt>
                <c:pt idx="72">
                  <c:v>26.1</c:v>
                </c:pt>
                <c:pt idx="73">
                  <c:v>26.2</c:v>
                </c:pt>
                <c:pt idx="74">
                  <c:v>26.3</c:v>
                </c:pt>
                <c:pt idx="75">
                  <c:v>26.4</c:v>
                </c:pt>
                <c:pt idx="76">
                  <c:v>26.5</c:v>
                </c:pt>
                <c:pt idx="77">
                  <c:v>26.6</c:v>
                </c:pt>
                <c:pt idx="78">
                  <c:v>26.7</c:v>
                </c:pt>
                <c:pt idx="79">
                  <c:v>26.8</c:v>
                </c:pt>
                <c:pt idx="80">
                  <c:v>26.9</c:v>
                </c:pt>
                <c:pt idx="81">
                  <c:v>27.1</c:v>
                </c:pt>
                <c:pt idx="82">
                  <c:v>27.2</c:v>
                </c:pt>
                <c:pt idx="83">
                  <c:v>27.3</c:v>
                </c:pt>
                <c:pt idx="84">
                  <c:v>27.4</c:v>
                </c:pt>
                <c:pt idx="85">
                  <c:v>27.5</c:v>
                </c:pt>
                <c:pt idx="86">
                  <c:v>27.6</c:v>
                </c:pt>
                <c:pt idx="87">
                  <c:v>27.7</c:v>
                </c:pt>
                <c:pt idx="88">
                  <c:v>27.78</c:v>
                </c:pt>
                <c:pt idx="89">
                  <c:v>27.78</c:v>
                </c:pt>
                <c:pt idx="90">
                  <c:v>27.78</c:v>
                </c:pt>
                <c:pt idx="91">
                  <c:v>27.78</c:v>
                </c:pt>
                <c:pt idx="92">
                  <c:v>27.78</c:v>
                </c:pt>
                <c:pt idx="93">
                  <c:v>27.78</c:v>
                </c:pt>
                <c:pt idx="94">
                  <c:v>27.78</c:v>
                </c:pt>
                <c:pt idx="95">
                  <c:v>27.78</c:v>
                </c:pt>
                <c:pt idx="96">
                  <c:v>27.78</c:v>
                </c:pt>
                <c:pt idx="97">
                  <c:v>27.7</c:v>
                </c:pt>
                <c:pt idx="98">
                  <c:v>27.6</c:v>
                </c:pt>
                <c:pt idx="99">
                  <c:v>27.5</c:v>
                </c:pt>
                <c:pt idx="100">
                  <c:v>27.4</c:v>
                </c:pt>
                <c:pt idx="101">
                  <c:v>27.3</c:v>
                </c:pt>
                <c:pt idx="102">
                  <c:v>27.2</c:v>
                </c:pt>
                <c:pt idx="103">
                  <c:v>27.1</c:v>
                </c:pt>
                <c:pt idx="104">
                  <c:v>27</c:v>
                </c:pt>
                <c:pt idx="105">
                  <c:v>26.9</c:v>
                </c:pt>
                <c:pt idx="106">
                  <c:v>26.8</c:v>
                </c:pt>
                <c:pt idx="107">
                  <c:v>26.7</c:v>
                </c:pt>
                <c:pt idx="108">
                  <c:v>26.6</c:v>
                </c:pt>
                <c:pt idx="109">
                  <c:v>26.5</c:v>
                </c:pt>
                <c:pt idx="110">
                  <c:v>26.4</c:v>
                </c:pt>
                <c:pt idx="111">
                  <c:v>26.3</c:v>
                </c:pt>
                <c:pt idx="112">
                  <c:v>26.2</c:v>
                </c:pt>
                <c:pt idx="113">
                  <c:v>26</c:v>
                </c:pt>
                <c:pt idx="114">
                  <c:v>25.8</c:v>
                </c:pt>
                <c:pt idx="115">
                  <c:v>25.6</c:v>
                </c:pt>
                <c:pt idx="116">
                  <c:v>25.4</c:v>
                </c:pt>
                <c:pt idx="117">
                  <c:v>25.3</c:v>
                </c:pt>
                <c:pt idx="118">
                  <c:v>25.2</c:v>
                </c:pt>
                <c:pt idx="119">
                  <c:v>25.1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B5-463C-8D4F-062B98ACD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918384"/>
        <c:axId val="454930864"/>
      </c:lineChart>
      <c:catAx>
        <c:axId val="45491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930864"/>
        <c:crosses val="autoZero"/>
        <c:auto val="1"/>
        <c:lblAlgn val="ctr"/>
        <c:lblOffset val="100"/>
        <c:noMultiLvlLbl val="0"/>
      </c:catAx>
      <c:valAx>
        <c:axId val="45493086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91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弧度随机速度分析!$A$15</c:f>
              <c:strCache>
                <c:ptCount val="1"/>
                <c:pt idx="0">
                  <c:v>实验车速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弧度随机速度分析!$A$16:$A$160</c:f>
              <c:numCache>
                <c:formatCode>General</c:formatCode>
                <c:ptCount val="145"/>
                <c:pt idx="0">
                  <c:v>25.995999999999999</c:v>
                </c:pt>
                <c:pt idx="1">
                  <c:v>26.247900000000001</c:v>
                </c:pt>
                <c:pt idx="2">
                  <c:v>26.609100000000002</c:v>
                </c:pt>
                <c:pt idx="3">
                  <c:v>26.978899999999999</c:v>
                </c:pt>
                <c:pt idx="4">
                  <c:v>27.326899999999998</c:v>
                </c:pt>
                <c:pt idx="5">
                  <c:v>27.335699999999999</c:v>
                </c:pt>
                <c:pt idx="6">
                  <c:v>27.0625</c:v>
                </c:pt>
                <c:pt idx="7">
                  <c:v>26.622</c:v>
                </c:pt>
                <c:pt idx="8">
                  <c:v>26.305</c:v>
                </c:pt>
                <c:pt idx="9">
                  <c:v>26.115400000000001</c:v>
                </c:pt>
                <c:pt idx="10">
                  <c:v>26.292400000000001</c:v>
                </c:pt>
                <c:pt idx="11">
                  <c:v>26.4345</c:v>
                </c:pt>
                <c:pt idx="12">
                  <c:v>26.106200000000001</c:v>
                </c:pt>
                <c:pt idx="13">
                  <c:v>25.740100000000002</c:v>
                </c:pt>
                <c:pt idx="14">
                  <c:v>25.5748</c:v>
                </c:pt>
                <c:pt idx="15">
                  <c:v>25.419499999999999</c:v>
                </c:pt>
                <c:pt idx="16">
                  <c:v>25.1449</c:v>
                </c:pt>
                <c:pt idx="17">
                  <c:v>25.026900000000001</c:v>
                </c:pt>
                <c:pt idx="18">
                  <c:v>24.679600000000001</c:v>
                </c:pt>
                <c:pt idx="19">
                  <c:v>24.111699999999999</c:v>
                </c:pt>
                <c:pt idx="20">
                  <c:v>23.842400000000001</c:v>
                </c:pt>
                <c:pt idx="21">
                  <c:v>23.645800000000001</c:v>
                </c:pt>
                <c:pt idx="22">
                  <c:v>23.4087</c:v>
                </c:pt>
                <c:pt idx="23">
                  <c:v>23.295000000000002</c:v>
                </c:pt>
                <c:pt idx="24">
                  <c:v>23.7074</c:v>
                </c:pt>
                <c:pt idx="25">
                  <c:v>24.2225</c:v>
                </c:pt>
                <c:pt idx="26">
                  <c:v>24.755700000000001</c:v>
                </c:pt>
                <c:pt idx="27">
                  <c:v>25.367699999999999</c:v>
                </c:pt>
                <c:pt idx="28">
                  <c:v>25.879000000000001</c:v>
                </c:pt>
                <c:pt idx="29">
                  <c:v>25.638300000000001</c:v>
                </c:pt>
                <c:pt idx="30">
                  <c:v>25.401399999999999</c:v>
                </c:pt>
                <c:pt idx="31">
                  <c:v>25.510999999999999</c:v>
                </c:pt>
                <c:pt idx="32">
                  <c:v>25.6007</c:v>
                </c:pt>
                <c:pt idx="33">
                  <c:v>25.081600000000002</c:v>
                </c:pt>
                <c:pt idx="34">
                  <c:v>24.657</c:v>
                </c:pt>
                <c:pt idx="35">
                  <c:v>24.337700000000002</c:v>
                </c:pt>
                <c:pt idx="36">
                  <c:v>23.87</c:v>
                </c:pt>
                <c:pt idx="37">
                  <c:v>23.325199999999999</c:v>
                </c:pt>
                <c:pt idx="38">
                  <c:v>22.822700000000001</c:v>
                </c:pt>
                <c:pt idx="39">
                  <c:v>22.228200000000001</c:v>
                </c:pt>
                <c:pt idx="40">
                  <c:v>21.794899999999998</c:v>
                </c:pt>
                <c:pt idx="41">
                  <c:v>21.5349</c:v>
                </c:pt>
                <c:pt idx="42">
                  <c:v>21.363800000000001</c:v>
                </c:pt>
                <c:pt idx="43">
                  <c:v>21.668099999999999</c:v>
                </c:pt>
                <c:pt idx="44">
                  <c:v>21.930800000000001</c:v>
                </c:pt>
                <c:pt idx="45">
                  <c:v>22.420200000000001</c:v>
                </c:pt>
                <c:pt idx="46">
                  <c:v>23.0274</c:v>
                </c:pt>
                <c:pt idx="47">
                  <c:v>22.8812</c:v>
                </c:pt>
                <c:pt idx="48">
                  <c:v>22.619299999999999</c:v>
                </c:pt>
                <c:pt idx="49">
                  <c:v>22.8628</c:v>
                </c:pt>
                <c:pt idx="50">
                  <c:v>22.694199999999999</c:v>
                </c:pt>
                <c:pt idx="51">
                  <c:v>23.102799999999998</c:v>
                </c:pt>
                <c:pt idx="52">
                  <c:v>23.748100000000001</c:v>
                </c:pt>
                <c:pt idx="53">
                  <c:v>24.0242</c:v>
                </c:pt>
                <c:pt idx="54">
                  <c:v>23.962599999999998</c:v>
                </c:pt>
                <c:pt idx="55">
                  <c:v>23.855499999999999</c:v>
                </c:pt>
                <c:pt idx="56">
                  <c:v>24.129200000000001</c:v>
                </c:pt>
                <c:pt idx="57">
                  <c:v>24.544599999999999</c:v>
                </c:pt>
                <c:pt idx="58">
                  <c:v>25.037299999999998</c:v>
                </c:pt>
                <c:pt idx="59">
                  <c:v>25.041699999999999</c:v>
                </c:pt>
                <c:pt idx="60">
                  <c:v>24.810300000000002</c:v>
                </c:pt>
                <c:pt idx="61">
                  <c:v>24.5215</c:v>
                </c:pt>
                <c:pt idx="62">
                  <c:v>24.2958</c:v>
                </c:pt>
                <c:pt idx="63">
                  <c:v>24.392099999999999</c:v>
                </c:pt>
                <c:pt idx="64">
                  <c:v>24.715399999999999</c:v>
                </c:pt>
                <c:pt idx="65">
                  <c:v>25.017700000000001</c:v>
                </c:pt>
                <c:pt idx="66">
                  <c:v>25.214700000000001</c:v>
                </c:pt>
                <c:pt idx="67">
                  <c:v>25.0519</c:v>
                </c:pt>
                <c:pt idx="68">
                  <c:v>25.0884</c:v>
                </c:pt>
                <c:pt idx="69">
                  <c:v>25.44</c:v>
                </c:pt>
                <c:pt idx="70">
                  <c:v>25.513000000000002</c:v>
                </c:pt>
                <c:pt idx="71">
                  <c:v>25.263500000000001</c:v>
                </c:pt>
                <c:pt idx="72">
                  <c:v>25.047799999999999</c:v>
                </c:pt>
                <c:pt idx="73">
                  <c:v>25.049800000000001</c:v>
                </c:pt>
                <c:pt idx="74">
                  <c:v>24.902699999999999</c:v>
                </c:pt>
                <c:pt idx="75">
                  <c:v>24.6661</c:v>
                </c:pt>
                <c:pt idx="76">
                  <c:v>24.439599999999999</c:v>
                </c:pt>
                <c:pt idx="77">
                  <c:v>24.415900000000001</c:v>
                </c:pt>
                <c:pt idx="78">
                  <c:v>24.253699999999998</c:v>
                </c:pt>
                <c:pt idx="79">
                  <c:v>24.069400000000002</c:v>
                </c:pt>
                <c:pt idx="80">
                  <c:v>24.350999999999999</c:v>
                </c:pt>
                <c:pt idx="81">
                  <c:v>24.574200000000001</c:v>
                </c:pt>
                <c:pt idx="82">
                  <c:v>24.843299999999999</c:v>
                </c:pt>
                <c:pt idx="83">
                  <c:v>24.874400000000001</c:v>
                </c:pt>
                <c:pt idx="84">
                  <c:v>24.962</c:v>
                </c:pt>
                <c:pt idx="85">
                  <c:v>25.016500000000001</c:v>
                </c:pt>
                <c:pt idx="86">
                  <c:v>24.992000000000001</c:v>
                </c:pt>
                <c:pt idx="87">
                  <c:v>25.046399999999998</c:v>
                </c:pt>
                <c:pt idx="88">
                  <c:v>25.418500000000002</c:v>
                </c:pt>
                <c:pt idx="89">
                  <c:v>25.5915</c:v>
                </c:pt>
                <c:pt idx="90">
                  <c:v>25.3093</c:v>
                </c:pt>
                <c:pt idx="91">
                  <c:v>24.9146</c:v>
                </c:pt>
                <c:pt idx="92">
                  <c:v>24.522400000000001</c:v>
                </c:pt>
                <c:pt idx="93">
                  <c:v>24.328499999999998</c:v>
                </c:pt>
                <c:pt idx="94">
                  <c:v>24.680399999999999</c:v>
                </c:pt>
                <c:pt idx="95">
                  <c:v>25.232800000000001</c:v>
                </c:pt>
                <c:pt idx="96">
                  <c:v>25.676500000000001</c:v>
                </c:pt>
                <c:pt idx="97">
                  <c:v>26.153400000000001</c:v>
                </c:pt>
                <c:pt idx="98">
                  <c:v>26.112500000000001</c:v>
                </c:pt>
                <c:pt idx="99">
                  <c:v>26.3003</c:v>
                </c:pt>
                <c:pt idx="100">
                  <c:v>26.550899999999999</c:v>
                </c:pt>
                <c:pt idx="101">
                  <c:v>26.611499999999999</c:v>
                </c:pt>
                <c:pt idx="102">
                  <c:v>26.506900000000002</c:v>
                </c:pt>
                <c:pt idx="103">
                  <c:v>26.545999999999999</c:v>
                </c:pt>
                <c:pt idx="104">
                  <c:v>26.638000000000002</c:v>
                </c:pt>
                <c:pt idx="105">
                  <c:v>26.421700000000001</c:v>
                </c:pt>
                <c:pt idx="106">
                  <c:v>26.679300000000001</c:v>
                </c:pt>
                <c:pt idx="107">
                  <c:v>26.9207</c:v>
                </c:pt>
                <c:pt idx="108">
                  <c:v>26.627800000000001</c:v>
                </c:pt>
                <c:pt idx="109">
                  <c:v>26.196400000000001</c:v>
                </c:pt>
                <c:pt idx="110">
                  <c:v>25.747299999999999</c:v>
                </c:pt>
                <c:pt idx="111">
                  <c:v>25.1723</c:v>
                </c:pt>
                <c:pt idx="112">
                  <c:v>24.857900000000001</c:v>
                </c:pt>
                <c:pt idx="113">
                  <c:v>24.95</c:v>
                </c:pt>
                <c:pt idx="114">
                  <c:v>24.980699999999999</c:v>
                </c:pt>
                <c:pt idx="115">
                  <c:v>24.8855</c:v>
                </c:pt>
                <c:pt idx="116">
                  <c:v>24.749500000000001</c:v>
                </c:pt>
                <c:pt idx="117">
                  <c:v>24.946999999999999</c:v>
                </c:pt>
                <c:pt idx="118">
                  <c:v>24.838000000000001</c:v>
                </c:pt>
                <c:pt idx="119">
                  <c:v>24.628900000000002</c:v>
                </c:pt>
                <c:pt idx="120">
                  <c:v>24.3813</c:v>
                </c:pt>
                <c:pt idx="121">
                  <c:v>23.816700000000001</c:v>
                </c:pt>
                <c:pt idx="122">
                  <c:v>23.330500000000001</c:v>
                </c:pt>
                <c:pt idx="123">
                  <c:v>23.223400000000002</c:v>
                </c:pt>
                <c:pt idx="124">
                  <c:v>23.625599999999999</c:v>
                </c:pt>
                <c:pt idx="125">
                  <c:v>24.179600000000001</c:v>
                </c:pt>
                <c:pt idx="126">
                  <c:v>24.323599999999999</c:v>
                </c:pt>
                <c:pt idx="127">
                  <c:v>24.380199999999999</c:v>
                </c:pt>
                <c:pt idx="128">
                  <c:v>24.394600000000001</c:v>
                </c:pt>
                <c:pt idx="129">
                  <c:v>23.6965</c:v>
                </c:pt>
                <c:pt idx="130">
                  <c:v>23.307400000000001</c:v>
                </c:pt>
                <c:pt idx="131">
                  <c:v>23.182300000000001</c:v>
                </c:pt>
                <c:pt idx="132">
                  <c:v>23.500299999999999</c:v>
                </c:pt>
                <c:pt idx="133">
                  <c:v>23.3857</c:v>
                </c:pt>
                <c:pt idx="134">
                  <c:v>23.492899999999999</c:v>
                </c:pt>
                <c:pt idx="135">
                  <c:v>23.674900000000001</c:v>
                </c:pt>
                <c:pt idx="136">
                  <c:v>23.5139</c:v>
                </c:pt>
                <c:pt idx="137">
                  <c:v>23.4055</c:v>
                </c:pt>
                <c:pt idx="138">
                  <c:v>23.827000000000002</c:v>
                </c:pt>
                <c:pt idx="139">
                  <c:v>24.383700000000001</c:v>
                </c:pt>
                <c:pt idx="140">
                  <c:v>24.996300000000002</c:v>
                </c:pt>
                <c:pt idx="141">
                  <c:v>25.571400000000001</c:v>
                </c:pt>
                <c:pt idx="142">
                  <c:v>26.1053</c:v>
                </c:pt>
                <c:pt idx="143">
                  <c:v>26.2529</c:v>
                </c:pt>
                <c:pt idx="144">
                  <c:v>26.347000000000001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C-4AEC-9193-C9A8F319AD48}"/>
            </c:ext>
          </c:extLst>
        </c:ser>
        <c:ser>
          <c:idx val="1"/>
          <c:order val="1"/>
          <c:tx>
            <c:strRef>
              <c:f>弧度随机速度分析!$B$15</c:f>
              <c:strCache>
                <c:ptCount val="1"/>
                <c:pt idx="0">
                  <c:v>实际路线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弧度随机速度分析!$B$16:$B$160</c:f>
              <c:numCache>
                <c:formatCode>General</c:formatCode>
                <c:ptCount val="145"/>
                <c:pt idx="0">
                  <c:v>25</c:v>
                </c:pt>
                <c:pt idx="1">
                  <c:v>25.312999999999999</c:v>
                </c:pt>
                <c:pt idx="2">
                  <c:v>25.622299999999999</c:v>
                </c:pt>
                <c:pt idx="3">
                  <c:v>25.927800000000001</c:v>
                </c:pt>
                <c:pt idx="4">
                  <c:v>26.229800000000001</c:v>
                </c:pt>
                <c:pt idx="5">
                  <c:v>26.4</c:v>
                </c:pt>
                <c:pt idx="6">
                  <c:v>26.5</c:v>
                </c:pt>
                <c:pt idx="7">
                  <c:v>26.3</c:v>
                </c:pt>
                <c:pt idx="8">
                  <c:v>26.3</c:v>
                </c:pt>
                <c:pt idx="9">
                  <c:v>26.4</c:v>
                </c:pt>
                <c:pt idx="10">
                  <c:v>26.5</c:v>
                </c:pt>
                <c:pt idx="11">
                  <c:v>26.6</c:v>
                </c:pt>
                <c:pt idx="12">
                  <c:v>26.7</c:v>
                </c:pt>
                <c:pt idx="13">
                  <c:v>26.8</c:v>
                </c:pt>
                <c:pt idx="14">
                  <c:v>26.9</c:v>
                </c:pt>
                <c:pt idx="15">
                  <c:v>27</c:v>
                </c:pt>
                <c:pt idx="16">
                  <c:v>27.1</c:v>
                </c:pt>
                <c:pt idx="17">
                  <c:v>27.2</c:v>
                </c:pt>
                <c:pt idx="18">
                  <c:v>27</c:v>
                </c:pt>
                <c:pt idx="19">
                  <c:v>27.1</c:v>
                </c:pt>
                <c:pt idx="20">
                  <c:v>27.2</c:v>
                </c:pt>
                <c:pt idx="21">
                  <c:v>27</c:v>
                </c:pt>
                <c:pt idx="22">
                  <c:v>27.1</c:v>
                </c:pt>
                <c:pt idx="23">
                  <c:v>27.2</c:v>
                </c:pt>
                <c:pt idx="24">
                  <c:v>27.3</c:v>
                </c:pt>
                <c:pt idx="25">
                  <c:v>27.2</c:v>
                </c:pt>
                <c:pt idx="26">
                  <c:v>27.1</c:v>
                </c:pt>
                <c:pt idx="27">
                  <c:v>27.2</c:v>
                </c:pt>
                <c:pt idx="28">
                  <c:v>27.4</c:v>
                </c:pt>
                <c:pt idx="29">
                  <c:v>27.6</c:v>
                </c:pt>
                <c:pt idx="30">
                  <c:v>27.78</c:v>
                </c:pt>
                <c:pt idx="31">
                  <c:v>27.6</c:v>
                </c:pt>
                <c:pt idx="32">
                  <c:v>27.4</c:v>
                </c:pt>
                <c:pt idx="33">
                  <c:v>27.2</c:v>
                </c:pt>
                <c:pt idx="34">
                  <c:v>27</c:v>
                </c:pt>
                <c:pt idx="35">
                  <c:v>27.1</c:v>
                </c:pt>
                <c:pt idx="36">
                  <c:v>27.2</c:v>
                </c:pt>
                <c:pt idx="37">
                  <c:v>27.3</c:v>
                </c:pt>
                <c:pt idx="38">
                  <c:v>27.4</c:v>
                </c:pt>
                <c:pt idx="39">
                  <c:v>27.2</c:v>
                </c:pt>
                <c:pt idx="40">
                  <c:v>27</c:v>
                </c:pt>
                <c:pt idx="41">
                  <c:v>26.8</c:v>
                </c:pt>
                <c:pt idx="42">
                  <c:v>26.6</c:v>
                </c:pt>
                <c:pt idx="43">
                  <c:v>26.4</c:v>
                </c:pt>
                <c:pt idx="44">
                  <c:v>26.2</c:v>
                </c:pt>
                <c:pt idx="45">
                  <c:v>26</c:v>
                </c:pt>
                <c:pt idx="46">
                  <c:v>25.8</c:v>
                </c:pt>
                <c:pt idx="47">
                  <c:v>25.6</c:v>
                </c:pt>
                <c:pt idx="48">
                  <c:v>25.4</c:v>
                </c:pt>
                <c:pt idx="49">
                  <c:v>25.2</c:v>
                </c:pt>
                <c:pt idx="50">
                  <c:v>25</c:v>
                </c:pt>
                <c:pt idx="51">
                  <c:v>25.2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25.3</c:v>
                </c:pt>
                <c:pt idx="61">
                  <c:v>25.4</c:v>
                </c:pt>
                <c:pt idx="62">
                  <c:v>25.3</c:v>
                </c:pt>
                <c:pt idx="63">
                  <c:v>25.3</c:v>
                </c:pt>
                <c:pt idx="64">
                  <c:v>25.3</c:v>
                </c:pt>
                <c:pt idx="65">
                  <c:v>25.3</c:v>
                </c:pt>
                <c:pt idx="66">
                  <c:v>25.3</c:v>
                </c:pt>
                <c:pt idx="67">
                  <c:v>25.3</c:v>
                </c:pt>
                <c:pt idx="68">
                  <c:v>25.3</c:v>
                </c:pt>
                <c:pt idx="69">
                  <c:v>25.3</c:v>
                </c:pt>
                <c:pt idx="70">
                  <c:v>25.3</c:v>
                </c:pt>
                <c:pt idx="71">
                  <c:v>25.3</c:v>
                </c:pt>
                <c:pt idx="72">
                  <c:v>25.3</c:v>
                </c:pt>
                <c:pt idx="73">
                  <c:v>25.3</c:v>
                </c:pt>
                <c:pt idx="74">
                  <c:v>25.3</c:v>
                </c:pt>
                <c:pt idx="75">
                  <c:v>25.3</c:v>
                </c:pt>
                <c:pt idx="76">
                  <c:v>25.3</c:v>
                </c:pt>
                <c:pt idx="77">
                  <c:v>25.3</c:v>
                </c:pt>
                <c:pt idx="78">
                  <c:v>25.3</c:v>
                </c:pt>
                <c:pt idx="79">
                  <c:v>25.4</c:v>
                </c:pt>
                <c:pt idx="80">
                  <c:v>25.3</c:v>
                </c:pt>
                <c:pt idx="81">
                  <c:v>25.1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25.2</c:v>
                </c:pt>
                <c:pt idx="93">
                  <c:v>25</c:v>
                </c:pt>
                <c:pt idx="94">
                  <c:v>25.2</c:v>
                </c:pt>
                <c:pt idx="95">
                  <c:v>25.2</c:v>
                </c:pt>
                <c:pt idx="96">
                  <c:v>25</c:v>
                </c:pt>
                <c:pt idx="97">
                  <c:v>25</c:v>
                </c:pt>
                <c:pt idx="98">
                  <c:v>25.2</c:v>
                </c:pt>
                <c:pt idx="99">
                  <c:v>25.2</c:v>
                </c:pt>
                <c:pt idx="100">
                  <c:v>25.2</c:v>
                </c:pt>
                <c:pt idx="101">
                  <c:v>25.5</c:v>
                </c:pt>
                <c:pt idx="102">
                  <c:v>25.8</c:v>
                </c:pt>
                <c:pt idx="103">
                  <c:v>25.8</c:v>
                </c:pt>
                <c:pt idx="104">
                  <c:v>25.6</c:v>
                </c:pt>
                <c:pt idx="105">
                  <c:v>25.4</c:v>
                </c:pt>
                <c:pt idx="106">
                  <c:v>25.2</c:v>
                </c:pt>
                <c:pt idx="107">
                  <c:v>25.5</c:v>
                </c:pt>
                <c:pt idx="108">
                  <c:v>25.8</c:v>
                </c:pt>
                <c:pt idx="109">
                  <c:v>25.6</c:v>
                </c:pt>
                <c:pt idx="110">
                  <c:v>25.4</c:v>
                </c:pt>
                <c:pt idx="111">
                  <c:v>25.2</c:v>
                </c:pt>
                <c:pt idx="112">
                  <c:v>25</c:v>
                </c:pt>
                <c:pt idx="113">
                  <c:v>25.3</c:v>
                </c:pt>
                <c:pt idx="114">
                  <c:v>25.6</c:v>
                </c:pt>
                <c:pt idx="115">
                  <c:v>25.3</c:v>
                </c:pt>
                <c:pt idx="116">
                  <c:v>25.1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25.3</c:v>
                </c:pt>
                <c:pt idx="123">
                  <c:v>25.3</c:v>
                </c:pt>
                <c:pt idx="124">
                  <c:v>25.3</c:v>
                </c:pt>
                <c:pt idx="125">
                  <c:v>25.3</c:v>
                </c:pt>
                <c:pt idx="126">
                  <c:v>25.3</c:v>
                </c:pt>
                <c:pt idx="127">
                  <c:v>25.3</c:v>
                </c:pt>
                <c:pt idx="128">
                  <c:v>25.3</c:v>
                </c:pt>
                <c:pt idx="129">
                  <c:v>25.3</c:v>
                </c:pt>
                <c:pt idx="130">
                  <c:v>25.3</c:v>
                </c:pt>
                <c:pt idx="131">
                  <c:v>25.3</c:v>
                </c:pt>
                <c:pt idx="132">
                  <c:v>25.3</c:v>
                </c:pt>
                <c:pt idx="133">
                  <c:v>25.3</c:v>
                </c:pt>
                <c:pt idx="134">
                  <c:v>25.3</c:v>
                </c:pt>
                <c:pt idx="135">
                  <c:v>25.3</c:v>
                </c:pt>
                <c:pt idx="136">
                  <c:v>25.3</c:v>
                </c:pt>
                <c:pt idx="137">
                  <c:v>25.3</c:v>
                </c:pt>
                <c:pt idx="138">
                  <c:v>25.3</c:v>
                </c:pt>
                <c:pt idx="139">
                  <c:v>25.2</c:v>
                </c:pt>
                <c:pt idx="140">
                  <c:v>25.2</c:v>
                </c:pt>
                <c:pt idx="141">
                  <c:v>25.1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C-4AEC-9193-C9A8F319AD48}"/>
            </c:ext>
          </c:extLst>
        </c:ser>
        <c:ser>
          <c:idx val="2"/>
          <c:order val="2"/>
          <c:tx>
            <c:strRef>
              <c:f>弧度随机速度分析!$C$15</c:f>
              <c:strCache>
                <c:ptCount val="1"/>
                <c:pt idx="0">
                  <c:v>多弧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弧度随机速度分析!$C$16:$C$160</c:f>
              <c:numCache>
                <c:formatCode>General</c:formatCode>
                <c:ptCount val="14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25.3</c:v>
                </c:pt>
                <c:pt idx="8">
                  <c:v>25</c:v>
                </c:pt>
                <c:pt idx="9">
                  <c:v>25.3</c:v>
                </c:pt>
                <c:pt idx="10">
                  <c:v>25.6</c:v>
                </c:pt>
                <c:pt idx="11">
                  <c:v>25.4</c:v>
                </c:pt>
                <c:pt idx="12">
                  <c:v>25.2</c:v>
                </c:pt>
                <c:pt idx="13">
                  <c:v>25.5</c:v>
                </c:pt>
                <c:pt idx="14">
                  <c:v>25.5</c:v>
                </c:pt>
                <c:pt idx="15">
                  <c:v>25.3</c:v>
                </c:pt>
                <c:pt idx="16">
                  <c:v>25.1</c:v>
                </c:pt>
                <c:pt idx="17">
                  <c:v>25</c:v>
                </c:pt>
                <c:pt idx="18">
                  <c:v>25.1</c:v>
                </c:pt>
                <c:pt idx="19">
                  <c:v>25.1</c:v>
                </c:pt>
                <c:pt idx="20">
                  <c:v>25.2</c:v>
                </c:pt>
                <c:pt idx="21">
                  <c:v>25.1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25.2</c:v>
                </c:pt>
                <c:pt idx="38">
                  <c:v>25.3</c:v>
                </c:pt>
                <c:pt idx="39">
                  <c:v>25.3</c:v>
                </c:pt>
                <c:pt idx="40">
                  <c:v>25.3</c:v>
                </c:pt>
                <c:pt idx="41">
                  <c:v>25.4</c:v>
                </c:pt>
                <c:pt idx="42">
                  <c:v>25.7</c:v>
                </c:pt>
                <c:pt idx="43">
                  <c:v>25.8</c:v>
                </c:pt>
                <c:pt idx="44">
                  <c:v>25.9</c:v>
                </c:pt>
                <c:pt idx="45">
                  <c:v>26.2</c:v>
                </c:pt>
                <c:pt idx="46">
                  <c:v>26.4</c:v>
                </c:pt>
                <c:pt idx="47">
                  <c:v>26.5</c:v>
                </c:pt>
                <c:pt idx="48">
                  <c:v>26.6</c:v>
                </c:pt>
                <c:pt idx="49">
                  <c:v>26.4</c:v>
                </c:pt>
                <c:pt idx="50">
                  <c:v>26.4</c:v>
                </c:pt>
                <c:pt idx="51">
                  <c:v>26.6</c:v>
                </c:pt>
                <c:pt idx="52">
                  <c:v>26.7</c:v>
                </c:pt>
                <c:pt idx="53">
                  <c:v>26.9</c:v>
                </c:pt>
                <c:pt idx="54">
                  <c:v>27.1</c:v>
                </c:pt>
                <c:pt idx="55">
                  <c:v>26.9</c:v>
                </c:pt>
                <c:pt idx="56">
                  <c:v>26.7</c:v>
                </c:pt>
                <c:pt idx="57">
                  <c:v>26.5</c:v>
                </c:pt>
                <c:pt idx="58">
                  <c:v>26.3</c:v>
                </c:pt>
                <c:pt idx="59">
                  <c:v>26.1</c:v>
                </c:pt>
                <c:pt idx="60">
                  <c:v>25.9</c:v>
                </c:pt>
                <c:pt idx="61">
                  <c:v>25.6</c:v>
                </c:pt>
                <c:pt idx="62">
                  <c:v>25.4</c:v>
                </c:pt>
                <c:pt idx="63">
                  <c:v>25.2</c:v>
                </c:pt>
                <c:pt idx="64">
                  <c:v>25</c:v>
                </c:pt>
                <c:pt idx="65">
                  <c:v>25</c:v>
                </c:pt>
                <c:pt idx="66">
                  <c:v>25.2</c:v>
                </c:pt>
                <c:pt idx="67">
                  <c:v>25</c:v>
                </c:pt>
                <c:pt idx="68">
                  <c:v>25.2</c:v>
                </c:pt>
                <c:pt idx="69">
                  <c:v>25.1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25.1</c:v>
                </c:pt>
                <c:pt idx="74">
                  <c:v>25.2</c:v>
                </c:pt>
                <c:pt idx="75">
                  <c:v>25.1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25.2</c:v>
                </c:pt>
                <c:pt idx="94">
                  <c:v>25.3</c:v>
                </c:pt>
                <c:pt idx="95">
                  <c:v>25.3</c:v>
                </c:pt>
                <c:pt idx="96">
                  <c:v>25.3</c:v>
                </c:pt>
                <c:pt idx="97">
                  <c:v>25.4</c:v>
                </c:pt>
                <c:pt idx="98">
                  <c:v>25.7</c:v>
                </c:pt>
                <c:pt idx="99">
                  <c:v>25.8</c:v>
                </c:pt>
                <c:pt idx="100">
                  <c:v>25.9</c:v>
                </c:pt>
                <c:pt idx="101">
                  <c:v>26.2</c:v>
                </c:pt>
                <c:pt idx="102">
                  <c:v>26.4</c:v>
                </c:pt>
                <c:pt idx="103">
                  <c:v>26.5</c:v>
                </c:pt>
                <c:pt idx="104">
                  <c:v>26.6</c:v>
                </c:pt>
                <c:pt idx="105">
                  <c:v>26.4</c:v>
                </c:pt>
                <c:pt idx="106">
                  <c:v>26.4</c:v>
                </c:pt>
                <c:pt idx="107">
                  <c:v>26.6</c:v>
                </c:pt>
                <c:pt idx="108">
                  <c:v>26.8</c:v>
                </c:pt>
                <c:pt idx="109">
                  <c:v>27</c:v>
                </c:pt>
                <c:pt idx="110">
                  <c:v>27.2</c:v>
                </c:pt>
                <c:pt idx="111">
                  <c:v>27</c:v>
                </c:pt>
                <c:pt idx="112">
                  <c:v>27.2</c:v>
                </c:pt>
                <c:pt idx="113">
                  <c:v>27</c:v>
                </c:pt>
                <c:pt idx="114">
                  <c:v>27.2</c:v>
                </c:pt>
                <c:pt idx="115">
                  <c:v>27</c:v>
                </c:pt>
                <c:pt idx="116">
                  <c:v>27.2</c:v>
                </c:pt>
                <c:pt idx="117">
                  <c:v>27</c:v>
                </c:pt>
                <c:pt idx="118">
                  <c:v>27.2</c:v>
                </c:pt>
                <c:pt idx="119">
                  <c:v>27</c:v>
                </c:pt>
                <c:pt idx="120">
                  <c:v>26.8</c:v>
                </c:pt>
                <c:pt idx="121">
                  <c:v>26.6</c:v>
                </c:pt>
                <c:pt idx="122">
                  <c:v>26.4</c:v>
                </c:pt>
                <c:pt idx="123">
                  <c:v>26.2</c:v>
                </c:pt>
                <c:pt idx="124">
                  <c:v>26</c:v>
                </c:pt>
                <c:pt idx="125">
                  <c:v>25.8</c:v>
                </c:pt>
                <c:pt idx="126">
                  <c:v>25.6</c:v>
                </c:pt>
                <c:pt idx="127">
                  <c:v>25.3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25.1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C-4AEC-9193-C9A8F319A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450960"/>
        <c:axId val="416447216"/>
      </c:lineChart>
      <c:catAx>
        <c:axId val="41645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6447216"/>
        <c:crosses val="autoZero"/>
        <c:auto val="1"/>
        <c:lblAlgn val="ctr"/>
        <c:lblOffset val="100"/>
        <c:noMultiLvlLbl val="0"/>
      </c:catAx>
      <c:valAx>
        <c:axId val="41644721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645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176005</xdr:colOff>
      <xdr:row>26</xdr:row>
      <xdr:rowOff>14080</xdr:rowOff>
    </xdr:from>
    <xdr:to>
      <xdr:col>9</xdr:col>
      <xdr:colOff>403809</xdr:colOff>
      <xdr:row>34</xdr:row>
      <xdr:rowOff>6280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162754</xdr:colOff>
      <xdr:row>18</xdr:row>
      <xdr:rowOff>82827</xdr:rowOff>
    </xdr:from>
    <xdr:to>
      <xdr:col>9</xdr:col>
      <xdr:colOff>390558</xdr:colOff>
      <xdr:row>26</xdr:row>
      <xdr:rowOff>10009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24</xdr:row>
      <xdr:rowOff>171450</xdr:rowOff>
    </xdr:from>
    <xdr:to>
      <xdr:col>10</xdr:col>
      <xdr:colOff>216675</xdr:colOff>
      <xdr:row>37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466724</xdr:colOff>
      <xdr:row>30</xdr:row>
      <xdr:rowOff>38100</xdr:rowOff>
    </xdr:from>
    <xdr:to>
      <xdr:col>17</xdr:col>
      <xdr:colOff>445274</xdr:colOff>
      <xdr:row>42</xdr:row>
      <xdr:rowOff>104775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27</xdr:row>
      <xdr:rowOff>171450</xdr:rowOff>
    </xdr:from>
    <xdr:to>
      <xdr:col>8</xdr:col>
      <xdr:colOff>9075</xdr:colOff>
      <xdr:row>40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414131</xdr:colOff>
      <xdr:row>30</xdr:row>
      <xdr:rowOff>57978</xdr:rowOff>
    </xdr:from>
    <xdr:to>
      <xdr:col>20</xdr:col>
      <xdr:colOff>585131</xdr:colOff>
      <xdr:row>42</xdr:row>
      <xdr:rowOff>124654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29</xdr:row>
      <xdr:rowOff>123825</xdr:rowOff>
    </xdr:from>
    <xdr:to>
      <xdr:col>8</xdr:col>
      <xdr:colOff>409539</xdr:colOff>
      <xdr:row>42</xdr:row>
      <xdr:rowOff>25676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22</xdr:row>
      <xdr:rowOff>33131</xdr:rowOff>
    </xdr:from>
    <xdr:to>
      <xdr:col>18</xdr:col>
      <xdr:colOff>438527</xdr:colOff>
      <xdr:row>34</xdr:row>
      <xdr:rowOff>117199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685797</xdr:colOff>
      <xdr:row>14</xdr:row>
      <xdr:rowOff>171450</xdr:rowOff>
    </xdr:from>
    <xdr:to>
      <xdr:col>13</xdr:col>
      <xdr:colOff>129597</xdr:colOff>
      <xdr:row>29</xdr:row>
      <xdr:rowOff>138113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400050</xdr:colOff>
      <xdr:row>58</xdr:row>
      <xdr:rowOff>152400</xdr:rowOff>
    </xdr:from>
    <xdr:to>
      <xdr:col>13</xdr:col>
      <xdr:colOff>529650</xdr:colOff>
      <xdr:row>73</xdr:row>
      <xdr:rowOff>119063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38</xdr:row>
      <xdr:rowOff>0</xdr:rowOff>
    </xdr:from>
    <xdr:to>
      <xdr:col>14</xdr:col>
      <xdr:colOff>129600</xdr:colOff>
      <xdr:row>52</xdr:row>
      <xdr:rowOff>147638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124239</xdr:colOff>
      <xdr:row>9</xdr:row>
      <xdr:rowOff>157369</xdr:rowOff>
    </xdr:from>
    <xdr:to>
      <xdr:col>8</xdr:col>
      <xdr:colOff>216408</xdr:colOff>
      <xdr:row>24</xdr:row>
      <xdr:rowOff>84062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149087</xdr:colOff>
      <xdr:row>24</xdr:row>
      <xdr:rowOff>115956</xdr:rowOff>
    </xdr:from>
    <xdr:to>
      <xdr:col>8</xdr:col>
      <xdr:colOff>241256</xdr:colOff>
      <xdr:row>39</xdr:row>
      <xdr:rowOff>42649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53009</xdr:colOff>
      <xdr:row>40</xdr:row>
      <xdr:rowOff>19878</xdr:rowOff>
    </xdr:from>
    <xdr:to>
      <xdr:col>17</xdr:col>
      <xdr:colOff>178308</xdr:colOff>
      <xdr:row>57</xdr:row>
      <xdr:rowOff>106017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217954</xdr:colOff>
      <xdr:row>14</xdr:row>
      <xdr:rowOff>25213</xdr:rowOff>
    </xdr:from>
    <xdr:to>
      <xdr:col>9</xdr:col>
      <xdr:colOff>87578</xdr:colOff>
      <xdr:row>26</xdr:row>
      <xdr:rowOff>119903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251572</xdr:colOff>
      <xdr:row>19</xdr:row>
      <xdr:rowOff>22972</xdr:rowOff>
    </xdr:from>
    <xdr:to>
      <xdr:col>20</xdr:col>
      <xdr:colOff>94301</xdr:colOff>
      <xdr:row>32</xdr:row>
      <xdr:rowOff>126065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56030</xdr:colOff>
      <xdr:row>39</xdr:row>
      <xdr:rowOff>112059</xdr:rowOff>
    </xdr:from>
    <xdr:to>
      <xdr:col>14</xdr:col>
      <xdr:colOff>352986</xdr:colOff>
      <xdr:row>59</xdr:row>
      <xdr:rowOff>38101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144780</xdr:colOff>
      <xdr:row>14</xdr:row>
      <xdr:rowOff>22861</xdr:rowOff>
    </xdr:from>
    <xdr:to>
      <xdr:col>25</xdr:col>
      <xdr:colOff>495300</xdr:colOff>
      <xdr:row>36</xdr:row>
      <xdr:rowOff>106681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57150</xdr:colOff>
      <xdr:row>7</xdr:row>
      <xdr:rowOff>0</xdr:rowOff>
    </xdr:from>
    <xdr:to>
      <xdr:col>34</xdr:col>
      <xdr:colOff>738187</xdr:colOff>
      <xdr:row>25</xdr:row>
      <xdr:rowOff>157162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205153</xdr:colOff>
      <xdr:row>14</xdr:row>
      <xdr:rowOff>49823</xdr:rowOff>
    </xdr:from>
    <xdr:to>
      <xdr:col>12</xdr:col>
      <xdr:colOff>281999</xdr:colOff>
      <xdr:row>28</xdr:row>
      <xdr:rowOff>176127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533400</xdr:colOff>
      <xdr:row>29</xdr:row>
      <xdr:rowOff>76200</xdr:rowOff>
    </xdr:from>
    <xdr:to>
      <xdr:col>13</xdr:col>
      <xdr:colOff>66675</xdr:colOff>
      <xdr:row>48</xdr:row>
      <xdr:rowOff>142875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109537</xdr:colOff>
      <xdr:row>2</xdr:row>
      <xdr:rowOff>100012</xdr:rowOff>
    </xdr:from>
    <xdr:to>
      <xdr:col>12</xdr:col>
      <xdr:colOff>109537</xdr:colOff>
      <xdr:row>10</xdr:row>
      <xdr:rowOff>119062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242887</xdr:colOff>
      <xdr:row>1</xdr:row>
      <xdr:rowOff>152400</xdr:rowOff>
    </xdr:from>
    <xdr:to>
      <xdr:col>12</xdr:col>
      <xdr:colOff>242887</xdr:colOff>
      <xdr:row>9</xdr:row>
      <xdr:rowOff>9525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2068\Desktop\05.2&#22369;&#24230;&#35268;&#21010;\&#22369;&#24230;&#27169;&#25311;&#20998;&#2651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2068\Desktop\05.2&#22369;&#24230;&#35268;&#21010;\&#22369;&#24230;&#35268;&#21010;03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实际线路"/>
      <sheetName val="Sheet2"/>
    </sheetNames>
    <sheetDataSet>
      <sheetData sheetId="0">
        <row r="2">
          <cell r="A2">
            <v>0</v>
          </cell>
        </row>
        <row r="3">
          <cell r="A3">
            <v>100</v>
          </cell>
        </row>
        <row r="4">
          <cell r="A4">
            <v>200</v>
          </cell>
        </row>
        <row r="5">
          <cell r="A5">
            <v>300</v>
          </cell>
        </row>
        <row r="6">
          <cell r="A6">
            <v>400</v>
          </cell>
        </row>
        <row r="7">
          <cell r="A7">
            <v>500</v>
          </cell>
        </row>
        <row r="8">
          <cell r="A8">
            <v>600</v>
          </cell>
        </row>
        <row r="9">
          <cell r="A9">
            <v>700</v>
          </cell>
        </row>
        <row r="10">
          <cell r="A10">
            <v>800</v>
          </cell>
        </row>
        <row r="11">
          <cell r="A11">
            <v>900</v>
          </cell>
        </row>
        <row r="12">
          <cell r="A12">
            <v>1000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回归-迈腾0519"/>
      <sheetName val="Sheet1"/>
      <sheetName val="随机森林-迈腾0519"/>
      <sheetName val="Sheet4"/>
      <sheetName val="回归-迈腾0531"/>
      <sheetName val="回归-朗逸"/>
    </sheetNames>
    <sheetDataSet>
      <sheetData sheetId="0"/>
      <sheetData sheetId="1"/>
      <sheetData sheetId="2"/>
      <sheetData sheetId="3">
        <row r="3">
          <cell r="A3">
            <v>0</v>
          </cell>
        </row>
        <row r="4">
          <cell r="A4">
            <v>100</v>
          </cell>
        </row>
        <row r="5">
          <cell r="A5">
            <v>200</v>
          </cell>
        </row>
        <row r="6">
          <cell r="A6">
            <v>300</v>
          </cell>
        </row>
        <row r="7">
          <cell r="A7">
            <v>400</v>
          </cell>
        </row>
        <row r="8">
          <cell r="A8">
            <v>500</v>
          </cell>
        </row>
        <row r="9">
          <cell r="A9">
            <v>600</v>
          </cell>
        </row>
        <row r="10">
          <cell r="A10">
            <v>700</v>
          </cell>
        </row>
        <row r="11">
          <cell r="A11">
            <v>800</v>
          </cell>
        </row>
        <row r="12">
          <cell r="A12">
            <v>900</v>
          </cell>
        </row>
        <row r="13">
          <cell r="A13">
            <v>1000</v>
          </cell>
        </row>
        <row r="14">
          <cell r="A14">
            <v>1100</v>
          </cell>
        </row>
        <row r="15">
          <cell r="A15">
            <v>1200</v>
          </cell>
        </row>
        <row r="16">
          <cell r="A16">
            <v>1300</v>
          </cell>
        </row>
        <row r="17">
          <cell r="A17">
            <v>1400</v>
          </cell>
        </row>
        <row r="18">
          <cell r="A18">
            <v>1500</v>
          </cell>
        </row>
        <row r="19">
          <cell r="A19">
            <v>1600</v>
          </cell>
        </row>
        <row r="20">
          <cell r="A20">
            <v>1700</v>
          </cell>
        </row>
        <row r="21">
          <cell r="A21">
            <v>1800</v>
          </cell>
        </row>
        <row r="22">
          <cell r="A22">
            <v>1900</v>
          </cell>
        </row>
        <row r="23">
          <cell r="A23">
            <v>2000</v>
          </cell>
        </row>
        <row r="24">
          <cell r="A24">
            <v>2100</v>
          </cell>
        </row>
        <row r="25">
          <cell r="A25">
            <v>2200</v>
          </cell>
        </row>
        <row r="26">
          <cell r="A26">
            <v>2300</v>
          </cell>
        </row>
        <row r="27">
          <cell r="A27">
            <v>2400</v>
          </cell>
        </row>
        <row r="28">
          <cell r="A28">
            <v>2500</v>
          </cell>
        </row>
        <row r="29">
          <cell r="A29">
            <v>2600</v>
          </cell>
        </row>
        <row r="30">
          <cell r="A30">
            <v>2700</v>
          </cell>
        </row>
        <row r="31">
          <cell r="A31">
            <v>2800</v>
          </cell>
        </row>
        <row r="32">
          <cell r="A32">
            <v>2900</v>
          </cell>
        </row>
        <row r="33">
          <cell r="A33">
            <v>3000</v>
          </cell>
        </row>
        <row r="34">
          <cell r="A34">
            <v>3100</v>
          </cell>
        </row>
        <row r="35">
          <cell r="A35">
            <v>3200</v>
          </cell>
        </row>
        <row r="36">
          <cell r="A36">
            <v>3300</v>
          </cell>
        </row>
        <row r="37">
          <cell r="A37">
            <v>3400</v>
          </cell>
        </row>
        <row r="38">
          <cell r="A38">
            <v>3500</v>
          </cell>
        </row>
        <row r="39">
          <cell r="A39">
            <v>3600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zoomScale="70" zoomScaleNormal="70" workbookViewId="0">
      <selection activeCell="K28" sqref="K28"/>
    </sheetView>
  </sheetViews>
  <sheetFormatPr defaultColWidth="9" defaultRowHeight="14" x14ac:dyDescent="0.3"/>
  <cols>
    <col min="1" max="16384" width="9" style="1"/>
  </cols>
  <sheetData>
    <row r="1" spans="1:4" x14ac:dyDescent="0.3">
      <c r="B1" s="1" t="s">
        <v>14</v>
      </c>
      <c r="C1" s="1" t="s">
        <v>15</v>
      </c>
    </row>
    <row r="2" spans="1:4" x14ac:dyDescent="0.3">
      <c r="A2" s="1">
        <v>0</v>
      </c>
      <c r="B2" s="1">
        <v>0</v>
      </c>
      <c r="C2" s="8">
        <v>0</v>
      </c>
    </row>
    <row r="3" spans="1:4" x14ac:dyDescent="0.3">
      <c r="A3" s="1">
        <v>100</v>
      </c>
      <c r="B3" s="1">
        <f>B2+C2*100</f>
        <v>0</v>
      </c>
      <c r="C3" s="8">
        <v>0</v>
      </c>
      <c r="D3" s="1">
        <f>B3-B2</f>
        <v>0</v>
      </c>
    </row>
    <row r="4" spans="1:4" x14ac:dyDescent="0.3">
      <c r="A4" s="1">
        <v>200</v>
      </c>
      <c r="B4" s="1">
        <f t="shared" ref="B4:B12" si="0">B3+C3*100</f>
        <v>0</v>
      </c>
      <c r="C4" s="8">
        <v>0.01</v>
      </c>
      <c r="D4" s="1">
        <f t="shared" ref="D4:D12" si="1">B4-B3</f>
        <v>0</v>
      </c>
    </row>
    <row r="5" spans="1:4" x14ac:dyDescent="0.3">
      <c r="A5" s="1">
        <v>300</v>
      </c>
      <c r="B5" s="1">
        <f t="shared" si="0"/>
        <v>1</v>
      </c>
      <c r="C5" s="8">
        <v>-0.02</v>
      </c>
      <c r="D5" s="1">
        <f t="shared" si="1"/>
        <v>1</v>
      </c>
    </row>
    <row r="6" spans="1:4" x14ac:dyDescent="0.3">
      <c r="A6" s="1">
        <v>400</v>
      </c>
      <c r="B6" s="1">
        <f t="shared" si="0"/>
        <v>-1</v>
      </c>
      <c r="C6" s="8">
        <v>-3.5000000000000003E-2</v>
      </c>
      <c r="D6" s="1">
        <f t="shared" si="1"/>
        <v>-2</v>
      </c>
    </row>
    <row r="7" spans="1:4" x14ac:dyDescent="0.3">
      <c r="A7" s="1">
        <v>500</v>
      </c>
      <c r="B7" s="1">
        <f t="shared" si="0"/>
        <v>-4.5</v>
      </c>
      <c r="C7" s="8">
        <v>3.5000000000000003E-2</v>
      </c>
      <c r="D7" s="1">
        <f t="shared" si="1"/>
        <v>-3.5</v>
      </c>
    </row>
    <row r="8" spans="1:4" x14ac:dyDescent="0.3">
      <c r="A8" s="1">
        <v>600</v>
      </c>
      <c r="B8" s="1">
        <f t="shared" si="0"/>
        <v>-0.99999999999999956</v>
      </c>
      <c r="C8" s="8">
        <v>0.03</v>
      </c>
      <c r="D8" s="1">
        <f t="shared" si="1"/>
        <v>3.5000000000000004</v>
      </c>
    </row>
    <row r="9" spans="1:4" x14ac:dyDescent="0.3">
      <c r="A9" s="1">
        <v>700</v>
      </c>
      <c r="B9" s="1">
        <f t="shared" si="0"/>
        <v>2.0000000000000004</v>
      </c>
      <c r="C9" s="8">
        <v>0.04</v>
      </c>
      <c r="D9" s="1">
        <f t="shared" si="1"/>
        <v>3</v>
      </c>
    </row>
    <row r="10" spans="1:4" x14ac:dyDescent="0.3">
      <c r="A10" s="1">
        <v>800</v>
      </c>
      <c r="B10" s="1">
        <f t="shared" si="0"/>
        <v>6</v>
      </c>
      <c r="C10" s="8">
        <v>0</v>
      </c>
      <c r="D10" s="1">
        <f t="shared" si="1"/>
        <v>3.9999999999999996</v>
      </c>
    </row>
    <row r="11" spans="1:4" x14ac:dyDescent="0.3">
      <c r="A11" s="1">
        <v>900</v>
      </c>
      <c r="B11" s="1">
        <f t="shared" si="0"/>
        <v>6</v>
      </c>
      <c r="C11" s="8">
        <v>0.04</v>
      </c>
      <c r="D11" s="1">
        <f t="shared" si="1"/>
        <v>0</v>
      </c>
    </row>
    <row r="12" spans="1:4" x14ac:dyDescent="0.3">
      <c r="A12" s="1">
        <v>1000</v>
      </c>
      <c r="B12" s="1">
        <f t="shared" si="0"/>
        <v>10</v>
      </c>
      <c r="C12" s="8"/>
      <c r="D12" s="1">
        <f t="shared" si="1"/>
        <v>4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1"/>
  <sheetViews>
    <sheetView zoomScale="40" zoomScaleNormal="40" workbookViewId="0">
      <selection activeCell="V32" sqref="V32"/>
    </sheetView>
  </sheetViews>
  <sheetFormatPr defaultColWidth="9" defaultRowHeight="14" x14ac:dyDescent="0.3"/>
  <cols>
    <col min="1" max="7" width="9" style="1"/>
    <col min="8" max="10" width="12.08203125" style="1" bestFit="1" customWidth="1"/>
    <col min="11" max="11" width="12.9140625" style="1" bestFit="1" customWidth="1"/>
    <col min="12" max="12" width="10.25" style="1" customWidth="1"/>
    <col min="13" max="13" width="13" style="1" bestFit="1" customWidth="1"/>
    <col min="14" max="16" width="12.75" style="1" bestFit="1" customWidth="1"/>
    <col min="17" max="18" width="18.08203125" style="1" bestFit="1" customWidth="1"/>
    <col min="19" max="16384" width="9" style="1"/>
  </cols>
  <sheetData>
    <row r="1" spans="5:26" ht="14.5" thickBot="1" x14ac:dyDescent="0.35">
      <c r="O1" s="1">
        <v>0.67</v>
      </c>
      <c r="P1" s="1">
        <v>0.35</v>
      </c>
      <c r="Q1" s="1">
        <v>0.4</v>
      </c>
    </row>
    <row r="2" spans="5:26" ht="37.5" customHeight="1" thickTop="1" thickBot="1" x14ac:dyDescent="0.35">
      <c r="F2" s="47" t="s">
        <v>0</v>
      </c>
      <c r="G2" s="3" t="s">
        <v>1</v>
      </c>
      <c r="H2" s="3" t="s">
        <v>2</v>
      </c>
      <c r="I2" s="3" t="s">
        <v>3</v>
      </c>
      <c r="J2" s="47" t="s">
        <v>30</v>
      </c>
    </row>
    <row r="3" spans="5:26" ht="28" thickTop="1" thickBot="1" x14ac:dyDescent="0.35">
      <c r="F3" s="48"/>
      <c r="G3" s="4" t="s">
        <v>5</v>
      </c>
      <c r="H3" s="4" t="s">
        <v>5</v>
      </c>
      <c r="I3" s="4" t="s">
        <v>5</v>
      </c>
      <c r="J3" s="48"/>
      <c r="L3" s="24" t="s">
        <v>0</v>
      </c>
      <c r="M3" s="24" t="s">
        <v>40</v>
      </c>
      <c r="N3" s="24" t="s">
        <v>37</v>
      </c>
      <c r="O3" s="24" t="s">
        <v>41</v>
      </c>
      <c r="P3" s="24" t="s">
        <v>38</v>
      </c>
      <c r="Q3" s="24" t="s">
        <v>42</v>
      </c>
      <c r="R3" s="24" t="s">
        <v>39</v>
      </c>
    </row>
    <row r="4" spans="5:26" x14ac:dyDescent="0.3">
      <c r="F4" s="5" t="s">
        <v>28</v>
      </c>
      <c r="G4" s="6">
        <f>H9</f>
        <v>173.06166171576999</v>
      </c>
      <c r="H4" s="6">
        <f>I9</f>
        <v>163.74344074525601</v>
      </c>
      <c r="I4" s="6">
        <f>G9</f>
        <v>336.80510246102597</v>
      </c>
      <c r="J4" s="6" t="s">
        <v>31</v>
      </c>
      <c r="L4" s="5" t="s">
        <v>6</v>
      </c>
      <c r="M4" s="6">
        <f>H9</f>
        <v>173.06166171576999</v>
      </c>
      <c r="N4" s="6">
        <f>J9</f>
        <v>173.06166171576999</v>
      </c>
      <c r="O4" s="6">
        <f>I9</f>
        <v>163.74344074525601</v>
      </c>
      <c r="P4" s="6">
        <f>K9</f>
        <v>163.74344074525601</v>
      </c>
      <c r="Q4" s="6">
        <f>G9</f>
        <v>336.80510246102597</v>
      </c>
      <c r="R4" s="25">
        <f>L9</f>
        <v>336.80510246102597</v>
      </c>
    </row>
    <row r="5" spans="5:26" x14ac:dyDescent="0.3">
      <c r="E5" s="11" t="e">
        <f>#REF!</f>
        <v>#REF!</v>
      </c>
      <c r="F5" s="5" t="s">
        <v>29</v>
      </c>
      <c r="G5" s="6">
        <f t="shared" ref="G5:H5" si="0">H10</f>
        <v>172.830191332656</v>
      </c>
      <c r="H5" s="6">
        <f t="shared" si="0"/>
        <v>162.038614841769</v>
      </c>
      <c r="I5" s="6">
        <f t="shared" ref="I5:I6" si="1">G10</f>
        <v>334.868806174425</v>
      </c>
      <c r="J5" s="21">
        <f>I5/I$4-1</f>
        <v>-5.7490111416141909E-3</v>
      </c>
      <c r="L5" s="5" t="s">
        <v>29</v>
      </c>
      <c r="M5" s="6">
        <f t="shared" ref="M5:M6" si="2">H10</f>
        <v>172.830191332656</v>
      </c>
      <c r="N5" s="6">
        <f t="shared" ref="N5:N6" si="3">J10</f>
        <v>173.49953528156499</v>
      </c>
      <c r="O5" s="6">
        <f t="shared" ref="O5:O6" si="4">I10</f>
        <v>162.038614841769</v>
      </c>
      <c r="P5" s="6">
        <f t="shared" ref="P5:P6" si="5">K10</f>
        <v>164.20229696348301</v>
      </c>
      <c r="Q5" s="6">
        <f t="shared" ref="Q5:Q6" si="6">G10</f>
        <v>334.868806174425</v>
      </c>
      <c r="R5" s="25">
        <f t="shared" ref="R5:R6" si="7">L10</f>
        <v>337.70183224504797</v>
      </c>
    </row>
    <row r="6" spans="5:26" ht="27.5" thickBot="1" x14ac:dyDescent="0.35">
      <c r="F6" s="7" t="s">
        <v>25</v>
      </c>
      <c r="G6" s="6">
        <f t="shared" ref="G6:H6" si="8">H11</f>
        <v>143.31899999999999</v>
      </c>
      <c r="H6" s="6">
        <f t="shared" si="8"/>
        <v>132.78800000000001</v>
      </c>
      <c r="I6" s="6">
        <f t="shared" si="1"/>
        <v>276.108</v>
      </c>
      <c r="J6" s="21">
        <f>I6/I$4-1</f>
        <v>-0.18021431984703862</v>
      </c>
      <c r="K6" s="12">
        <f>J6-J5</f>
        <v>-0.17446530870542443</v>
      </c>
      <c r="L6" s="7" t="s">
        <v>7</v>
      </c>
      <c r="M6" s="6">
        <f t="shared" si="2"/>
        <v>143.31899999999999</v>
      </c>
      <c r="N6" s="6">
        <f t="shared" si="3"/>
        <v>188.02600000000001</v>
      </c>
      <c r="O6" s="6">
        <f t="shared" si="4"/>
        <v>132.78800000000001</v>
      </c>
      <c r="P6" s="6">
        <f t="shared" si="5"/>
        <v>178.149</v>
      </c>
      <c r="Q6" s="6">
        <f t="shared" si="6"/>
        <v>276.108</v>
      </c>
      <c r="R6" s="25">
        <f t="shared" si="7"/>
        <v>366.17500000000001</v>
      </c>
    </row>
    <row r="7" spans="5:26" ht="14.5" thickTop="1" x14ac:dyDescent="0.3">
      <c r="L7" s="16">
        <f>I6-I5</f>
        <v>-58.760806174424999</v>
      </c>
      <c r="M7" s="12">
        <f>G6/G5-1</f>
        <v>-0.17075252364822158</v>
      </c>
      <c r="N7" s="12">
        <f>H6/H5-1</f>
        <v>-0.18051632242309812</v>
      </c>
      <c r="O7" s="12">
        <f>I6/I5-1</f>
        <v>-0.17547411132650537</v>
      </c>
      <c r="Q7" s="11">
        <f>Q6-Q4</f>
        <v>-60.697102461025963</v>
      </c>
      <c r="R7" s="11">
        <f>R6-R4</f>
        <v>29.369897538974044</v>
      </c>
    </row>
    <row r="8" spans="5:26" x14ac:dyDescent="0.3">
      <c r="H8" s="1" t="s">
        <v>8</v>
      </c>
      <c r="I8" s="1" t="s">
        <v>9</v>
      </c>
      <c r="J8" s="1" t="s">
        <v>10</v>
      </c>
      <c r="K8" s="1" t="s">
        <v>11</v>
      </c>
    </row>
    <row r="9" spans="5:26" x14ac:dyDescent="0.3">
      <c r="E9" s="1" t="s">
        <v>22</v>
      </c>
      <c r="G9" s="14">
        <f>H9+I9</f>
        <v>336.80510246102597</v>
      </c>
      <c r="H9" s="14">
        <v>173.06166171576999</v>
      </c>
      <c r="I9" s="14">
        <v>163.74344074525601</v>
      </c>
      <c r="J9" s="14">
        <v>173.06166171576999</v>
      </c>
      <c r="K9" s="14">
        <v>163.74344074525601</v>
      </c>
      <c r="L9" s="11">
        <f t="shared" ref="L9" si="9">J9+K9</f>
        <v>336.80510246102597</v>
      </c>
    </row>
    <row r="10" spans="5:26" x14ac:dyDescent="0.3">
      <c r="E10" s="1" t="s">
        <v>24</v>
      </c>
      <c r="G10" s="14">
        <f>H10+I10</f>
        <v>334.868806174425</v>
      </c>
      <c r="H10" s="14">
        <v>172.830191332656</v>
      </c>
      <c r="I10" s="14">
        <v>162.038614841769</v>
      </c>
      <c r="J10" s="14">
        <v>173.49953528156499</v>
      </c>
      <c r="K10" s="14">
        <v>164.20229696348301</v>
      </c>
      <c r="L10" s="11">
        <f>J10+K10</f>
        <v>337.70183224504797</v>
      </c>
    </row>
    <row r="11" spans="5:26" x14ac:dyDescent="0.3">
      <c r="E11" s="1" t="s">
        <v>36</v>
      </c>
      <c r="G11" s="14">
        <f>G15</f>
        <v>276.108</v>
      </c>
      <c r="H11" s="14">
        <f>H15</f>
        <v>143.31899999999999</v>
      </c>
      <c r="I11" s="14">
        <f t="shared" ref="I11:K11" si="10">I15</f>
        <v>132.78800000000001</v>
      </c>
      <c r="J11" s="14">
        <f t="shared" si="10"/>
        <v>188.02600000000001</v>
      </c>
      <c r="K11" s="14">
        <f t="shared" si="10"/>
        <v>178.149</v>
      </c>
      <c r="L11" s="11">
        <f t="shared" ref="L11" si="11">J11+K11</f>
        <v>366.17500000000001</v>
      </c>
    </row>
    <row r="12" spans="5:26" x14ac:dyDescent="0.3">
      <c r="G12" s="12">
        <f>G15/G13-1</f>
        <v>-0.18021407045619875</v>
      </c>
      <c r="H12" s="12">
        <f t="shared" ref="H12:K12" si="12">H15/H13-1</f>
        <v>-0.17186326287688813</v>
      </c>
      <c r="I12" s="12">
        <f t="shared" si="12"/>
        <v>-0.18904624930531377</v>
      </c>
      <c r="J12" s="12">
        <f t="shared" si="12"/>
        <v>8.6466121967849752E-2</v>
      </c>
      <c r="K12" s="12">
        <f t="shared" si="12"/>
        <v>8.7979333467690157E-2</v>
      </c>
    </row>
    <row r="13" spans="5:26" x14ac:dyDescent="0.3">
      <c r="E13" s="1" t="s">
        <v>23</v>
      </c>
      <c r="G13" s="1">
        <f>G18</f>
        <v>336.80500000000001</v>
      </c>
      <c r="H13" s="1">
        <f t="shared" ref="H13:K13" si="13">H18</f>
        <v>173.06200000000001</v>
      </c>
      <c r="I13" s="1">
        <f t="shared" si="13"/>
        <v>163.74299999999999</v>
      </c>
      <c r="J13" s="1">
        <f t="shared" si="13"/>
        <v>173.06200000000001</v>
      </c>
      <c r="K13" s="1">
        <f t="shared" si="13"/>
        <v>163.74299999999999</v>
      </c>
    </row>
    <row r="14" spans="5:26" x14ac:dyDescent="0.3">
      <c r="H14" s="1">
        <v>2</v>
      </c>
      <c r="I14" s="1">
        <v>3</v>
      </c>
      <c r="J14" s="1">
        <v>4</v>
      </c>
      <c r="K14" s="1">
        <v>5</v>
      </c>
      <c r="W14" s="1">
        <v>2</v>
      </c>
      <c r="X14" s="1">
        <v>3</v>
      </c>
      <c r="Y14" s="1">
        <v>4</v>
      </c>
      <c r="Z14" s="1">
        <v>5</v>
      </c>
    </row>
    <row r="15" spans="5:26" x14ac:dyDescent="0.3">
      <c r="E15" s="1" t="s">
        <v>26</v>
      </c>
      <c r="G15" s="1">
        <f>MIN(G18:G53)</f>
        <v>276.108</v>
      </c>
      <c r="H15" s="1">
        <f>VLOOKUP($G15,$G$18:$K$54,H14,FALSE)</f>
        <v>143.31899999999999</v>
      </c>
      <c r="I15" s="1">
        <f t="shared" ref="I15:K15" si="14">VLOOKUP($G15,$G$18:$K$54,I14,FALSE)</f>
        <v>132.78800000000001</v>
      </c>
      <c r="J15" s="1">
        <f t="shared" si="14"/>
        <v>188.02600000000001</v>
      </c>
      <c r="K15" s="1">
        <f t="shared" si="14"/>
        <v>178.149</v>
      </c>
      <c r="M15" s="1">
        <f>G19-G18</f>
        <v>-35.87700000000001</v>
      </c>
      <c r="V15" s="1">
        <f>MIN(V18:V53)</f>
        <v>245.17599999999999</v>
      </c>
      <c r="W15" s="1">
        <f>VLOOKUP($V15,$V$18:$Z$54,W14,FALSE)</f>
        <v>0</v>
      </c>
      <c r="X15" s="1">
        <f>VLOOKUP($V15,$V$18:$Z$54,X14,FALSE)</f>
        <v>0</v>
      </c>
      <c r="Y15" s="1">
        <f>VLOOKUP($V15,$V$18:$Z$54,Y14,FALSE)</f>
        <v>0</v>
      </c>
      <c r="Z15" s="1">
        <f>VLOOKUP($V15,$V$18:$Z$54,Z14,FALSE)</f>
        <v>0</v>
      </c>
    </row>
    <row r="16" spans="5:26" x14ac:dyDescent="0.3">
      <c r="E16" s="1" t="s">
        <v>16</v>
      </c>
      <c r="F16" s="2">
        <v>0.49638888888888894</v>
      </c>
      <c r="J16" s="1">
        <f>J18+K18</f>
        <v>336.80500000000001</v>
      </c>
      <c r="T16" s="1" t="s">
        <v>18</v>
      </c>
      <c r="V16" s="2"/>
    </row>
    <row r="17" spans="1:27" x14ac:dyDescent="0.3">
      <c r="A17" s="1">
        <v>0</v>
      </c>
      <c r="G17" s="1" t="s">
        <v>12</v>
      </c>
      <c r="H17" s="1" t="s">
        <v>13</v>
      </c>
      <c r="I17" s="1" t="s">
        <v>9</v>
      </c>
      <c r="J17" s="1" t="s">
        <v>19</v>
      </c>
      <c r="K17" s="1" t="s">
        <v>11</v>
      </c>
      <c r="L17" s="1" t="s">
        <v>20</v>
      </c>
      <c r="M17" s="1" t="s">
        <v>21</v>
      </c>
      <c r="R17" s="1">
        <f>P19/P18-1</f>
        <v>-0.106521577767551</v>
      </c>
      <c r="V17" s="1" t="s">
        <v>12</v>
      </c>
      <c r="W17" s="1" t="s">
        <v>13</v>
      </c>
      <c r="X17" s="1" t="s">
        <v>9</v>
      </c>
      <c r="Y17" s="1" t="s">
        <v>19</v>
      </c>
      <c r="Z17" s="1" t="s">
        <v>11</v>
      </c>
    </row>
    <row r="18" spans="1:27" x14ac:dyDescent="0.3">
      <c r="A18" s="1">
        <f>B18*100+A17</f>
        <v>-9.4444399999999998E-2</v>
      </c>
      <c r="B18" s="1">
        <v>-9.4444400000000001E-4</v>
      </c>
      <c r="C18" s="1">
        <f>D18*100</f>
        <v>0</v>
      </c>
      <c r="D18" s="1">
        <v>0</v>
      </c>
      <c r="E18" s="1">
        <v>16.2</v>
      </c>
      <c r="F18" s="13">
        <v>-0.04</v>
      </c>
      <c r="G18" s="1">
        <f>H18+I18</f>
        <v>336.80500000000001</v>
      </c>
      <c r="H18" s="1">
        <v>173.06200000000001</v>
      </c>
      <c r="I18" s="1">
        <v>163.74299999999999</v>
      </c>
      <c r="J18" s="1">
        <v>173.06200000000001</v>
      </c>
      <c r="K18" s="1">
        <v>163.74299999999999</v>
      </c>
      <c r="L18" s="1">
        <f>G18</f>
        <v>336.80500000000001</v>
      </c>
      <c r="M18" s="14">
        <f>L18/$G$18</f>
        <v>1</v>
      </c>
      <c r="N18" s="1">
        <f>VLOOKUP($L18,$G$18:$I$53,2,FALSE)</f>
        <v>173.06200000000001</v>
      </c>
      <c r="O18" s="1">
        <f>VLOOKUP($L18,$G$18:$I$53,3,FALSE)</f>
        <v>163.74299999999999</v>
      </c>
      <c r="P18" s="1">
        <f t="shared" ref="P18:P52" si="15">N18+O18</f>
        <v>336.80500000000001</v>
      </c>
      <c r="Q18" s="1">
        <v>0</v>
      </c>
      <c r="T18" s="1">
        <v>16.2</v>
      </c>
      <c r="V18" s="1">
        <v>295.10399999999998</v>
      </c>
      <c r="W18" s="1">
        <v>150.238</v>
      </c>
      <c r="X18" s="1">
        <v>144.86600000000001</v>
      </c>
      <c r="Y18" s="1">
        <v>150.238</v>
      </c>
      <c r="Z18" s="1">
        <v>145.66</v>
      </c>
      <c r="AA18" s="1">
        <f t="shared" ref="AA18:AA53" si="16">V18/(Y$18+Z$18)</f>
        <v>0.99731664289721444</v>
      </c>
    </row>
    <row r="19" spans="1:27" x14ac:dyDescent="0.3">
      <c r="A19" s="1">
        <f t="shared" ref="A19:A53" si="17">B19*100+A18</f>
        <v>-0.1888888</v>
      </c>
      <c r="B19" s="1">
        <v>-9.4444400000000001E-4</v>
      </c>
      <c r="C19" s="1">
        <f t="shared" ref="C19:C54" si="18">D19*100</f>
        <v>100</v>
      </c>
      <c r="D19" s="1">
        <v>1</v>
      </c>
      <c r="E19" s="1">
        <f t="shared" ref="E19:E52" si="19">E18+F18*100</f>
        <v>12.2</v>
      </c>
      <c r="F19" s="13">
        <v>-0.03</v>
      </c>
      <c r="G19" s="1">
        <v>300.928</v>
      </c>
      <c r="H19" s="1">
        <v>155.232</v>
      </c>
      <c r="I19" s="1">
        <v>145.696</v>
      </c>
      <c r="J19" s="1">
        <v>181.06700000000001</v>
      </c>
      <c r="K19" s="1">
        <v>172.572</v>
      </c>
      <c r="L19" s="1">
        <f>IF(MIN(G$18:G19)&lt;L18,G19,L18)</f>
        <v>300.928</v>
      </c>
      <c r="M19" s="14">
        <f t="shared" ref="M19:M53" si="20">L19/$G$18</f>
        <v>0.893478422232449</v>
      </c>
      <c r="N19" s="1">
        <f t="shared" ref="N19:N53" si="21">VLOOKUP($L19,$G$18:$I$53,2,FALSE)</f>
        <v>155.232</v>
      </c>
      <c r="O19" s="1">
        <f t="shared" ref="O19:O53" si="22">VLOOKUP($L19,$G$18:$I$53,3,FALSE)</f>
        <v>145.696</v>
      </c>
      <c r="P19" s="1">
        <f t="shared" si="15"/>
        <v>300.928</v>
      </c>
      <c r="Q19" s="1">
        <v>1</v>
      </c>
      <c r="R19" s="1">
        <f>N19-N$18</f>
        <v>-17.830000000000013</v>
      </c>
      <c r="S19" s="1">
        <f>O19-O$18</f>
        <v>-18.046999999999997</v>
      </c>
      <c r="T19" s="1">
        <f>T18+U18*100</f>
        <v>16.2</v>
      </c>
      <c r="U19" s="1">
        <f>N19/N18-1</f>
        <v>-0.10302666096543445</v>
      </c>
      <c r="V19" s="1">
        <v>264.21699999999998</v>
      </c>
      <c r="AA19" s="1">
        <f t="shared" si="16"/>
        <v>0.89293269978168144</v>
      </c>
    </row>
    <row r="20" spans="1:27" x14ac:dyDescent="0.3">
      <c r="A20" s="1">
        <f t="shared" si="17"/>
        <v>-0.28333320000000001</v>
      </c>
      <c r="B20" s="1">
        <v>-9.4444400000000001E-4</v>
      </c>
      <c r="C20" s="1">
        <f t="shared" si="18"/>
        <v>200</v>
      </c>
      <c r="D20" s="1">
        <v>2</v>
      </c>
      <c r="E20" s="1">
        <f t="shared" si="19"/>
        <v>9.1999999999999993</v>
      </c>
      <c r="F20" s="13">
        <v>-3.3000000000000002E-2</v>
      </c>
      <c r="G20" s="1">
        <v>296.91800000000001</v>
      </c>
      <c r="H20" s="1">
        <v>154.64699999999999</v>
      </c>
      <c r="I20" s="1">
        <v>142.27099999999999</v>
      </c>
      <c r="J20" s="1">
        <v>182.38499999999999</v>
      </c>
      <c r="K20" s="1">
        <v>172.95599999999999</v>
      </c>
      <c r="L20" s="1">
        <f>IF(MIN(G$18:G20)&lt;L19,G20,L19)</f>
        <v>296.91800000000001</v>
      </c>
      <c r="M20" s="14">
        <f t="shared" si="20"/>
        <v>0.88157242321224449</v>
      </c>
      <c r="N20" s="1">
        <f t="shared" si="21"/>
        <v>154.64699999999999</v>
      </c>
      <c r="O20" s="1">
        <f t="shared" si="22"/>
        <v>142.27099999999999</v>
      </c>
      <c r="P20" s="1">
        <f t="shared" si="15"/>
        <v>296.91800000000001</v>
      </c>
      <c r="Q20" s="1">
        <v>2</v>
      </c>
      <c r="R20" s="1">
        <f t="shared" ref="R20:R53" si="23">N20-N$18</f>
        <v>-18.41500000000002</v>
      </c>
      <c r="S20" s="1">
        <f t="shared" ref="S20:S53" si="24">O20-O$18</f>
        <v>-21.472000000000008</v>
      </c>
      <c r="T20" s="1">
        <f t="shared" ref="T20:T54" si="25">T19+U19*100</f>
        <v>5.8973339034565555</v>
      </c>
      <c r="V20" s="1">
        <v>258.88799999999998</v>
      </c>
      <c r="AA20" s="1">
        <f t="shared" si="16"/>
        <v>0.87492311539787349</v>
      </c>
    </row>
    <row r="21" spans="1:27" x14ac:dyDescent="0.3">
      <c r="A21" s="1">
        <f t="shared" si="17"/>
        <v>-0.37777759999999999</v>
      </c>
      <c r="B21" s="1">
        <v>-9.4444400000000001E-4</v>
      </c>
      <c r="C21" s="1">
        <f t="shared" si="18"/>
        <v>300</v>
      </c>
      <c r="D21" s="1">
        <v>3</v>
      </c>
      <c r="E21" s="1">
        <f t="shared" si="19"/>
        <v>5.8999999999999986</v>
      </c>
      <c r="F21" s="13">
        <v>3.9E-2</v>
      </c>
      <c r="G21" s="1">
        <v>299.25900000000001</v>
      </c>
      <c r="H21" s="1">
        <v>156.45099999999999</v>
      </c>
      <c r="I21" s="1">
        <v>142.80699999999999</v>
      </c>
      <c r="J21" s="1">
        <v>181.96799999999999</v>
      </c>
      <c r="K21" s="1">
        <v>172.328</v>
      </c>
      <c r="L21" s="1">
        <f>IF(MIN(G$18:G21)&lt;L20,G21,L20)</f>
        <v>296.91800000000001</v>
      </c>
      <c r="M21" s="14">
        <f t="shared" si="20"/>
        <v>0.88157242321224449</v>
      </c>
      <c r="N21" s="1">
        <f t="shared" si="21"/>
        <v>154.64699999999999</v>
      </c>
      <c r="O21" s="1">
        <f t="shared" si="22"/>
        <v>142.27099999999999</v>
      </c>
      <c r="P21" s="1">
        <f t="shared" si="15"/>
        <v>296.91800000000001</v>
      </c>
      <c r="Q21" s="1">
        <v>3</v>
      </c>
      <c r="R21" s="1">
        <f t="shared" si="23"/>
        <v>-18.41500000000002</v>
      </c>
      <c r="S21" s="1">
        <f t="shared" si="24"/>
        <v>-21.472000000000008</v>
      </c>
      <c r="T21" s="1">
        <f t="shared" si="25"/>
        <v>5.8973339034565555</v>
      </c>
      <c r="V21" s="1">
        <v>258.52100000000002</v>
      </c>
      <c r="AA21" s="1">
        <f t="shared" si="16"/>
        <v>0.87368282313499923</v>
      </c>
    </row>
    <row r="22" spans="1:27" x14ac:dyDescent="0.3">
      <c r="A22" s="1">
        <f t="shared" si="17"/>
        <v>-0.47222199999999998</v>
      </c>
      <c r="B22" s="1">
        <v>-9.4444400000000001E-4</v>
      </c>
      <c r="C22" s="1">
        <f t="shared" si="18"/>
        <v>400</v>
      </c>
      <c r="D22" s="1">
        <v>4</v>
      </c>
      <c r="E22" s="1">
        <f t="shared" si="19"/>
        <v>9.7999999999999989</v>
      </c>
      <c r="F22" s="13">
        <v>-0.03</v>
      </c>
      <c r="G22" s="1">
        <v>297.46800000000002</v>
      </c>
      <c r="H22" s="1">
        <v>154.244</v>
      </c>
      <c r="I22" s="1">
        <v>143.22399999999999</v>
      </c>
      <c r="J22" s="1">
        <v>181.577</v>
      </c>
      <c r="K22" s="1">
        <v>172.07</v>
      </c>
      <c r="L22" s="1">
        <f>IF(MIN(G$18:G22)&lt;L21,G22,L21)</f>
        <v>296.91800000000001</v>
      </c>
      <c r="M22" s="14">
        <f t="shared" si="20"/>
        <v>0.88157242321224449</v>
      </c>
      <c r="N22" s="1">
        <f t="shared" si="21"/>
        <v>154.64699999999999</v>
      </c>
      <c r="O22" s="1">
        <f t="shared" si="22"/>
        <v>142.27099999999999</v>
      </c>
      <c r="P22" s="1">
        <f t="shared" si="15"/>
        <v>296.91800000000001</v>
      </c>
      <c r="Q22" s="1">
        <v>4</v>
      </c>
      <c r="R22" s="1">
        <f t="shared" si="23"/>
        <v>-18.41500000000002</v>
      </c>
      <c r="S22" s="1">
        <f t="shared" si="24"/>
        <v>-21.472000000000008</v>
      </c>
      <c r="T22" s="1">
        <f t="shared" si="25"/>
        <v>5.8973339034565555</v>
      </c>
      <c r="V22" s="1">
        <v>257.55500000000001</v>
      </c>
      <c r="AA22" s="1">
        <f t="shared" si="16"/>
        <v>0.87041818464470855</v>
      </c>
    </row>
    <row r="23" spans="1:27" x14ac:dyDescent="0.3">
      <c r="A23" s="1">
        <f t="shared" si="17"/>
        <v>-0.56666640000000001</v>
      </c>
      <c r="B23" s="1">
        <v>-9.4444400000000001E-4</v>
      </c>
      <c r="C23" s="1">
        <f t="shared" si="18"/>
        <v>500</v>
      </c>
      <c r="D23" s="1">
        <v>5</v>
      </c>
      <c r="E23" s="1">
        <f t="shared" si="19"/>
        <v>6.7999999999999989</v>
      </c>
      <c r="F23" s="13">
        <v>3.3000000000000002E-2</v>
      </c>
      <c r="G23" s="1">
        <v>297.10399999999998</v>
      </c>
      <c r="H23" s="1">
        <v>153.649</v>
      </c>
      <c r="I23" s="1">
        <v>143.45500000000001</v>
      </c>
      <c r="J23" s="1">
        <v>183.322</v>
      </c>
      <c r="K23" s="1">
        <v>172.95699999999999</v>
      </c>
      <c r="L23" s="1">
        <f>IF(MIN(G$18:G23)&lt;L22,G23,L22)</f>
        <v>296.91800000000001</v>
      </c>
      <c r="M23" s="14">
        <f t="shared" si="20"/>
        <v>0.88157242321224449</v>
      </c>
      <c r="N23" s="1">
        <f t="shared" si="21"/>
        <v>154.64699999999999</v>
      </c>
      <c r="O23" s="1">
        <f t="shared" si="22"/>
        <v>142.27099999999999</v>
      </c>
      <c r="P23" s="1">
        <f t="shared" si="15"/>
        <v>296.91800000000001</v>
      </c>
      <c r="Q23" s="1">
        <v>5</v>
      </c>
      <c r="R23" s="1">
        <f t="shared" si="23"/>
        <v>-18.41500000000002</v>
      </c>
      <c r="S23" s="1">
        <f t="shared" si="24"/>
        <v>-21.472000000000008</v>
      </c>
      <c r="T23" s="1">
        <f t="shared" si="25"/>
        <v>5.8973339034565555</v>
      </c>
      <c r="V23" s="1">
        <v>258.45800000000003</v>
      </c>
      <c r="AA23" s="1">
        <f t="shared" si="16"/>
        <v>0.87346991192911072</v>
      </c>
    </row>
    <row r="24" spans="1:27" x14ac:dyDescent="0.3">
      <c r="A24" s="1">
        <f t="shared" si="17"/>
        <v>-0.6611108</v>
      </c>
      <c r="B24" s="1">
        <v>-9.4444400000000001E-4</v>
      </c>
      <c r="C24" s="1">
        <f t="shared" si="18"/>
        <v>600</v>
      </c>
      <c r="D24" s="1">
        <v>6</v>
      </c>
      <c r="E24" s="1">
        <f t="shared" si="19"/>
        <v>10.1</v>
      </c>
      <c r="F24" s="13">
        <v>-2.5000000000000001E-2</v>
      </c>
      <c r="G24" s="1">
        <v>297.28899999999999</v>
      </c>
      <c r="H24" s="1">
        <v>154.18299999999999</v>
      </c>
      <c r="I24" s="1">
        <v>143.107</v>
      </c>
      <c r="J24" s="1">
        <v>182.054</v>
      </c>
      <c r="K24" s="1">
        <v>172.31700000000001</v>
      </c>
      <c r="L24" s="1">
        <f>IF(MIN(G$18:G24)&lt;L23,G24,L23)</f>
        <v>296.91800000000001</v>
      </c>
      <c r="M24" s="14">
        <f t="shared" si="20"/>
        <v>0.88157242321224449</v>
      </c>
      <c r="N24" s="1">
        <f t="shared" si="21"/>
        <v>154.64699999999999</v>
      </c>
      <c r="O24" s="1">
        <f t="shared" si="22"/>
        <v>142.27099999999999</v>
      </c>
      <c r="P24" s="1">
        <f t="shared" si="15"/>
        <v>296.91800000000001</v>
      </c>
      <c r="Q24" s="1">
        <v>6</v>
      </c>
      <c r="R24" s="1">
        <f t="shared" si="23"/>
        <v>-18.41500000000002</v>
      </c>
      <c r="S24" s="1">
        <f t="shared" si="24"/>
        <v>-21.472000000000008</v>
      </c>
      <c r="T24" s="1">
        <f t="shared" si="25"/>
        <v>5.8973339034565555</v>
      </c>
      <c r="V24" s="1">
        <v>255.53100000000001</v>
      </c>
      <c r="AA24" s="1">
        <f t="shared" si="16"/>
        <v>0.86357798971267119</v>
      </c>
    </row>
    <row r="25" spans="1:27" x14ac:dyDescent="0.3">
      <c r="A25" s="1">
        <f t="shared" si="17"/>
        <v>-0.75555519999999998</v>
      </c>
      <c r="B25" s="1">
        <v>-9.4444400000000001E-4</v>
      </c>
      <c r="C25" s="1">
        <f t="shared" si="18"/>
        <v>700</v>
      </c>
      <c r="D25" s="1">
        <v>7</v>
      </c>
      <c r="E25" s="1">
        <f t="shared" si="19"/>
        <v>7.6</v>
      </c>
      <c r="F25" s="13">
        <v>0.03</v>
      </c>
      <c r="G25" s="1">
        <v>294.5</v>
      </c>
      <c r="H25" s="1">
        <v>152.14400000000001</v>
      </c>
      <c r="I25" s="1">
        <v>142.35599999999999</v>
      </c>
      <c r="J25" s="1">
        <v>182.84</v>
      </c>
      <c r="K25" s="1">
        <v>174.27199999999999</v>
      </c>
      <c r="L25" s="1">
        <f>IF(MIN(G$18:G25)&lt;L24,G25,L24)</f>
        <v>294.5</v>
      </c>
      <c r="M25" s="14">
        <f t="shared" si="20"/>
        <v>0.87439319487537293</v>
      </c>
      <c r="N25" s="1">
        <f t="shared" si="21"/>
        <v>152.14400000000001</v>
      </c>
      <c r="O25" s="1">
        <f t="shared" si="22"/>
        <v>142.35599999999999</v>
      </c>
      <c r="P25" s="1">
        <f t="shared" si="15"/>
        <v>294.5</v>
      </c>
      <c r="Q25" s="1">
        <v>7</v>
      </c>
      <c r="R25" s="1">
        <f t="shared" si="23"/>
        <v>-20.918000000000006</v>
      </c>
      <c r="S25" s="1">
        <f t="shared" si="24"/>
        <v>-21.387</v>
      </c>
      <c r="T25" s="1">
        <f t="shared" si="25"/>
        <v>5.8973339034565555</v>
      </c>
      <c r="V25" s="1">
        <v>255.11500000000001</v>
      </c>
      <c r="AA25" s="1">
        <f t="shared" si="16"/>
        <v>0.86217209984521692</v>
      </c>
    </row>
    <row r="26" spans="1:27" x14ac:dyDescent="0.3">
      <c r="A26" s="1">
        <f t="shared" si="17"/>
        <v>-0.84999959999999997</v>
      </c>
      <c r="B26" s="1">
        <v>-9.4444400000000001E-4</v>
      </c>
      <c r="C26" s="1">
        <f t="shared" si="18"/>
        <v>800</v>
      </c>
      <c r="D26" s="1">
        <v>8</v>
      </c>
      <c r="E26" s="1">
        <f t="shared" si="19"/>
        <v>10.6</v>
      </c>
      <c r="F26" s="13">
        <v>-0.04</v>
      </c>
      <c r="G26" s="1">
        <v>295.50599999999997</v>
      </c>
      <c r="H26" s="1">
        <v>154.45699999999999</v>
      </c>
      <c r="I26" s="1">
        <v>141.04900000000001</v>
      </c>
      <c r="J26" s="1">
        <v>182.381</v>
      </c>
      <c r="K26" s="1">
        <v>173.744</v>
      </c>
      <c r="L26" s="1">
        <f>IF(MIN(G$18:G26)&lt;L25,G26,L25)</f>
        <v>294.5</v>
      </c>
      <c r="M26" s="14">
        <f t="shared" si="20"/>
        <v>0.87439319487537293</v>
      </c>
      <c r="N26" s="1">
        <f t="shared" si="21"/>
        <v>152.14400000000001</v>
      </c>
      <c r="O26" s="1">
        <f t="shared" si="22"/>
        <v>142.35599999999999</v>
      </c>
      <c r="P26" s="1">
        <f t="shared" si="15"/>
        <v>294.5</v>
      </c>
      <c r="Q26" s="1">
        <v>8</v>
      </c>
      <c r="R26" s="1">
        <f t="shared" si="23"/>
        <v>-20.918000000000006</v>
      </c>
      <c r="S26" s="1">
        <f t="shared" si="24"/>
        <v>-21.387</v>
      </c>
      <c r="T26" s="1">
        <f t="shared" si="25"/>
        <v>5.8973339034565555</v>
      </c>
      <c r="V26" s="1">
        <v>255.68799999999999</v>
      </c>
      <c r="AA26" s="1">
        <f t="shared" si="16"/>
        <v>0.86410857795591711</v>
      </c>
    </row>
    <row r="27" spans="1:27" x14ac:dyDescent="0.3">
      <c r="A27" s="1">
        <f t="shared" si="17"/>
        <v>-0.94444399999999995</v>
      </c>
      <c r="B27" s="1">
        <v>-9.4444400000000001E-4</v>
      </c>
      <c r="C27" s="1">
        <f t="shared" si="18"/>
        <v>900</v>
      </c>
      <c r="D27" s="1">
        <v>9</v>
      </c>
      <c r="E27" s="1">
        <f t="shared" si="19"/>
        <v>6.6</v>
      </c>
      <c r="F27" s="13">
        <v>3.9E-2</v>
      </c>
      <c r="G27" s="1">
        <v>293.83300000000003</v>
      </c>
      <c r="H27" s="1">
        <v>153.15600000000001</v>
      </c>
      <c r="I27" s="1">
        <v>140.67699999999999</v>
      </c>
      <c r="J27" s="1">
        <v>182.72300000000001</v>
      </c>
      <c r="K27" s="1">
        <v>174.101</v>
      </c>
      <c r="L27" s="1">
        <f>IF(MIN(G$18:G27)&lt;L26,G27,L26)</f>
        <v>293.83300000000003</v>
      </c>
      <c r="M27" s="14">
        <f t="shared" si="20"/>
        <v>0.87241282047475543</v>
      </c>
      <c r="N27" s="1">
        <f t="shared" si="21"/>
        <v>153.15600000000001</v>
      </c>
      <c r="O27" s="1">
        <f t="shared" si="22"/>
        <v>140.67699999999999</v>
      </c>
      <c r="P27" s="1">
        <f t="shared" si="15"/>
        <v>293.83299999999997</v>
      </c>
      <c r="Q27" s="1">
        <v>9</v>
      </c>
      <c r="R27" s="1">
        <f t="shared" si="23"/>
        <v>-19.906000000000006</v>
      </c>
      <c r="S27" s="1">
        <f t="shared" si="24"/>
        <v>-23.066000000000003</v>
      </c>
      <c r="T27" s="1">
        <f t="shared" si="25"/>
        <v>5.8973339034565555</v>
      </c>
      <c r="V27" s="1">
        <v>253.39699999999999</v>
      </c>
      <c r="AA27" s="1">
        <f t="shared" si="16"/>
        <v>0.8563660450560665</v>
      </c>
    </row>
    <row r="28" spans="1:27" x14ac:dyDescent="0.3">
      <c r="A28" s="1">
        <f t="shared" si="17"/>
        <v>-1.0388884</v>
      </c>
      <c r="B28" s="1">
        <v>-9.4444400000000001E-4</v>
      </c>
      <c r="C28" s="1">
        <f t="shared" si="18"/>
        <v>1000</v>
      </c>
      <c r="D28" s="1">
        <v>10</v>
      </c>
      <c r="E28" s="1">
        <f t="shared" si="19"/>
        <v>10.5</v>
      </c>
      <c r="F28" s="13">
        <v>-0.04</v>
      </c>
      <c r="G28" s="1">
        <v>296.45299999999997</v>
      </c>
      <c r="H28" s="1">
        <v>154.68899999999999</v>
      </c>
      <c r="I28" s="1">
        <v>141.76400000000001</v>
      </c>
      <c r="J28" s="1">
        <v>182.715</v>
      </c>
      <c r="K28" s="1">
        <v>173.77699999999999</v>
      </c>
      <c r="L28" s="1">
        <f>IF(MIN(G$18:G28)&lt;L27,G28,L27)</f>
        <v>293.83300000000003</v>
      </c>
      <c r="M28" s="14">
        <f t="shared" si="20"/>
        <v>0.87241282047475543</v>
      </c>
      <c r="N28" s="1">
        <f t="shared" si="21"/>
        <v>153.15600000000001</v>
      </c>
      <c r="O28" s="1">
        <f t="shared" si="22"/>
        <v>140.67699999999999</v>
      </c>
      <c r="P28" s="1">
        <f t="shared" si="15"/>
        <v>293.83299999999997</v>
      </c>
      <c r="Q28" s="1">
        <v>10</v>
      </c>
      <c r="R28" s="1">
        <f t="shared" si="23"/>
        <v>-19.906000000000006</v>
      </c>
      <c r="S28" s="1">
        <f t="shared" si="24"/>
        <v>-23.066000000000003</v>
      </c>
      <c r="T28" s="1">
        <f t="shared" si="25"/>
        <v>5.8973339034565555</v>
      </c>
      <c r="V28" s="1">
        <v>252.92699999999999</v>
      </c>
      <c r="AA28" s="1">
        <f t="shared" si="16"/>
        <v>0.85477765986927923</v>
      </c>
    </row>
    <row r="29" spans="1:27" x14ac:dyDescent="0.3">
      <c r="A29" s="1">
        <f t="shared" si="17"/>
        <v>-1.1333328</v>
      </c>
      <c r="B29" s="1">
        <v>-9.4444400000000001E-4</v>
      </c>
      <c r="C29" s="1">
        <f t="shared" si="18"/>
        <v>1100</v>
      </c>
      <c r="D29" s="1">
        <v>11</v>
      </c>
      <c r="E29" s="1">
        <f t="shared" si="19"/>
        <v>6.5</v>
      </c>
      <c r="F29" s="13">
        <v>2.5000000000000001E-2</v>
      </c>
      <c r="G29" s="1">
        <v>291.19900000000001</v>
      </c>
      <c r="H29" s="1">
        <v>151.54400000000001</v>
      </c>
      <c r="I29" s="1">
        <v>139.655</v>
      </c>
      <c r="J29" s="1">
        <v>183.423</v>
      </c>
      <c r="K29" s="1">
        <v>174.70699999999999</v>
      </c>
      <c r="L29" s="1">
        <f>IF(MIN(G$18:G29)&lt;L28,G29,L28)</f>
        <v>291.19900000000001</v>
      </c>
      <c r="M29" s="14">
        <f t="shared" si="20"/>
        <v>0.86459227149240658</v>
      </c>
      <c r="N29" s="1">
        <f t="shared" si="21"/>
        <v>151.54400000000001</v>
      </c>
      <c r="O29" s="1">
        <f t="shared" si="22"/>
        <v>139.655</v>
      </c>
      <c r="P29" s="1">
        <f t="shared" si="15"/>
        <v>291.19900000000001</v>
      </c>
      <c r="Q29" s="1">
        <v>11</v>
      </c>
      <c r="R29" s="1">
        <f t="shared" si="23"/>
        <v>-21.518000000000001</v>
      </c>
      <c r="S29" s="1">
        <f t="shared" si="24"/>
        <v>-24.087999999999994</v>
      </c>
      <c r="T29" s="1">
        <f t="shared" si="25"/>
        <v>5.8973339034565555</v>
      </c>
      <c r="V29" s="1">
        <v>252.01400000000001</v>
      </c>
      <c r="AA29" s="1">
        <f t="shared" si="16"/>
        <v>0.85169213715537107</v>
      </c>
    </row>
    <row r="30" spans="1:27" x14ac:dyDescent="0.3">
      <c r="A30" s="1">
        <f t="shared" si="17"/>
        <v>-1.2277772</v>
      </c>
      <c r="B30" s="1">
        <v>-9.4444400000000001E-4</v>
      </c>
      <c r="C30" s="1">
        <f t="shared" si="18"/>
        <v>1200</v>
      </c>
      <c r="D30" s="1">
        <v>12</v>
      </c>
      <c r="E30" s="1">
        <f t="shared" si="19"/>
        <v>9</v>
      </c>
      <c r="F30" s="13">
        <v>-3.5000000000000003E-2</v>
      </c>
      <c r="G30" s="1">
        <v>289.41899999999998</v>
      </c>
      <c r="H30" s="1">
        <v>149.53399999999999</v>
      </c>
      <c r="I30" s="1">
        <v>139.88399999999999</v>
      </c>
      <c r="J30" s="1">
        <v>183.84</v>
      </c>
      <c r="K30" s="1">
        <v>174.29900000000001</v>
      </c>
      <c r="L30" s="1">
        <f>IF(MIN(G$18:G30)&lt;L29,G30,L29)</f>
        <v>289.41899999999998</v>
      </c>
      <c r="M30" s="14">
        <f t="shared" si="20"/>
        <v>0.85930731432134311</v>
      </c>
      <c r="N30" s="1">
        <f t="shared" si="21"/>
        <v>149.53399999999999</v>
      </c>
      <c r="O30" s="1">
        <f t="shared" si="22"/>
        <v>139.88399999999999</v>
      </c>
      <c r="P30" s="1">
        <f t="shared" si="15"/>
        <v>289.41800000000001</v>
      </c>
      <c r="Q30" s="1">
        <v>12</v>
      </c>
      <c r="R30" s="1">
        <f t="shared" si="23"/>
        <v>-23.52800000000002</v>
      </c>
      <c r="S30" s="1">
        <f t="shared" si="24"/>
        <v>-23.859000000000009</v>
      </c>
      <c r="T30" s="1">
        <f t="shared" si="25"/>
        <v>5.8973339034565555</v>
      </c>
      <c r="V30" s="1">
        <v>249.93700000000001</v>
      </c>
      <c r="AA30" s="1">
        <f t="shared" si="16"/>
        <v>0.8446728264469513</v>
      </c>
    </row>
    <row r="31" spans="1:27" x14ac:dyDescent="0.3">
      <c r="A31" s="1">
        <f t="shared" si="17"/>
        <v>-1.3222216</v>
      </c>
      <c r="B31" s="1">
        <v>-9.4444400000000001E-4</v>
      </c>
      <c r="C31" s="1">
        <f t="shared" si="18"/>
        <v>1300</v>
      </c>
      <c r="D31" s="1">
        <v>13</v>
      </c>
      <c r="E31" s="1">
        <f t="shared" si="19"/>
        <v>5.5</v>
      </c>
      <c r="F31" s="13">
        <v>-2.7755599999999998E-19</v>
      </c>
      <c r="G31" s="1">
        <v>288.27699999999999</v>
      </c>
      <c r="H31" s="1">
        <v>149.922</v>
      </c>
      <c r="I31" s="1">
        <v>138.35499999999999</v>
      </c>
      <c r="J31" s="1">
        <v>183.512</v>
      </c>
      <c r="K31" s="1">
        <v>174.184</v>
      </c>
      <c r="L31" s="1">
        <f>IF(MIN(G$18:G31)&lt;L30,G31,L30)</f>
        <v>288.27699999999999</v>
      </c>
      <c r="M31" s="14">
        <f t="shared" si="20"/>
        <v>0.85591662831608784</v>
      </c>
      <c r="N31" s="1">
        <f t="shared" si="21"/>
        <v>149.922</v>
      </c>
      <c r="O31" s="1">
        <f t="shared" si="22"/>
        <v>138.35499999999999</v>
      </c>
      <c r="P31" s="1">
        <f t="shared" si="15"/>
        <v>288.27699999999999</v>
      </c>
      <c r="Q31" s="1">
        <v>13</v>
      </c>
      <c r="R31" s="1">
        <f t="shared" si="23"/>
        <v>-23.140000000000015</v>
      </c>
      <c r="S31" s="1">
        <f t="shared" si="24"/>
        <v>-25.388000000000005</v>
      </c>
      <c r="T31" s="1">
        <f t="shared" si="25"/>
        <v>5.8973339034565555</v>
      </c>
      <c r="V31" s="1">
        <v>253.35300000000001</v>
      </c>
      <c r="AA31" s="1">
        <f t="shared" si="16"/>
        <v>0.85621734516623971</v>
      </c>
    </row>
    <row r="32" spans="1:27" x14ac:dyDescent="0.3">
      <c r="A32" s="1">
        <f t="shared" si="17"/>
        <v>-1.416666</v>
      </c>
      <c r="B32" s="1">
        <v>-9.4444400000000001E-4</v>
      </c>
      <c r="C32" s="1">
        <f t="shared" si="18"/>
        <v>1400</v>
      </c>
      <c r="D32" s="1">
        <v>14</v>
      </c>
      <c r="E32" s="1">
        <f t="shared" si="19"/>
        <v>5.5</v>
      </c>
      <c r="F32" s="13">
        <v>3.2000000000000001E-2</v>
      </c>
      <c r="G32" s="1">
        <v>289.416</v>
      </c>
      <c r="H32" s="1">
        <v>150.16900000000001</v>
      </c>
      <c r="I32" s="1">
        <v>139.24700000000001</v>
      </c>
      <c r="J32" s="1">
        <v>183.649</v>
      </c>
      <c r="K32" s="1">
        <v>174.113</v>
      </c>
      <c r="L32" s="1">
        <f>IF(MIN(G$18:G32)&lt;L31,G32,L31)</f>
        <v>288.27699999999999</v>
      </c>
      <c r="M32" s="14">
        <f t="shared" si="20"/>
        <v>0.85591662831608784</v>
      </c>
      <c r="N32" s="1">
        <f t="shared" si="21"/>
        <v>149.922</v>
      </c>
      <c r="O32" s="1">
        <f t="shared" si="22"/>
        <v>138.35499999999999</v>
      </c>
      <c r="P32" s="1">
        <f t="shared" si="15"/>
        <v>288.27699999999999</v>
      </c>
      <c r="Q32" s="1">
        <v>14</v>
      </c>
      <c r="R32" s="1">
        <f t="shared" si="23"/>
        <v>-23.140000000000015</v>
      </c>
      <c r="S32" s="1">
        <f t="shared" si="24"/>
        <v>-25.388000000000005</v>
      </c>
      <c r="T32" s="1">
        <f t="shared" si="25"/>
        <v>5.8973339034565555</v>
      </c>
      <c r="V32" s="1">
        <v>250.13499999999999</v>
      </c>
      <c r="AA32" s="1">
        <f t="shared" si="16"/>
        <v>0.84534197595117222</v>
      </c>
    </row>
    <row r="33" spans="1:27" x14ac:dyDescent="0.3">
      <c r="A33" s="1">
        <f t="shared" si="17"/>
        <v>-1.5111104</v>
      </c>
      <c r="B33" s="1">
        <v>-9.4444400000000001E-4</v>
      </c>
      <c r="C33" s="1">
        <f t="shared" si="18"/>
        <v>1500</v>
      </c>
      <c r="D33" s="1">
        <v>15</v>
      </c>
      <c r="E33" s="1">
        <f t="shared" si="19"/>
        <v>8.6999999999999993</v>
      </c>
      <c r="F33" s="13">
        <v>-2.8000000000000001E-2</v>
      </c>
      <c r="G33" s="1">
        <v>291.74299999999999</v>
      </c>
      <c r="H33" s="1">
        <v>151.65100000000001</v>
      </c>
      <c r="I33" s="1">
        <v>140.09100000000001</v>
      </c>
      <c r="J33" s="1">
        <v>183.21</v>
      </c>
      <c r="K33" s="1">
        <v>173.45500000000001</v>
      </c>
      <c r="L33" s="1">
        <f>IF(MIN(G$18:G33)&lt;L32,G33,L32)</f>
        <v>288.27699999999999</v>
      </c>
      <c r="M33" s="14">
        <f t="shared" si="20"/>
        <v>0.85591662831608784</v>
      </c>
      <c r="N33" s="1">
        <f t="shared" si="21"/>
        <v>149.922</v>
      </c>
      <c r="O33" s="1">
        <f t="shared" si="22"/>
        <v>138.35499999999999</v>
      </c>
      <c r="P33" s="1">
        <f t="shared" si="15"/>
        <v>288.27699999999999</v>
      </c>
      <c r="Q33" s="1">
        <v>15</v>
      </c>
      <c r="R33" s="1">
        <f t="shared" si="23"/>
        <v>-23.140000000000015</v>
      </c>
      <c r="S33" s="1">
        <f t="shared" si="24"/>
        <v>-25.388000000000005</v>
      </c>
      <c r="T33" s="1">
        <f t="shared" si="25"/>
        <v>5.8973339034565555</v>
      </c>
      <c r="V33" s="1">
        <v>250.685</v>
      </c>
      <c r="AA33" s="1">
        <f t="shared" si="16"/>
        <v>0.84720072457400852</v>
      </c>
    </row>
    <row r="34" spans="1:27" x14ac:dyDescent="0.3">
      <c r="A34" s="1">
        <f t="shared" si="17"/>
        <v>-1.6055547999999999</v>
      </c>
      <c r="B34" s="1">
        <v>-9.4444400000000001E-4</v>
      </c>
      <c r="C34" s="1">
        <f t="shared" si="18"/>
        <v>1600</v>
      </c>
      <c r="D34" s="1">
        <v>16</v>
      </c>
      <c r="E34" s="1">
        <f t="shared" si="19"/>
        <v>5.8999999999999986</v>
      </c>
      <c r="F34" s="13">
        <v>-1.6E-2</v>
      </c>
      <c r="G34" s="1">
        <v>291.976</v>
      </c>
      <c r="H34" s="1">
        <v>151.816</v>
      </c>
      <c r="I34" s="1">
        <v>140.161</v>
      </c>
      <c r="J34" s="1">
        <v>184.11199999999999</v>
      </c>
      <c r="K34" s="1">
        <v>174.98599999999999</v>
      </c>
      <c r="L34" s="1">
        <f>IF(MIN(G$18:G34)&lt;L33,G34,L33)</f>
        <v>288.27699999999999</v>
      </c>
      <c r="M34" s="14">
        <f t="shared" si="20"/>
        <v>0.85591662831608784</v>
      </c>
      <c r="N34" s="1">
        <f t="shared" si="21"/>
        <v>149.922</v>
      </c>
      <c r="O34" s="1">
        <f t="shared" si="22"/>
        <v>138.35499999999999</v>
      </c>
      <c r="P34" s="1">
        <f t="shared" si="15"/>
        <v>288.27699999999999</v>
      </c>
      <c r="Q34" s="1">
        <v>16</v>
      </c>
      <c r="R34" s="1">
        <f t="shared" si="23"/>
        <v>-23.140000000000015</v>
      </c>
      <c r="S34" s="1">
        <f t="shared" si="24"/>
        <v>-25.388000000000005</v>
      </c>
      <c r="T34" s="1">
        <f t="shared" si="25"/>
        <v>5.8973339034565555</v>
      </c>
      <c r="V34" s="1">
        <v>252.256</v>
      </c>
      <c r="AA34" s="1">
        <f t="shared" si="16"/>
        <v>0.85250998654941901</v>
      </c>
    </row>
    <row r="35" spans="1:27" x14ac:dyDescent="0.3">
      <c r="A35" s="1">
        <f t="shared" si="17"/>
        <v>-1.6999991999999999</v>
      </c>
      <c r="B35" s="1">
        <v>-9.4444400000000001E-4</v>
      </c>
      <c r="C35" s="1">
        <f t="shared" si="18"/>
        <v>1700</v>
      </c>
      <c r="D35" s="1">
        <v>17</v>
      </c>
      <c r="E35" s="1">
        <f t="shared" si="19"/>
        <v>4.2999999999999989</v>
      </c>
      <c r="F35" s="13">
        <v>3.9E-2</v>
      </c>
      <c r="G35" s="1">
        <v>290.53500000000003</v>
      </c>
      <c r="H35" s="1">
        <v>151.31700000000001</v>
      </c>
      <c r="I35" s="1">
        <v>139.21799999999999</v>
      </c>
      <c r="J35" s="1">
        <v>183.78800000000001</v>
      </c>
      <c r="K35" s="1">
        <v>174.13499999999999</v>
      </c>
      <c r="L35" s="1">
        <f>IF(MIN(G$18:G35)&lt;L34,G35,L34)</f>
        <v>288.27699999999999</v>
      </c>
      <c r="M35" s="14">
        <f t="shared" si="20"/>
        <v>0.85591662831608784</v>
      </c>
      <c r="N35" s="1">
        <f t="shared" si="21"/>
        <v>149.922</v>
      </c>
      <c r="O35" s="1">
        <f t="shared" si="22"/>
        <v>138.35499999999999</v>
      </c>
      <c r="P35" s="1">
        <f t="shared" si="15"/>
        <v>288.27699999999999</v>
      </c>
      <c r="Q35" s="1">
        <v>17</v>
      </c>
      <c r="R35" s="1">
        <f t="shared" si="23"/>
        <v>-23.140000000000015</v>
      </c>
      <c r="S35" s="1">
        <f t="shared" si="24"/>
        <v>-25.388000000000005</v>
      </c>
      <c r="T35" s="1">
        <f t="shared" si="25"/>
        <v>5.8973339034565555</v>
      </c>
      <c r="V35" s="1">
        <v>250.209</v>
      </c>
      <c r="AA35" s="1">
        <f t="shared" si="16"/>
        <v>0.84559206212951754</v>
      </c>
    </row>
    <row r="36" spans="1:27" x14ac:dyDescent="0.3">
      <c r="A36" s="1">
        <f t="shared" si="17"/>
        <v>-1.7944435999999999</v>
      </c>
      <c r="B36" s="1">
        <v>-9.4444400000000001E-4</v>
      </c>
      <c r="C36" s="1">
        <f t="shared" si="18"/>
        <v>1800</v>
      </c>
      <c r="D36" s="1">
        <v>18</v>
      </c>
      <c r="E36" s="1">
        <f t="shared" si="19"/>
        <v>8.1999999999999993</v>
      </c>
      <c r="F36" s="13">
        <v>-0.04</v>
      </c>
      <c r="G36" s="1">
        <v>290.17099999999999</v>
      </c>
      <c r="H36" s="1">
        <v>151.21100000000001</v>
      </c>
      <c r="I36" s="1">
        <v>138.96</v>
      </c>
      <c r="J36" s="1">
        <v>183.22800000000001</v>
      </c>
      <c r="K36" s="1">
        <v>174.30199999999999</v>
      </c>
      <c r="L36" s="1">
        <f>IF(MIN(G$18:G36)&lt;L35,G36,L35)</f>
        <v>288.27699999999999</v>
      </c>
      <c r="M36" s="14">
        <f t="shared" si="20"/>
        <v>0.85591662831608784</v>
      </c>
      <c r="N36" s="1">
        <f t="shared" si="21"/>
        <v>149.922</v>
      </c>
      <c r="O36" s="1">
        <f t="shared" si="22"/>
        <v>138.35499999999999</v>
      </c>
      <c r="P36" s="1">
        <f t="shared" si="15"/>
        <v>288.27699999999999</v>
      </c>
      <c r="Q36" s="1">
        <v>18</v>
      </c>
      <c r="R36" s="1">
        <f t="shared" si="23"/>
        <v>-23.140000000000015</v>
      </c>
      <c r="S36" s="1">
        <f t="shared" si="24"/>
        <v>-25.388000000000005</v>
      </c>
      <c r="T36" s="1">
        <f t="shared" si="25"/>
        <v>5.8973339034565555</v>
      </c>
      <c r="V36" s="1">
        <v>251.33199999999999</v>
      </c>
      <c r="AA36" s="1">
        <f t="shared" si="16"/>
        <v>0.84938728886305404</v>
      </c>
    </row>
    <row r="37" spans="1:27" x14ac:dyDescent="0.3">
      <c r="A37" s="1">
        <f t="shared" si="17"/>
        <v>-1.8888879999999999</v>
      </c>
      <c r="B37" s="1">
        <v>-9.4444400000000001E-4</v>
      </c>
      <c r="C37" s="1">
        <f t="shared" si="18"/>
        <v>1900</v>
      </c>
      <c r="D37" s="1">
        <v>19</v>
      </c>
      <c r="E37" s="1">
        <f t="shared" si="19"/>
        <v>4.1999999999999993</v>
      </c>
      <c r="F37" s="13">
        <v>0.04</v>
      </c>
      <c r="G37" s="1">
        <v>285.666</v>
      </c>
      <c r="H37" s="1">
        <v>149.13999999999999</v>
      </c>
      <c r="I37" s="1">
        <v>136.52500000000001</v>
      </c>
      <c r="J37" s="1">
        <v>184.66499999999999</v>
      </c>
      <c r="K37" s="1">
        <v>175.93100000000001</v>
      </c>
      <c r="L37" s="1">
        <f>IF(MIN(G$18:G37)&lt;L36,G37,L36)</f>
        <v>285.666</v>
      </c>
      <c r="M37" s="14">
        <f t="shared" si="20"/>
        <v>0.84816436810617413</v>
      </c>
      <c r="N37" s="1">
        <f t="shared" si="21"/>
        <v>149.13999999999999</v>
      </c>
      <c r="O37" s="1">
        <f t="shared" si="22"/>
        <v>136.52500000000001</v>
      </c>
      <c r="P37" s="1">
        <f t="shared" si="15"/>
        <v>285.66499999999996</v>
      </c>
      <c r="Q37" s="1">
        <v>19</v>
      </c>
      <c r="R37" s="1">
        <f t="shared" si="23"/>
        <v>-23.922000000000025</v>
      </c>
      <c r="S37" s="1">
        <f t="shared" si="24"/>
        <v>-27.217999999999989</v>
      </c>
      <c r="T37" s="1">
        <f t="shared" si="25"/>
        <v>5.8973339034565555</v>
      </c>
      <c r="V37" s="1">
        <v>246.774</v>
      </c>
      <c r="AA37" s="1">
        <f t="shared" si="16"/>
        <v>0.83398333209416753</v>
      </c>
    </row>
    <row r="38" spans="1:27" x14ac:dyDescent="0.3">
      <c r="A38" s="1">
        <f t="shared" si="17"/>
        <v>-1.9833323999999999</v>
      </c>
      <c r="B38" s="1">
        <v>-9.4444400000000001E-4</v>
      </c>
      <c r="C38" s="1">
        <f t="shared" si="18"/>
        <v>2000</v>
      </c>
      <c r="D38" s="1">
        <v>20</v>
      </c>
      <c r="E38" s="1">
        <f t="shared" si="19"/>
        <v>8.1999999999999993</v>
      </c>
      <c r="F38" s="13">
        <v>-0.04</v>
      </c>
      <c r="G38" s="1">
        <v>287.25400000000002</v>
      </c>
      <c r="H38" s="1">
        <v>149.22399999999999</v>
      </c>
      <c r="I38" s="1">
        <v>138.03</v>
      </c>
      <c r="J38" s="1">
        <v>184.322</v>
      </c>
      <c r="K38" s="1">
        <v>175.352</v>
      </c>
      <c r="L38" s="1">
        <f>IF(MIN(G$18:G38)&lt;L37,G38,L37)</f>
        <v>285.666</v>
      </c>
      <c r="M38" s="14">
        <f t="shared" si="20"/>
        <v>0.84816436810617413</v>
      </c>
      <c r="N38" s="1">
        <f t="shared" si="21"/>
        <v>149.13999999999999</v>
      </c>
      <c r="O38" s="1">
        <f t="shared" si="22"/>
        <v>136.52500000000001</v>
      </c>
      <c r="P38" s="1">
        <f t="shared" si="15"/>
        <v>285.66499999999996</v>
      </c>
      <c r="Q38" s="1">
        <v>20</v>
      </c>
      <c r="R38" s="1">
        <f t="shared" si="23"/>
        <v>-23.922000000000025</v>
      </c>
      <c r="S38" s="1">
        <f t="shared" si="24"/>
        <v>-27.217999999999989</v>
      </c>
      <c r="T38" s="1">
        <f t="shared" si="25"/>
        <v>5.8973339034565555</v>
      </c>
      <c r="V38" s="1">
        <v>248.58699999999999</v>
      </c>
      <c r="AA38" s="1">
        <f t="shared" si="16"/>
        <v>0.84011044346362584</v>
      </c>
    </row>
    <row r="39" spans="1:27" x14ac:dyDescent="0.3">
      <c r="A39" s="1">
        <f t="shared" si="17"/>
        <v>-2.0777768000000001</v>
      </c>
      <c r="B39" s="1">
        <v>-9.4444400000000001E-4</v>
      </c>
      <c r="C39" s="1">
        <f t="shared" si="18"/>
        <v>2100</v>
      </c>
      <c r="D39" s="1">
        <v>21</v>
      </c>
      <c r="E39" s="1">
        <f t="shared" si="19"/>
        <v>4.1999999999999993</v>
      </c>
      <c r="F39" s="13">
        <v>3.5999999999999997E-2</v>
      </c>
      <c r="G39" s="1">
        <v>284.46199999999999</v>
      </c>
      <c r="H39" s="1">
        <v>147.57900000000001</v>
      </c>
      <c r="I39" s="1">
        <v>136.88300000000001</v>
      </c>
      <c r="J39" s="1">
        <v>185.02600000000001</v>
      </c>
      <c r="K39" s="1">
        <v>175.577</v>
      </c>
      <c r="L39" s="1">
        <f>IF(MIN(G$18:G39)&lt;L38,G39,L38)</f>
        <v>284.46199999999999</v>
      </c>
      <c r="M39" s="14">
        <f t="shared" si="20"/>
        <v>0.84458959932305033</v>
      </c>
      <c r="N39" s="1">
        <f t="shared" si="21"/>
        <v>147.57900000000001</v>
      </c>
      <c r="O39" s="1">
        <f t="shared" si="22"/>
        <v>136.88300000000001</v>
      </c>
      <c r="P39" s="1">
        <f t="shared" si="15"/>
        <v>284.46199999999999</v>
      </c>
      <c r="Q39" s="1">
        <v>21</v>
      </c>
      <c r="R39" s="1">
        <f t="shared" si="23"/>
        <v>-25.483000000000004</v>
      </c>
      <c r="S39" s="1">
        <f t="shared" si="24"/>
        <v>-26.859999999999985</v>
      </c>
      <c r="T39" s="1">
        <f t="shared" si="25"/>
        <v>5.8973339034565555</v>
      </c>
      <c r="V39" s="1">
        <v>248.721</v>
      </c>
      <c r="AA39" s="1">
        <f t="shared" si="16"/>
        <v>0.84056330221900788</v>
      </c>
    </row>
    <row r="40" spans="1:27" x14ac:dyDescent="0.3">
      <c r="A40" s="1">
        <f t="shared" si="17"/>
        <v>-2.1722212000000001</v>
      </c>
      <c r="B40" s="1">
        <v>-9.4444400000000001E-4</v>
      </c>
      <c r="C40" s="1">
        <f t="shared" si="18"/>
        <v>2200</v>
      </c>
      <c r="D40" s="1">
        <v>22</v>
      </c>
      <c r="E40" s="1">
        <f t="shared" si="19"/>
        <v>7.7999999999999989</v>
      </c>
      <c r="F40" s="13">
        <v>-0.04</v>
      </c>
      <c r="G40" s="1">
        <v>284.47000000000003</v>
      </c>
      <c r="H40" s="1">
        <v>147.66800000000001</v>
      </c>
      <c r="I40" s="1">
        <v>136.80199999999999</v>
      </c>
      <c r="J40" s="1">
        <v>185.316</v>
      </c>
      <c r="K40" s="1">
        <v>176.072</v>
      </c>
      <c r="L40" s="1">
        <f>IF(MIN(G$18:G40)&lt;L39,G40,L39)</f>
        <v>284.46199999999999</v>
      </c>
      <c r="M40" s="14">
        <f t="shared" si="20"/>
        <v>0.84458959932305033</v>
      </c>
      <c r="N40" s="1">
        <f t="shared" si="21"/>
        <v>147.57900000000001</v>
      </c>
      <c r="O40" s="1">
        <f t="shared" si="22"/>
        <v>136.88300000000001</v>
      </c>
      <c r="P40" s="1">
        <f t="shared" si="15"/>
        <v>284.46199999999999</v>
      </c>
      <c r="Q40" s="1">
        <v>22</v>
      </c>
      <c r="R40" s="1">
        <f t="shared" si="23"/>
        <v>-25.483000000000004</v>
      </c>
      <c r="S40" s="1">
        <f t="shared" si="24"/>
        <v>-26.859999999999985</v>
      </c>
      <c r="T40" s="1">
        <f t="shared" si="25"/>
        <v>5.8973339034565555</v>
      </c>
      <c r="V40" s="1">
        <v>249.327</v>
      </c>
      <c r="AA40" s="1">
        <f t="shared" si="16"/>
        <v>0.84261130524707828</v>
      </c>
    </row>
    <row r="41" spans="1:27" x14ac:dyDescent="0.3">
      <c r="A41" s="1">
        <f t="shared" si="17"/>
        <v>-2.2666656000000001</v>
      </c>
      <c r="B41" s="1">
        <v>-9.4444400000000001E-4</v>
      </c>
      <c r="C41" s="1">
        <f t="shared" si="18"/>
        <v>2300</v>
      </c>
      <c r="D41" s="1">
        <v>23</v>
      </c>
      <c r="E41" s="1">
        <f t="shared" si="19"/>
        <v>3.7999999999999989</v>
      </c>
      <c r="F41" s="13">
        <v>2.8000000000000001E-2</v>
      </c>
      <c r="G41" s="1">
        <v>281.33300000000003</v>
      </c>
      <c r="H41" s="1">
        <v>145.49</v>
      </c>
      <c r="I41" s="1">
        <v>135.84299999999999</v>
      </c>
      <c r="J41" s="1">
        <v>186.32300000000001</v>
      </c>
      <c r="K41" s="1">
        <v>176.553</v>
      </c>
      <c r="L41" s="1">
        <f>IF(MIN(G$18:G41)&lt;L40,G41,L40)</f>
        <v>281.33300000000003</v>
      </c>
      <c r="M41" s="14">
        <f t="shared" si="20"/>
        <v>0.83529935719481607</v>
      </c>
      <c r="N41" s="1">
        <f t="shared" si="21"/>
        <v>145.49</v>
      </c>
      <c r="O41" s="1">
        <f t="shared" si="22"/>
        <v>135.84299999999999</v>
      </c>
      <c r="P41" s="1">
        <f t="shared" si="15"/>
        <v>281.33299999999997</v>
      </c>
      <c r="Q41" s="1">
        <v>23</v>
      </c>
      <c r="R41" s="1">
        <f t="shared" si="23"/>
        <v>-27.572000000000003</v>
      </c>
      <c r="S41" s="1">
        <f t="shared" si="24"/>
        <v>-27.900000000000006</v>
      </c>
      <c r="T41" s="1">
        <f t="shared" si="25"/>
        <v>5.8973339034565555</v>
      </c>
      <c r="V41" s="1">
        <v>249.86799999999999</v>
      </c>
      <c r="AA41" s="1">
        <f t="shared" si="16"/>
        <v>0.84443963798335908</v>
      </c>
    </row>
    <row r="42" spans="1:27" x14ac:dyDescent="0.3">
      <c r="A42" s="1">
        <f t="shared" si="17"/>
        <v>-2.36111</v>
      </c>
      <c r="B42" s="1">
        <v>-9.4444400000000001E-4</v>
      </c>
      <c r="C42" s="1">
        <f t="shared" si="18"/>
        <v>2400</v>
      </c>
      <c r="D42" s="1">
        <v>24</v>
      </c>
      <c r="E42" s="1">
        <f t="shared" si="19"/>
        <v>6.6</v>
      </c>
      <c r="F42" s="13">
        <v>-0.04</v>
      </c>
      <c r="G42" s="1">
        <v>282.39800000000002</v>
      </c>
      <c r="H42" s="1">
        <v>146.99700000000001</v>
      </c>
      <c r="I42" s="1">
        <v>135.40100000000001</v>
      </c>
      <c r="J42" s="1">
        <v>185.86</v>
      </c>
      <c r="K42" s="1">
        <v>176.614</v>
      </c>
      <c r="L42" s="1">
        <f>IF(MIN(G$18:G42)&lt;L41,G42,L41)</f>
        <v>281.33300000000003</v>
      </c>
      <c r="M42" s="14">
        <f t="shared" si="20"/>
        <v>0.83529935719481607</v>
      </c>
      <c r="N42" s="1">
        <f t="shared" si="21"/>
        <v>145.49</v>
      </c>
      <c r="O42" s="1">
        <f t="shared" si="22"/>
        <v>135.84299999999999</v>
      </c>
      <c r="P42" s="1">
        <f t="shared" si="15"/>
        <v>281.33299999999997</v>
      </c>
      <c r="Q42" s="1">
        <v>24</v>
      </c>
      <c r="R42" s="1">
        <f t="shared" si="23"/>
        <v>-27.572000000000003</v>
      </c>
      <c r="S42" s="1">
        <f t="shared" si="24"/>
        <v>-27.900000000000006</v>
      </c>
      <c r="T42" s="1">
        <f t="shared" si="25"/>
        <v>5.8973339034565555</v>
      </c>
      <c r="V42" s="1">
        <v>251.328</v>
      </c>
      <c r="AA42" s="1">
        <f t="shared" si="16"/>
        <v>0.84937377069125164</v>
      </c>
    </row>
    <row r="43" spans="1:27" x14ac:dyDescent="0.3">
      <c r="A43" s="1">
        <f t="shared" si="17"/>
        <v>-2.4555544</v>
      </c>
      <c r="B43" s="1">
        <v>-9.4444400000000001E-4</v>
      </c>
      <c r="C43" s="1">
        <f t="shared" si="18"/>
        <v>2500</v>
      </c>
      <c r="D43" s="1">
        <v>25</v>
      </c>
      <c r="E43" s="1">
        <f t="shared" si="19"/>
        <v>2.5999999999999996</v>
      </c>
      <c r="F43" s="13">
        <v>0.03</v>
      </c>
      <c r="G43" s="1">
        <v>280.32900000000001</v>
      </c>
      <c r="H43" s="1">
        <v>146.08199999999999</v>
      </c>
      <c r="I43" s="1">
        <v>134.24799999999999</v>
      </c>
      <c r="J43" s="1">
        <v>186.46299999999999</v>
      </c>
      <c r="K43" s="1">
        <v>176.58699999999999</v>
      </c>
      <c r="L43" s="1">
        <f>IF(MIN(G$18:G43)&lt;L42,G43,L42)</f>
        <v>280.32900000000001</v>
      </c>
      <c r="M43" s="14">
        <f t="shared" si="20"/>
        <v>0.83231840382417122</v>
      </c>
      <c r="N43" s="1">
        <f t="shared" si="21"/>
        <v>146.08199999999999</v>
      </c>
      <c r="O43" s="1">
        <f t="shared" si="22"/>
        <v>134.24799999999999</v>
      </c>
      <c r="P43" s="1">
        <f t="shared" si="15"/>
        <v>280.33</v>
      </c>
      <c r="Q43" s="1">
        <v>25</v>
      </c>
      <c r="R43" s="1">
        <f t="shared" si="23"/>
        <v>-26.980000000000018</v>
      </c>
      <c r="S43" s="1">
        <f t="shared" si="24"/>
        <v>-29.495000000000005</v>
      </c>
      <c r="T43" s="1">
        <f t="shared" si="25"/>
        <v>5.8973339034565555</v>
      </c>
      <c r="V43" s="1">
        <v>248.13</v>
      </c>
      <c r="AA43" s="1">
        <f t="shared" si="16"/>
        <v>0.83856599233519646</v>
      </c>
    </row>
    <row r="44" spans="1:27" x14ac:dyDescent="0.3">
      <c r="A44" s="1">
        <f t="shared" si="17"/>
        <v>-2.5499988</v>
      </c>
      <c r="B44" s="1">
        <v>-9.4444400000000001E-4</v>
      </c>
      <c r="C44" s="1">
        <f t="shared" si="18"/>
        <v>2600</v>
      </c>
      <c r="D44" s="1">
        <v>26</v>
      </c>
      <c r="E44" s="1">
        <f t="shared" si="19"/>
        <v>5.6</v>
      </c>
      <c r="F44" s="13">
        <v>3.9E-2</v>
      </c>
      <c r="G44" s="1">
        <v>277.82900000000001</v>
      </c>
      <c r="H44" s="1">
        <v>144.23699999999999</v>
      </c>
      <c r="I44" s="1">
        <v>133.59200000000001</v>
      </c>
      <c r="J44" s="1">
        <v>187.24</v>
      </c>
      <c r="K44" s="1">
        <v>177.464</v>
      </c>
      <c r="L44" s="1">
        <f>IF(MIN(G$18:G44)&lt;L43,G44,L43)</f>
        <v>277.82900000000001</v>
      </c>
      <c r="M44" s="14">
        <f t="shared" si="20"/>
        <v>0.82489571116818339</v>
      </c>
      <c r="N44" s="1">
        <f t="shared" si="21"/>
        <v>144.23699999999999</v>
      </c>
      <c r="O44" s="1">
        <f t="shared" si="22"/>
        <v>133.59200000000001</v>
      </c>
      <c r="P44" s="1">
        <f t="shared" si="15"/>
        <v>277.82900000000001</v>
      </c>
      <c r="Q44" s="1">
        <v>26</v>
      </c>
      <c r="R44" s="1">
        <f t="shared" si="23"/>
        <v>-28.825000000000017</v>
      </c>
      <c r="S44" s="1">
        <f t="shared" si="24"/>
        <v>-30.150999999999982</v>
      </c>
      <c r="T44" s="1">
        <f t="shared" si="25"/>
        <v>5.8973339034565555</v>
      </c>
      <c r="V44" s="1">
        <v>249.97800000000001</v>
      </c>
      <c r="AA44" s="1">
        <f t="shared" si="16"/>
        <v>0.8448113877079263</v>
      </c>
    </row>
    <row r="45" spans="1:27" x14ac:dyDescent="0.3">
      <c r="A45" s="1">
        <f t="shared" si="17"/>
        <v>-2.6444432</v>
      </c>
      <c r="B45" s="1">
        <v>-9.4444400000000001E-4</v>
      </c>
      <c r="C45" s="1">
        <f t="shared" si="18"/>
        <v>2700</v>
      </c>
      <c r="D45" s="1">
        <v>27</v>
      </c>
      <c r="E45" s="1">
        <f t="shared" si="19"/>
        <v>9.5</v>
      </c>
      <c r="F45" s="13">
        <v>-1.4999999999999999E-2</v>
      </c>
      <c r="G45" s="1">
        <v>278.79899999999998</v>
      </c>
      <c r="H45" s="1">
        <v>144.21</v>
      </c>
      <c r="I45" s="1">
        <v>134.589</v>
      </c>
      <c r="J45" s="1">
        <v>187.018</v>
      </c>
      <c r="K45" s="1">
        <v>177.262</v>
      </c>
      <c r="L45" s="1">
        <f>IF(MIN(G$18:G45)&lt;L44,G45,L44)</f>
        <v>277.82900000000001</v>
      </c>
      <c r="M45" s="14">
        <f t="shared" si="20"/>
        <v>0.82489571116818339</v>
      </c>
      <c r="N45" s="1">
        <f t="shared" si="21"/>
        <v>144.23699999999999</v>
      </c>
      <c r="O45" s="1">
        <f t="shared" si="22"/>
        <v>133.59200000000001</v>
      </c>
      <c r="P45" s="1">
        <f t="shared" si="15"/>
        <v>277.82900000000001</v>
      </c>
      <c r="Q45" s="1">
        <v>27</v>
      </c>
      <c r="R45" s="1">
        <f t="shared" si="23"/>
        <v>-28.825000000000017</v>
      </c>
      <c r="S45" s="1">
        <f t="shared" si="24"/>
        <v>-30.150999999999982</v>
      </c>
      <c r="T45" s="1">
        <f t="shared" si="25"/>
        <v>5.8973339034565555</v>
      </c>
      <c r="V45" s="1">
        <v>247.721</v>
      </c>
      <c r="AA45" s="1">
        <f t="shared" si="16"/>
        <v>0.8371837592683965</v>
      </c>
    </row>
    <row r="46" spans="1:27" x14ac:dyDescent="0.3">
      <c r="A46" s="1">
        <f t="shared" si="17"/>
        <v>-2.7388876</v>
      </c>
      <c r="B46" s="1">
        <v>-9.4444400000000001E-4</v>
      </c>
      <c r="C46" s="1">
        <f t="shared" si="18"/>
        <v>2800</v>
      </c>
      <c r="D46" s="1">
        <v>28</v>
      </c>
      <c r="E46" s="1">
        <f t="shared" si="19"/>
        <v>8</v>
      </c>
      <c r="F46" s="13">
        <v>3.9E-2</v>
      </c>
      <c r="G46" s="1">
        <v>278.589</v>
      </c>
      <c r="H46" s="1">
        <v>145.05500000000001</v>
      </c>
      <c r="I46" s="1">
        <v>133.53399999999999</v>
      </c>
      <c r="J46" s="1">
        <v>187.15299999999999</v>
      </c>
      <c r="K46" s="1">
        <v>177.16499999999999</v>
      </c>
      <c r="L46" s="1">
        <f>IF(MIN(G$18:G46)&lt;L45,G46,L45)</f>
        <v>277.82900000000001</v>
      </c>
      <c r="M46" s="14">
        <f t="shared" si="20"/>
        <v>0.82489571116818339</v>
      </c>
      <c r="N46" s="1">
        <f t="shared" si="21"/>
        <v>144.23699999999999</v>
      </c>
      <c r="O46" s="1">
        <f t="shared" si="22"/>
        <v>133.59200000000001</v>
      </c>
      <c r="P46" s="1">
        <f t="shared" si="15"/>
        <v>277.82900000000001</v>
      </c>
      <c r="Q46" s="1">
        <v>28</v>
      </c>
      <c r="R46" s="1">
        <f t="shared" si="23"/>
        <v>-28.825000000000017</v>
      </c>
      <c r="S46" s="1">
        <f t="shared" si="24"/>
        <v>-30.150999999999982</v>
      </c>
      <c r="T46" s="1">
        <f t="shared" si="25"/>
        <v>5.8973339034565555</v>
      </c>
      <c r="V46" s="1">
        <v>246.95500000000001</v>
      </c>
      <c r="AA46" s="1">
        <f t="shared" si="16"/>
        <v>0.83459502936822816</v>
      </c>
    </row>
    <row r="47" spans="1:27" x14ac:dyDescent="0.3">
      <c r="A47" s="1">
        <f t="shared" si="17"/>
        <v>-2.833332</v>
      </c>
      <c r="B47" s="1">
        <v>-9.4444400000000001E-4</v>
      </c>
      <c r="C47" s="1">
        <f t="shared" si="18"/>
        <v>2900</v>
      </c>
      <c r="D47" s="1">
        <v>29</v>
      </c>
      <c r="E47" s="1">
        <f t="shared" si="19"/>
        <v>11.9</v>
      </c>
      <c r="F47" s="13">
        <v>0.03</v>
      </c>
      <c r="G47" s="1">
        <v>278.56400000000002</v>
      </c>
      <c r="H47" s="1">
        <v>143.947</v>
      </c>
      <c r="I47" s="1">
        <v>134.61699999999999</v>
      </c>
      <c r="J47" s="1">
        <v>187.297</v>
      </c>
      <c r="K47" s="1">
        <v>177.71100000000001</v>
      </c>
      <c r="L47" s="1">
        <f>IF(MIN(G$18:G47)&lt;L46,G47,L46)</f>
        <v>277.82900000000001</v>
      </c>
      <c r="M47" s="14">
        <f t="shared" si="20"/>
        <v>0.82489571116818339</v>
      </c>
      <c r="N47" s="1">
        <f t="shared" si="21"/>
        <v>144.23699999999999</v>
      </c>
      <c r="O47" s="1">
        <f t="shared" si="22"/>
        <v>133.59200000000001</v>
      </c>
      <c r="P47" s="1">
        <f t="shared" si="15"/>
        <v>277.82900000000001</v>
      </c>
      <c r="Q47" s="1">
        <v>29</v>
      </c>
      <c r="R47" s="1">
        <f t="shared" si="23"/>
        <v>-28.825000000000017</v>
      </c>
      <c r="S47" s="1">
        <f t="shared" si="24"/>
        <v>-30.150999999999982</v>
      </c>
      <c r="T47" s="1">
        <f t="shared" si="25"/>
        <v>5.8973339034565555</v>
      </c>
      <c r="V47" s="1">
        <v>247.37799999999999</v>
      </c>
      <c r="AA47" s="1">
        <f t="shared" si="16"/>
        <v>0.83602457603633673</v>
      </c>
    </row>
    <row r="48" spans="1:27" x14ac:dyDescent="0.3">
      <c r="A48" s="1">
        <f t="shared" si="17"/>
        <v>-2.9277763999999999</v>
      </c>
      <c r="B48" s="1">
        <v>-9.4444400000000001E-4</v>
      </c>
      <c r="C48" s="1">
        <f t="shared" si="18"/>
        <v>3000</v>
      </c>
      <c r="D48" s="1">
        <v>30</v>
      </c>
      <c r="E48" s="1">
        <f t="shared" si="19"/>
        <v>14.9</v>
      </c>
      <c r="F48" s="13">
        <v>-3.5000000000000003E-2</v>
      </c>
      <c r="G48" s="1">
        <v>278.36099999999999</v>
      </c>
      <c r="H48" s="1">
        <v>144.398</v>
      </c>
      <c r="I48" s="1">
        <v>133.96299999999999</v>
      </c>
      <c r="J48" s="1">
        <v>187.63800000000001</v>
      </c>
      <c r="K48" s="1">
        <v>177.85400000000001</v>
      </c>
      <c r="L48" s="1">
        <f>IF(MIN(G$18:G48)&lt;L47,G48,L47)</f>
        <v>277.82900000000001</v>
      </c>
      <c r="M48" s="14">
        <f t="shared" si="20"/>
        <v>0.82489571116818339</v>
      </c>
      <c r="N48" s="1">
        <f t="shared" si="21"/>
        <v>144.23699999999999</v>
      </c>
      <c r="O48" s="1">
        <f t="shared" si="22"/>
        <v>133.59200000000001</v>
      </c>
      <c r="P48" s="1">
        <f t="shared" si="15"/>
        <v>277.82900000000001</v>
      </c>
      <c r="Q48" s="1">
        <v>30</v>
      </c>
      <c r="R48" s="1">
        <f t="shared" si="23"/>
        <v>-28.825000000000017</v>
      </c>
      <c r="S48" s="1">
        <f t="shared" si="24"/>
        <v>-30.150999999999982</v>
      </c>
      <c r="T48" s="1">
        <f t="shared" si="25"/>
        <v>5.8973339034565555</v>
      </c>
      <c r="V48" s="1">
        <v>247.84299999999999</v>
      </c>
      <c r="AA48" s="1">
        <f t="shared" si="16"/>
        <v>0.83759606350837101</v>
      </c>
    </row>
    <row r="49" spans="1:27" x14ac:dyDescent="0.3">
      <c r="A49" s="1">
        <f t="shared" si="17"/>
        <v>-3.0222207999999999</v>
      </c>
      <c r="B49" s="1">
        <v>-9.4444400000000001E-4</v>
      </c>
      <c r="C49" s="1">
        <f t="shared" si="18"/>
        <v>3100</v>
      </c>
      <c r="D49" s="1">
        <v>31</v>
      </c>
      <c r="E49" s="1">
        <f t="shared" si="19"/>
        <v>11.4</v>
      </c>
      <c r="F49" s="13">
        <v>-0.04</v>
      </c>
      <c r="G49" s="1">
        <v>277.80200000000002</v>
      </c>
      <c r="H49" s="1">
        <v>144.75899999999999</v>
      </c>
      <c r="I49" s="1">
        <v>133.04300000000001</v>
      </c>
      <c r="J49" s="1">
        <v>187.21100000000001</v>
      </c>
      <c r="K49" s="1">
        <v>177.42500000000001</v>
      </c>
      <c r="L49" s="1">
        <f>IF(MIN(G$18:G49)&lt;L48,G49,L48)</f>
        <v>277.80200000000002</v>
      </c>
      <c r="M49" s="14">
        <f t="shared" si="20"/>
        <v>0.82481554608749874</v>
      </c>
      <c r="N49" s="1">
        <f t="shared" si="21"/>
        <v>144.75899999999999</v>
      </c>
      <c r="O49" s="1">
        <f t="shared" si="22"/>
        <v>133.04300000000001</v>
      </c>
      <c r="P49" s="1">
        <f t="shared" si="15"/>
        <v>277.80200000000002</v>
      </c>
      <c r="Q49" s="1">
        <v>31</v>
      </c>
      <c r="R49" s="1">
        <f t="shared" si="23"/>
        <v>-28.303000000000026</v>
      </c>
      <c r="S49" s="1">
        <f t="shared" si="24"/>
        <v>-30.699999999999989</v>
      </c>
      <c r="T49" s="1">
        <f t="shared" si="25"/>
        <v>5.8973339034565555</v>
      </c>
      <c r="V49" s="1">
        <v>248.37200000000001</v>
      </c>
      <c r="AA49" s="1">
        <f t="shared" si="16"/>
        <v>0.83938384172924452</v>
      </c>
    </row>
    <row r="50" spans="1:27" x14ac:dyDescent="0.3">
      <c r="A50" s="1">
        <f t="shared" si="17"/>
        <v>-3.1166651999999999</v>
      </c>
      <c r="B50" s="1">
        <v>-9.4444400000000001E-4</v>
      </c>
      <c r="C50" s="1">
        <f t="shared" si="18"/>
        <v>3200</v>
      </c>
      <c r="D50" s="1">
        <v>32</v>
      </c>
      <c r="E50" s="1">
        <f t="shared" si="19"/>
        <v>7.4</v>
      </c>
      <c r="F50" s="13">
        <v>2.5000000000000001E-2</v>
      </c>
      <c r="G50" s="1">
        <v>276.27699999999999</v>
      </c>
      <c r="H50" s="1">
        <v>143.55600000000001</v>
      </c>
      <c r="I50" s="1">
        <v>132.721</v>
      </c>
      <c r="J50" s="1">
        <v>188.096</v>
      </c>
      <c r="K50" s="1">
        <v>177.99700000000001</v>
      </c>
      <c r="L50" s="1">
        <f>IF(MIN(G$18:G50)&lt;L49,G50,L49)</f>
        <v>276.27699999999999</v>
      </c>
      <c r="M50" s="14">
        <f t="shared" si="20"/>
        <v>0.82028770356734604</v>
      </c>
      <c r="N50" s="1">
        <f t="shared" si="21"/>
        <v>143.55600000000001</v>
      </c>
      <c r="O50" s="1">
        <f t="shared" si="22"/>
        <v>132.721</v>
      </c>
      <c r="P50" s="1">
        <f t="shared" si="15"/>
        <v>276.27700000000004</v>
      </c>
      <c r="Q50" s="1">
        <v>32</v>
      </c>
      <c r="R50" s="1">
        <f t="shared" si="23"/>
        <v>-29.506</v>
      </c>
      <c r="S50" s="1">
        <f t="shared" si="24"/>
        <v>-31.021999999999991</v>
      </c>
      <c r="T50" s="1">
        <f t="shared" si="25"/>
        <v>5.8973339034565555</v>
      </c>
      <c r="V50" s="1">
        <v>246.047</v>
      </c>
      <c r="AA50" s="1">
        <f t="shared" si="16"/>
        <v>0.8315264043690731</v>
      </c>
    </row>
    <row r="51" spans="1:27" x14ac:dyDescent="0.3">
      <c r="A51" s="1">
        <f t="shared" si="17"/>
        <v>-3.2111095999999999</v>
      </c>
      <c r="B51" s="1">
        <v>-9.4444400000000001E-4</v>
      </c>
      <c r="C51" s="1">
        <f t="shared" si="18"/>
        <v>3300</v>
      </c>
      <c r="D51" s="1">
        <v>33</v>
      </c>
      <c r="E51" s="1">
        <f t="shared" si="19"/>
        <v>9.9</v>
      </c>
      <c r="F51" s="13">
        <v>0.04</v>
      </c>
      <c r="G51" s="1">
        <v>276.16300000000001</v>
      </c>
      <c r="H51" s="1">
        <v>143.37899999999999</v>
      </c>
      <c r="I51" s="1">
        <v>132.78299999999999</v>
      </c>
      <c r="J51" s="1">
        <v>187.97300000000001</v>
      </c>
      <c r="K51" s="1">
        <v>177.78700000000001</v>
      </c>
      <c r="L51" s="1">
        <f>IF(MIN(G$18:G51)&lt;L50,G51,L50)</f>
        <v>276.16300000000001</v>
      </c>
      <c r="M51" s="14">
        <f t="shared" si="20"/>
        <v>0.81994922878223309</v>
      </c>
      <c r="N51" s="1">
        <f t="shared" si="21"/>
        <v>143.37899999999999</v>
      </c>
      <c r="O51" s="1">
        <f t="shared" si="22"/>
        <v>132.78299999999999</v>
      </c>
      <c r="P51" s="1">
        <f t="shared" si="15"/>
        <v>276.16199999999998</v>
      </c>
      <c r="Q51" s="1">
        <v>33</v>
      </c>
      <c r="R51" s="1">
        <f t="shared" si="23"/>
        <v>-29.683000000000021</v>
      </c>
      <c r="S51" s="1">
        <f t="shared" si="24"/>
        <v>-30.960000000000008</v>
      </c>
      <c r="T51" s="1">
        <f t="shared" si="25"/>
        <v>5.8973339034565555</v>
      </c>
      <c r="V51" s="1">
        <v>245.17599999999999</v>
      </c>
      <c r="AA51" s="1">
        <f t="shared" si="16"/>
        <v>0.82858282245909054</v>
      </c>
    </row>
    <row r="52" spans="1:27" x14ac:dyDescent="0.3">
      <c r="A52" s="1">
        <f t="shared" si="17"/>
        <v>-3.3055539999999999</v>
      </c>
      <c r="B52" s="1">
        <v>-9.4444400000000001E-4</v>
      </c>
      <c r="C52" s="1">
        <f t="shared" si="18"/>
        <v>3400</v>
      </c>
      <c r="D52" s="1">
        <v>34</v>
      </c>
      <c r="E52" s="1">
        <f t="shared" si="19"/>
        <v>13.9</v>
      </c>
      <c r="F52" s="13">
        <v>0.04</v>
      </c>
      <c r="G52" s="1">
        <v>276.13799999999998</v>
      </c>
      <c r="H52" s="1">
        <v>143.327</v>
      </c>
      <c r="I52" s="1">
        <v>132.81100000000001</v>
      </c>
      <c r="J52" s="1">
        <v>188.01300000000001</v>
      </c>
      <c r="K52" s="1">
        <v>178.02199999999999</v>
      </c>
      <c r="L52" s="1">
        <f>IF(MIN(G$18:G52)&lt;L51,G52,L51)</f>
        <v>276.13799999999998</v>
      </c>
      <c r="M52" s="14">
        <f t="shared" si="20"/>
        <v>0.81987500185567308</v>
      </c>
      <c r="N52" s="1">
        <f t="shared" si="21"/>
        <v>143.327</v>
      </c>
      <c r="O52" s="1">
        <f t="shared" si="22"/>
        <v>132.81100000000001</v>
      </c>
      <c r="P52" s="1">
        <f t="shared" si="15"/>
        <v>276.13800000000003</v>
      </c>
      <c r="Q52" s="1">
        <v>34</v>
      </c>
      <c r="R52" s="1">
        <f t="shared" si="23"/>
        <v>-29.735000000000014</v>
      </c>
      <c r="S52" s="1">
        <f t="shared" si="24"/>
        <v>-30.931999999999988</v>
      </c>
      <c r="T52" s="1">
        <f t="shared" si="25"/>
        <v>5.8973339034565555</v>
      </c>
      <c r="V52" s="1">
        <v>245.17599999999999</v>
      </c>
      <c r="AA52" s="1">
        <f t="shared" si="16"/>
        <v>0.82858282245909054</v>
      </c>
    </row>
    <row r="53" spans="1:27" x14ac:dyDescent="0.3">
      <c r="A53" s="1">
        <f t="shared" si="17"/>
        <v>-3.3999983999999999</v>
      </c>
      <c r="B53" s="1">
        <v>-9.4444400000000001E-4</v>
      </c>
      <c r="C53" s="1">
        <f t="shared" si="18"/>
        <v>3500</v>
      </c>
      <c r="D53" s="1">
        <v>35</v>
      </c>
      <c r="E53" s="1">
        <v>15.6</v>
      </c>
      <c r="F53" s="13">
        <v>1.7000000000000001E-2</v>
      </c>
      <c r="G53" s="1">
        <v>276.108</v>
      </c>
      <c r="H53" s="1">
        <v>143.31899999999999</v>
      </c>
      <c r="I53" s="1">
        <v>132.78800000000001</v>
      </c>
      <c r="J53" s="1">
        <v>188.02600000000001</v>
      </c>
      <c r="K53" s="1">
        <v>178.149</v>
      </c>
      <c r="L53" s="1">
        <f>IF(MIN(G$18:G53)&lt;L52,G53,L52)</f>
        <v>276.108</v>
      </c>
      <c r="M53" s="14">
        <f t="shared" si="20"/>
        <v>0.81978592954380125</v>
      </c>
      <c r="N53" s="1">
        <f t="shared" si="21"/>
        <v>143.31899999999999</v>
      </c>
      <c r="O53" s="1">
        <f t="shared" si="22"/>
        <v>132.78800000000001</v>
      </c>
      <c r="P53" s="1">
        <f>N53+O53</f>
        <v>276.10699999999997</v>
      </c>
      <c r="Q53" s="1">
        <v>35</v>
      </c>
      <c r="R53" s="1">
        <f t="shared" si="23"/>
        <v>-29.743000000000023</v>
      </c>
      <c r="S53" s="1">
        <f t="shared" si="24"/>
        <v>-30.954999999999984</v>
      </c>
      <c r="T53" s="1">
        <f t="shared" si="25"/>
        <v>5.8973339034565555</v>
      </c>
      <c r="V53" s="1">
        <v>245.17599999999999</v>
      </c>
      <c r="AA53" s="1">
        <f t="shared" si="16"/>
        <v>0.82858282245909054</v>
      </c>
    </row>
    <row r="54" spans="1:27" x14ac:dyDescent="0.3">
      <c r="C54" s="1">
        <f t="shared" si="18"/>
        <v>3600</v>
      </c>
      <c r="D54" s="1">
        <v>36</v>
      </c>
      <c r="E54" s="1">
        <v>19.600000000000001</v>
      </c>
      <c r="T54" s="1">
        <f t="shared" si="25"/>
        <v>5.8973339034565555</v>
      </c>
    </row>
    <row r="59" spans="1:27" ht="14.5" thickBot="1" x14ac:dyDescent="0.35"/>
    <row r="60" spans="1:27" ht="15" customHeight="1" thickTop="1" x14ac:dyDescent="0.3">
      <c r="E60" s="47" t="s">
        <v>0</v>
      </c>
      <c r="F60" s="3" t="s">
        <v>1</v>
      </c>
      <c r="G60" s="3" t="s">
        <v>2</v>
      </c>
      <c r="H60" s="3" t="s">
        <v>3</v>
      </c>
      <c r="I60" s="47" t="s">
        <v>4</v>
      </c>
      <c r="J60" s="47" t="s">
        <v>0</v>
      </c>
      <c r="K60" s="3" t="s">
        <v>1</v>
      </c>
      <c r="L60" s="3" t="s">
        <v>2</v>
      </c>
      <c r="M60" s="3" t="s">
        <v>3</v>
      </c>
      <c r="N60" s="47" t="s">
        <v>4</v>
      </c>
    </row>
    <row r="61" spans="1:27" ht="14.5" thickBot="1" x14ac:dyDescent="0.35">
      <c r="E61" s="48"/>
      <c r="F61" s="4" t="s">
        <v>5</v>
      </c>
      <c r="G61" s="4" t="s">
        <v>5</v>
      </c>
      <c r="H61" s="4" t="s">
        <v>5</v>
      </c>
      <c r="I61" s="48"/>
      <c r="J61" s="48"/>
      <c r="K61" s="4" t="s">
        <v>5</v>
      </c>
      <c r="L61" s="4" t="s">
        <v>5</v>
      </c>
      <c r="M61" s="4" t="s">
        <v>5</v>
      </c>
      <c r="N61" s="48"/>
    </row>
    <row r="62" spans="1:27" x14ac:dyDescent="0.3">
      <c r="E62" s="18">
        <v>0</v>
      </c>
      <c r="F62" s="6">
        <f>N18</f>
        <v>173.06200000000001</v>
      </c>
      <c r="G62" s="6">
        <f>O18</f>
        <v>163.74299999999999</v>
      </c>
      <c r="H62" s="6">
        <f>L18</f>
        <v>336.80500000000001</v>
      </c>
      <c r="I62" s="20" t="e">
        <f>H62/#REF!</f>
        <v>#REF!</v>
      </c>
      <c r="J62" s="18">
        <v>18</v>
      </c>
      <c r="K62" s="6">
        <f>N36</f>
        <v>149.922</v>
      </c>
      <c r="L62" s="6">
        <f>O36</f>
        <v>138.35499999999999</v>
      </c>
      <c r="M62" s="6">
        <f>L36</f>
        <v>288.27699999999999</v>
      </c>
      <c r="N62" s="20" t="e">
        <f>M62/#REF!</f>
        <v>#REF!</v>
      </c>
    </row>
    <row r="63" spans="1:27" x14ac:dyDescent="0.3">
      <c r="E63" s="18">
        <v>1</v>
      </c>
      <c r="F63" s="6">
        <f>N19</f>
        <v>155.232</v>
      </c>
      <c r="G63" s="6">
        <f>O19</f>
        <v>145.696</v>
      </c>
      <c r="H63" s="6">
        <f>L19</f>
        <v>300.928</v>
      </c>
      <c r="I63" s="20" t="e">
        <f>H63/#REF!</f>
        <v>#REF!</v>
      </c>
      <c r="J63" s="18">
        <v>19</v>
      </c>
      <c r="K63" s="6">
        <f t="shared" ref="K63:L63" si="26">N37</f>
        <v>149.13999999999999</v>
      </c>
      <c r="L63" s="6">
        <f t="shared" si="26"/>
        <v>136.52500000000001</v>
      </c>
      <c r="M63" s="6">
        <f t="shared" ref="M63:M79" si="27">L37</f>
        <v>285.666</v>
      </c>
      <c r="N63" s="20" t="e">
        <f>M63/#REF!</f>
        <v>#REF!</v>
      </c>
    </row>
    <row r="64" spans="1:27" x14ac:dyDescent="0.3">
      <c r="E64" s="18">
        <v>2</v>
      </c>
      <c r="F64" s="6">
        <f t="shared" ref="F64:G64" si="28">N20</f>
        <v>154.64699999999999</v>
      </c>
      <c r="G64" s="6">
        <f t="shared" si="28"/>
        <v>142.27099999999999</v>
      </c>
      <c r="H64" s="6">
        <f t="shared" ref="H64:H79" si="29">L20</f>
        <v>296.91800000000001</v>
      </c>
      <c r="I64" s="20" t="e">
        <f>H64/#REF!</f>
        <v>#REF!</v>
      </c>
      <c r="J64" s="18">
        <v>20</v>
      </c>
      <c r="K64" s="6">
        <f t="shared" ref="K64:L64" si="30">N38</f>
        <v>149.13999999999999</v>
      </c>
      <c r="L64" s="6">
        <f t="shared" si="30"/>
        <v>136.52500000000001</v>
      </c>
      <c r="M64" s="6">
        <f t="shared" si="27"/>
        <v>285.666</v>
      </c>
      <c r="N64" s="20" t="e">
        <f>M64/#REF!</f>
        <v>#REF!</v>
      </c>
    </row>
    <row r="65" spans="5:14" x14ac:dyDescent="0.3">
      <c r="E65" s="18">
        <v>3</v>
      </c>
      <c r="F65" s="6">
        <f t="shared" ref="F65:G65" si="31">N21</f>
        <v>154.64699999999999</v>
      </c>
      <c r="G65" s="6">
        <f t="shared" si="31"/>
        <v>142.27099999999999</v>
      </c>
      <c r="H65" s="6">
        <f t="shared" si="29"/>
        <v>296.91800000000001</v>
      </c>
      <c r="I65" s="20" t="e">
        <f>H65/#REF!</f>
        <v>#REF!</v>
      </c>
      <c r="J65" s="18">
        <v>21</v>
      </c>
      <c r="K65" s="6">
        <f t="shared" ref="K65:L65" si="32">N39</f>
        <v>147.57900000000001</v>
      </c>
      <c r="L65" s="6">
        <f t="shared" si="32"/>
        <v>136.88300000000001</v>
      </c>
      <c r="M65" s="6">
        <f t="shared" si="27"/>
        <v>284.46199999999999</v>
      </c>
      <c r="N65" s="20" t="e">
        <f>M65/#REF!</f>
        <v>#REF!</v>
      </c>
    </row>
    <row r="66" spans="5:14" x14ac:dyDescent="0.3">
      <c r="E66" s="18">
        <v>4</v>
      </c>
      <c r="F66" s="6">
        <f t="shared" ref="F66:G66" si="33">N22</f>
        <v>154.64699999999999</v>
      </c>
      <c r="G66" s="6">
        <f t="shared" si="33"/>
        <v>142.27099999999999</v>
      </c>
      <c r="H66" s="6">
        <f t="shared" si="29"/>
        <v>296.91800000000001</v>
      </c>
      <c r="I66" s="20" t="e">
        <f>H66/#REF!</f>
        <v>#REF!</v>
      </c>
      <c r="J66" s="18">
        <v>22</v>
      </c>
      <c r="K66" s="6">
        <f t="shared" ref="K66:L66" si="34">N40</f>
        <v>147.57900000000001</v>
      </c>
      <c r="L66" s="6">
        <f t="shared" si="34"/>
        <v>136.88300000000001</v>
      </c>
      <c r="M66" s="6">
        <f t="shared" si="27"/>
        <v>284.46199999999999</v>
      </c>
      <c r="N66" s="20" t="e">
        <f>M66/#REF!</f>
        <v>#REF!</v>
      </c>
    </row>
    <row r="67" spans="5:14" x14ac:dyDescent="0.3">
      <c r="E67" s="18">
        <v>5</v>
      </c>
      <c r="F67" s="6">
        <f t="shared" ref="F67:G67" si="35">N23</f>
        <v>154.64699999999999</v>
      </c>
      <c r="G67" s="6">
        <f t="shared" si="35"/>
        <v>142.27099999999999</v>
      </c>
      <c r="H67" s="6">
        <f t="shared" si="29"/>
        <v>296.91800000000001</v>
      </c>
      <c r="I67" s="20" t="e">
        <f>H67/#REF!</f>
        <v>#REF!</v>
      </c>
      <c r="J67" s="18">
        <v>23</v>
      </c>
      <c r="K67" s="6">
        <f t="shared" ref="K67:L67" si="36">N41</f>
        <v>145.49</v>
      </c>
      <c r="L67" s="6">
        <f t="shared" si="36"/>
        <v>135.84299999999999</v>
      </c>
      <c r="M67" s="6">
        <f t="shared" si="27"/>
        <v>281.33300000000003</v>
      </c>
      <c r="N67" s="20" t="e">
        <f>M67/#REF!</f>
        <v>#REF!</v>
      </c>
    </row>
    <row r="68" spans="5:14" x14ac:dyDescent="0.3">
      <c r="E68" s="18">
        <v>6</v>
      </c>
      <c r="F68" s="6">
        <f t="shared" ref="F68:G68" si="37">N24</f>
        <v>154.64699999999999</v>
      </c>
      <c r="G68" s="6">
        <f t="shared" si="37"/>
        <v>142.27099999999999</v>
      </c>
      <c r="H68" s="6">
        <f t="shared" si="29"/>
        <v>296.91800000000001</v>
      </c>
      <c r="I68" s="20" t="e">
        <f>H68/#REF!</f>
        <v>#REF!</v>
      </c>
      <c r="J68" s="18">
        <v>24</v>
      </c>
      <c r="K68" s="6">
        <f t="shared" ref="K68:L68" si="38">N42</f>
        <v>145.49</v>
      </c>
      <c r="L68" s="6">
        <f t="shared" si="38"/>
        <v>135.84299999999999</v>
      </c>
      <c r="M68" s="6">
        <f t="shared" si="27"/>
        <v>281.33300000000003</v>
      </c>
      <c r="N68" s="20" t="e">
        <f>M68/#REF!</f>
        <v>#REF!</v>
      </c>
    </row>
    <row r="69" spans="5:14" x14ac:dyDescent="0.3">
      <c r="E69" s="18">
        <v>7</v>
      </c>
      <c r="F69" s="6">
        <f t="shared" ref="F69:G69" si="39">N25</f>
        <v>152.14400000000001</v>
      </c>
      <c r="G69" s="6">
        <f t="shared" si="39"/>
        <v>142.35599999999999</v>
      </c>
      <c r="H69" s="6">
        <f t="shared" si="29"/>
        <v>294.5</v>
      </c>
      <c r="I69" s="20" t="e">
        <f>H69/#REF!</f>
        <v>#REF!</v>
      </c>
      <c r="J69" s="18">
        <v>25</v>
      </c>
      <c r="K69" s="6">
        <f t="shared" ref="K69:L69" si="40">N43</f>
        <v>146.08199999999999</v>
      </c>
      <c r="L69" s="6">
        <f t="shared" si="40"/>
        <v>134.24799999999999</v>
      </c>
      <c r="M69" s="6">
        <f t="shared" si="27"/>
        <v>280.32900000000001</v>
      </c>
      <c r="N69" s="20" t="e">
        <f>M69/#REF!</f>
        <v>#REF!</v>
      </c>
    </row>
    <row r="70" spans="5:14" x14ac:dyDescent="0.3">
      <c r="E70" s="18">
        <v>8</v>
      </c>
      <c r="F70" s="6">
        <f t="shared" ref="F70:G70" si="41">N26</f>
        <v>152.14400000000001</v>
      </c>
      <c r="G70" s="6">
        <f t="shared" si="41"/>
        <v>142.35599999999999</v>
      </c>
      <c r="H70" s="6">
        <f t="shared" si="29"/>
        <v>294.5</v>
      </c>
      <c r="I70" s="20" t="e">
        <f>H70/#REF!</f>
        <v>#REF!</v>
      </c>
      <c r="J70" s="18">
        <v>26</v>
      </c>
      <c r="K70" s="6">
        <f t="shared" ref="K70:L70" si="42">N44</f>
        <v>144.23699999999999</v>
      </c>
      <c r="L70" s="6">
        <f t="shared" si="42"/>
        <v>133.59200000000001</v>
      </c>
      <c r="M70" s="6">
        <f t="shared" si="27"/>
        <v>277.82900000000001</v>
      </c>
      <c r="N70" s="20" t="e">
        <f>M70/#REF!</f>
        <v>#REF!</v>
      </c>
    </row>
    <row r="71" spans="5:14" x14ac:dyDescent="0.3">
      <c r="E71" s="18">
        <v>9</v>
      </c>
      <c r="F71" s="6">
        <f t="shared" ref="F71:G71" si="43">N27</f>
        <v>153.15600000000001</v>
      </c>
      <c r="G71" s="6">
        <f t="shared" si="43"/>
        <v>140.67699999999999</v>
      </c>
      <c r="H71" s="6">
        <f t="shared" si="29"/>
        <v>293.83300000000003</v>
      </c>
      <c r="I71" s="20" t="e">
        <f>H71/#REF!</f>
        <v>#REF!</v>
      </c>
      <c r="J71" s="18">
        <v>27</v>
      </c>
      <c r="K71" s="6">
        <f t="shared" ref="K71:L71" si="44">N45</f>
        <v>144.23699999999999</v>
      </c>
      <c r="L71" s="6">
        <f t="shared" si="44"/>
        <v>133.59200000000001</v>
      </c>
      <c r="M71" s="6">
        <f t="shared" si="27"/>
        <v>277.82900000000001</v>
      </c>
      <c r="N71" s="20" t="e">
        <f>M71/#REF!</f>
        <v>#REF!</v>
      </c>
    </row>
    <row r="72" spans="5:14" x14ac:dyDescent="0.3">
      <c r="E72" s="18">
        <v>10</v>
      </c>
      <c r="F72" s="6">
        <f t="shared" ref="F72:G72" si="45">N28</f>
        <v>153.15600000000001</v>
      </c>
      <c r="G72" s="6">
        <f t="shared" si="45"/>
        <v>140.67699999999999</v>
      </c>
      <c r="H72" s="6">
        <f t="shared" si="29"/>
        <v>293.83300000000003</v>
      </c>
      <c r="I72" s="20" t="e">
        <f>H72/#REF!</f>
        <v>#REF!</v>
      </c>
      <c r="J72" s="18">
        <v>28</v>
      </c>
      <c r="K72" s="6">
        <f t="shared" ref="K72:L72" si="46">N46</f>
        <v>144.23699999999999</v>
      </c>
      <c r="L72" s="6">
        <f t="shared" si="46"/>
        <v>133.59200000000001</v>
      </c>
      <c r="M72" s="6">
        <f t="shared" si="27"/>
        <v>277.82900000000001</v>
      </c>
      <c r="N72" s="20" t="e">
        <f>M72/#REF!</f>
        <v>#REF!</v>
      </c>
    </row>
    <row r="73" spans="5:14" x14ac:dyDescent="0.3">
      <c r="E73" s="18">
        <v>11</v>
      </c>
      <c r="F73" s="6">
        <f t="shared" ref="F73:G73" si="47">N29</f>
        <v>151.54400000000001</v>
      </c>
      <c r="G73" s="6">
        <f t="shared" si="47"/>
        <v>139.655</v>
      </c>
      <c r="H73" s="6">
        <f t="shared" si="29"/>
        <v>291.19900000000001</v>
      </c>
      <c r="I73" s="20" t="e">
        <f>H73/#REF!</f>
        <v>#REF!</v>
      </c>
      <c r="J73" s="18">
        <v>29</v>
      </c>
      <c r="K73" s="6">
        <f t="shared" ref="K73:L73" si="48">N47</f>
        <v>144.23699999999999</v>
      </c>
      <c r="L73" s="6">
        <f t="shared" si="48"/>
        <v>133.59200000000001</v>
      </c>
      <c r="M73" s="6">
        <f t="shared" si="27"/>
        <v>277.82900000000001</v>
      </c>
      <c r="N73" s="20" t="e">
        <f>M73/#REF!</f>
        <v>#REF!</v>
      </c>
    </row>
    <row r="74" spans="5:14" x14ac:dyDescent="0.3">
      <c r="E74" s="18">
        <v>12</v>
      </c>
      <c r="F74" s="6">
        <f t="shared" ref="F74:G74" si="49">N30</f>
        <v>149.53399999999999</v>
      </c>
      <c r="G74" s="6">
        <f t="shared" si="49"/>
        <v>139.88399999999999</v>
      </c>
      <c r="H74" s="6">
        <f t="shared" si="29"/>
        <v>289.41899999999998</v>
      </c>
      <c r="I74" s="20" t="e">
        <f>H74/#REF!</f>
        <v>#REF!</v>
      </c>
      <c r="J74" s="18">
        <v>30</v>
      </c>
      <c r="K74" s="6">
        <f t="shared" ref="K74:L74" si="50">N48</f>
        <v>144.23699999999999</v>
      </c>
      <c r="L74" s="6">
        <f t="shared" si="50"/>
        <v>133.59200000000001</v>
      </c>
      <c r="M74" s="6">
        <f t="shared" si="27"/>
        <v>277.82900000000001</v>
      </c>
      <c r="N74" s="20" t="e">
        <f>M74/#REF!</f>
        <v>#REF!</v>
      </c>
    </row>
    <row r="75" spans="5:14" x14ac:dyDescent="0.3">
      <c r="E75" s="18">
        <v>13</v>
      </c>
      <c r="F75" s="6">
        <f t="shared" ref="F75:G75" si="51">N31</f>
        <v>149.922</v>
      </c>
      <c r="G75" s="6">
        <f t="shared" si="51"/>
        <v>138.35499999999999</v>
      </c>
      <c r="H75" s="6">
        <f t="shared" si="29"/>
        <v>288.27699999999999</v>
      </c>
      <c r="I75" s="20" t="e">
        <f>H75/#REF!</f>
        <v>#REF!</v>
      </c>
      <c r="J75" s="18">
        <v>31</v>
      </c>
      <c r="K75" s="6">
        <f t="shared" ref="K75:L75" si="52">N49</f>
        <v>144.75899999999999</v>
      </c>
      <c r="L75" s="6">
        <f t="shared" si="52"/>
        <v>133.04300000000001</v>
      </c>
      <c r="M75" s="6">
        <f t="shared" si="27"/>
        <v>277.80200000000002</v>
      </c>
      <c r="N75" s="20" t="e">
        <f>M75/#REF!</f>
        <v>#REF!</v>
      </c>
    </row>
    <row r="76" spans="5:14" x14ac:dyDescent="0.3">
      <c r="E76" s="18">
        <v>14</v>
      </c>
      <c r="F76" s="6">
        <f t="shared" ref="F76:G76" si="53">N32</f>
        <v>149.922</v>
      </c>
      <c r="G76" s="6">
        <f t="shared" si="53"/>
        <v>138.35499999999999</v>
      </c>
      <c r="H76" s="6">
        <f t="shared" si="29"/>
        <v>288.27699999999999</v>
      </c>
      <c r="I76" s="20" t="e">
        <f>H76/#REF!</f>
        <v>#REF!</v>
      </c>
      <c r="J76" s="18">
        <v>32</v>
      </c>
      <c r="K76" s="6">
        <f t="shared" ref="K76:L76" si="54">N50</f>
        <v>143.55600000000001</v>
      </c>
      <c r="L76" s="6">
        <f t="shared" si="54"/>
        <v>132.721</v>
      </c>
      <c r="M76" s="6">
        <f t="shared" si="27"/>
        <v>276.27699999999999</v>
      </c>
      <c r="N76" s="20" t="e">
        <f>M76/#REF!</f>
        <v>#REF!</v>
      </c>
    </row>
    <row r="77" spans="5:14" x14ac:dyDescent="0.3">
      <c r="E77" s="18">
        <v>15</v>
      </c>
      <c r="F77" s="6">
        <f t="shared" ref="F77:G77" si="55">N33</f>
        <v>149.922</v>
      </c>
      <c r="G77" s="6">
        <f t="shared" si="55"/>
        <v>138.35499999999999</v>
      </c>
      <c r="H77" s="6">
        <f t="shared" si="29"/>
        <v>288.27699999999999</v>
      </c>
      <c r="I77" s="20" t="e">
        <f>H77/#REF!</f>
        <v>#REF!</v>
      </c>
      <c r="J77" s="18">
        <v>33</v>
      </c>
      <c r="K77" s="6">
        <f t="shared" ref="K77:L77" si="56">N51</f>
        <v>143.37899999999999</v>
      </c>
      <c r="L77" s="6">
        <f t="shared" si="56"/>
        <v>132.78299999999999</v>
      </c>
      <c r="M77" s="6">
        <f t="shared" si="27"/>
        <v>276.16300000000001</v>
      </c>
      <c r="N77" s="20" t="e">
        <f>M77/#REF!</f>
        <v>#REF!</v>
      </c>
    </row>
    <row r="78" spans="5:14" x14ac:dyDescent="0.3">
      <c r="E78" s="18">
        <v>16</v>
      </c>
      <c r="F78" s="6">
        <f t="shared" ref="F78:G78" si="57">N34</f>
        <v>149.922</v>
      </c>
      <c r="G78" s="6">
        <f t="shared" si="57"/>
        <v>138.35499999999999</v>
      </c>
      <c r="H78" s="6">
        <f t="shared" si="29"/>
        <v>288.27699999999999</v>
      </c>
      <c r="I78" s="20" t="e">
        <f>H78/#REF!</f>
        <v>#REF!</v>
      </c>
      <c r="J78" s="18">
        <v>34</v>
      </c>
      <c r="K78" s="6">
        <f t="shared" ref="K78:L78" si="58">N52</f>
        <v>143.327</v>
      </c>
      <c r="L78" s="6">
        <f t="shared" si="58"/>
        <v>132.81100000000001</v>
      </c>
      <c r="M78" s="6">
        <f t="shared" si="27"/>
        <v>276.13799999999998</v>
      </c>
      <c r="N78" s="20" t="e">
        <f>M78/#REF!</f>
        <v>#REF!</v>
      </c>
    </row>
    <row r="79" spans="5:14" ht="14.5" thickBot="1" x14ac:dyDescent="0.35">
      <c r="E79" s="19">
        <v>17</v>
      </c>
      <c r="F79" s="6">
        <f t="shared" ref="F79:G79" si="59">N35</f>
        <v>149.922</v>
      </c>
      <c r="G79" s="6">
        <f t="shared" si="59"/>
        <v>138.35499999999999</v>
      </c>
      <c r="H79" s="6">
        <f t="shared" si="29"/>
        <v>288.27699999999999</v>
      </c>
      <c r="I79" s="20" t="e">
        <f>H79/#REF!</f>
        <v>#REF!</v>
      </c>
      <c r="J79" s="19">
        <v>35</v>
      </c>
      <c r="K79" s="6">
        <f t="shared" ref="K79:L79" si="60">N53</f>
        <v>143.31899999999999</v>
      </c>
      <c r="L79" s="6">
        <f t="shared" si="60"/>
        <v>132.78800000000001</v>
      </c>
      <c r="M79" s="6">
        <f t="shared" si="27"/>
        <v>276.108</v>
      </c>
      <c r="N79" s="20" t="e">
        <f>M79/#REF!</f>
        <v>#REF!</v>
      </c>
    </row>
    <row r="80" spans="5:14" ht="14.5" thickTop="1" x14ac:dyDescent="0.3">
      <c r="K80" s="22">
        <f>K79/F62-1</f>
        <v>-0.17186326287688813</v>
      </c>
      <c r="L80" s="22">
        <f t="shared" ref="L80" si="61">L79/G62-1</f>
        <v>-0.18904624930531377</v>
      </c>
      <c r="M80" s="22">
        <f>M79/H62-1</f>
        <v>-0.18021407045619875</v>
      </c>
    </row>
    <row r="81" spans="13:13" x14ac:dyDescent="0.3">
      <c r="M81" s="11">
        <f>M79-H62</f>
        <v>-60.697000000000003</v>
      </c>
    </row>
  </sheetData>
  <mergeCells count="6">
    <mergeCell ref="E60:E61"/>
    <mergeCell ref="I60:I61"/>
    <mergeCell ref="J60:J61"/>
    <mergeCell ref="N60:N61"/>
    <mergeCell ref="F2:F3"/>
    <mergeCell ref="J2:J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82"/>
  <sheetViews>
    <sheetView topLeftCell="I23" zoomScaleNormal="100" workbookViewId="0">
      <selection activeCell="O22" sqref="O22:O58"/>
    </sheetView>
  </sheetViews>
  <sheetFormatPr defaultColWidth="9" defaultRowHeight="14" x14ac:dyDescent="0.3"/>
  <cols>
    <col min="1" max="4" width="9" style="1"/>
    <col min="5" max="5" width="10.9140625" style="1" bestFit="1" customWidth="1"/>
    <col min="6" max="6" width="9" style="1"/>
    <col min="7" max="7" width="7.75" style="1" customWidth="1"/>
    <col min="8" max="8" width="8.4140625" style="1" bestFit="1" customWidth="1"/>
    <col min="9" max="9" width="9" style="1"/>
    <col min="10" max="10" width="10.33203125" style="1" bestFit="1" customWidth="1"/>
    <col min="11" max="16384" width="9" style="1"/>
  </cols>
  <sheetData>
    <row r="1" spans="2:22" ht="14.5" thickTop="1" x14ac:dyDescent="0.3">
      <c r="C1" s="47" t="s">
        <v>0</v>
      </c>
      <c r="D1" s="3" t="s">
        <v>1</v>
      </c>
      <c r="E1" s="3" t="s">
        <v>2</v>
      </c>
      <c r="F1" s="3" t="s">
        <v>3</v>
      </c>
      <c r="G1" s="47" t="s">
        <v>4</v>
      </c>
      <c r="P1" s="47" t="s">
        <v>0</v>
      </c>
      <c r="Q1" s="3" t="s">
        <v>1</v>
      </c>
      <c r="R1" s="3" t="s">
        <v>2</v>
      </c>
      <c r="S1" s="3" t="s">
        <v>3</v>
      </c>
      <c r="T1" s="47" t="s">
        <v>4</v>
      </c>
    </row>
    <row r="2" spans="2:22" ht="14.5" thickBot="1" x14ac:dyDescent="0.35">
      <c r="C2" s="48"/>
      <c r="D2" s="4" t="s">
        <v>5</v>
      </c>
      <c r="E2" s="4" t="s">
        <v>5</v>
      </c>
      <c r="F2" s="4" t="s">
        <v>5</v>
      </c>
      <c r="G2" s="48"/>
      <c r="P2" s="48"/>
      <c r="Q2" s="4" t="s">
        <v>5</v>
      </c>
      <c r="R2" s="4" t="s">
        <v>5</v>
      </c>
      <c r="S2" s="4" t="s">
        <v>5</v>
      </c>
      <c r="T2" s="48"/>
    </row>
    <row r="3" spans="2:22" x14ac:dyDescent="0.3">
      <c r="C3" s="5" t="s">
        <v>6</v>
      </c>
      <c r="D3" s="6">
        <f t="shared" ref="D3:E5" si="0">E8</f>
        <v>159.56700000000001</v>
      </c>
      <c r="E3" s="6">
        <f t="shared" si="0"/>
        <v>149.34100000000001</v>
      </c>
      <c r="F3" s="6">
        <f>D3+E3</f>
        <v>308.90800000000002</v>
      </c>
      <c r="G3" s="6">
        <f>F3/$B$4</f>
        <v>0.99683756712102434</v>
      </c>
      <c r="H3" s="17">
        <f>F3-B4</f>
        <v>-0.98000000000001819</v>
      </c>
      <c r="I3" s="12">
        <f>F3/$B$4-1</f>
        <v>-3.1624328789756628E-3</v>
      </c>
      <c r="J3" s="17"/>
      <c r="P3" s="5" t="s">
        <v>6</v>
      </c>
      <c r="Q3" s="6">
        <f>R8</f>
        <v>150.238</v>
      </c>
      <c r="R3" s="6">
        <f>S8</f>
        <v>144.86600000000001</v>
      </c>
      <c r="S3" s="6">
        <f>Q3+R3</f>
        <v>295.10400000000004</v>
      </c>
      <c r="T3" s="6">
        <f>S3/$B$4</f>
        <v>0.95229244114002487</v>
      </c>
      <c r="U3" s="17">
        <f>S3-O4</f>
        <v>-0.79399999999998272</v>
      </c>
      <c r="V3" s="12">
        <f>S3/$O$4-1</f>
        <v>-2.6833571027853331E-3</v>
      </c>
    </row>
    <row r="4" spans="2:22" x14ac:dyDescent="0.3">
      <c r="B4" s="11">
        <f>I8</f>
        <v>309.88800000000003</v>
      </c>
      <c r="C4" s="1" t="s">
        <v>29</v>
      </c>
      <c r="D4" s="6">
        <f t="shared" si="0"/>
        <v>158.86600000000001</v>
      </c>
      <c r="E4" s="6">
        <f t="shared" si="0"/>
        <v>147.45500000000001</v>
      </c>
      <c r="F4" s="6">
        <f>D4+E4</f>
        <v>306.32100000000003</v>
      </c>
      <c r="G4" s="6">
        <f>F4/$B$4</f>
        <v>0.98848938971499378</v>
      </c>
      <c r="I4" s="12">
        <f t="shared" ref="I4:I5" si="1">F4/$B$4-1</f>
        <v>-1.1510610285006218E-2</v>
      </c>
      <c r="J4" s="17">
        <f>F4-B4</f>
        <v>-3.5670000000000073</v>
      </c>
      <c r="O4" s="11">
        <f>V8</f>
        <v>295.89800000000002</v>
      </c>
      <c r="P4" s="1" t="s">
        <v>29</v>
      </c>
      <c r="Q4" s="6"/>
      <c r="R4" s="6"/>
      <c r="S4" s="6"/>
      <c r="T4" s="6"/>
      <c r="V4" s="12">
        <f t="shared" ref="V4:V5" si="2">S4/$O$4-1</f>
        <v>-1</v>
      </c>
    </row>
    <row r="5" spans="2:22" ht="27.5" thickBot="1" x14ac:dyDescent="0.35">
      <c r="C5" s="7" t="s">
        <v>43</v>
      </c>
      <c r="D5" s="6">
        <f t="shared" si="0"/>
        <v>126.86799999999999</v>
      </c>
      <c r="E5" s="6">
        <f t="shared" si="0"/>
        <v>115.842</v>
      </c>
      <c r="F5" s="6">
        <f>D5+E5</f>
        <v>242.70999999999998</v>
      </c>
      <c r="G5" s="6">
        <f>F5/$B$4</f>
        <v>0.78321845311854588</v>
      </c>
      <c r="H5" s="26">
        <f>I5-I4</f>
        <v>-0.20527093659644791</v>
      </c>
      <c r="I5" s="12">
        <f t="shared" si="1"/>
        <v>-0.21678154688145412</v>
      </c>
      <c r="J5" s="17">
        <f>F5-B4</f>
        <v>-67.178000000000054</v>
      </c>
      <c r="K5" s="11">
        <f>E10-G8</f>
        <v>-32.699000000000012</v>
      </c>
      <c r="L5" s="11">
        <f>F10-H8</f>
        <v>-34.478999999999999</v>
      </c>
      <c r="P5" s="7" t="s">
        <v>43</v>
      </c>
      <c r="Q5" s="6">
        <f>R10</f>
        <v>127.501</v>
      </c>
      <c r="R5" s="6">
        <f>S10</f>
        <v>117.675</v>
      </c>
      <c r="S5" s="6">
        <f>Q5+R5</f>
        <v>245.17599999999999</v>
      </c>
      <c r="T5" s="6">
        <f>S5/$B$4</f>
        <v>0.79117616687319281</v>
      </c>
      <c r="U5" s="26">
        <f>V5-V4</f>
        <v>0.82858282245909054</v>
      </c>
      <c r="V5" s="12">
        <f t="shared" si="2"/>
        <v>-0.17141717754090946</v>
      </c>
    </row>
    <row r="6" spans="2:22" ht="14.5" thickTop="1" x14ac:dyDescent="0.3"/>
    <row r="7" spans="2:22" x14ac:dyDescent="0.3">
      <c r="E7" s="1" t="s">
        <v>8</v>
      </c>
      <c r="F7" s="1" t="s">
        <v>9</v>
      </c>
      <c r="G7" s="1" t="s">
        <v>10</v>
      </c>
      <c r="H7" s="1" t="s">
        <v>11</v>
      </c>
      <c r="R7" s="1" t="s">
        <v>8</v>
      </c>
      <c r="S7" s="1" t="s">
        <v>9</v>
      </c>
      <c r="T7" s="1" t="s">
        <v>10</v>
      </c>
      <c r="U7" s="1" t="s">
        <v>11</v>
      </c>
    </row>
    <row r="8" spans="2:22" x14ac:dyDescent="0.3">
      <c r="B8" s="1" t="s">
        <v>34</v>
      </c>
      <c r="D8" s="14">
        <f>D22</f>
        <v>308.90800000000002</v>
      </c>
      <c r="E8" s="14">
        <f>E22</f>
        <v>159.56700000000001</v>
      </c>
      <c r="F8" s="14">
        <f t="shared" ref="F8:H8" si="3">F22</f>
        <v>149.34100000000001</v>
      </c>
      <c r="G8" s="14">
        <f t="shared" si="3"/>
        <v>159.56700000000001</v>
      </c>
      <c r="H8" s="14">
        <f t="shared" si="3"/>
        <v>150.321</v>
      </c>
      <c r="I8" s="14">
        <f>G8+H8</f>
        <v>309.88800000000003</v>
      </c>
      <c r="O8" s="1" t="s">
        <v>34</v>
      </c>
      <c r="Q8" s="14">
        <f>Q22</f>
        <v>295.10399999999998</v>
      </c>
      <c r="R8" s="14">
        <f>R22</f>
        <v>150.238</v>
      </c>
      <c r="S8" s="14">
        <f t="shared" ref="S8:U8" si="4">S22</f>
        <v>144.86600000000001</v>
      </c>
      <c r="T8" s="14">
        <f t="shared" si="4"/>
        <v>150.238</v>
      </c>
      <c r="U8" s="14">
        <f t="shared" si="4"/>
        <v>145.66</v>
      </c>
      <c r="V8" s="14">
        <f>T8+U8</f>
        <v>295.89800000000002</v>
      </c>
    </row>
    <row r="9" spans="2:22" x14ac:dyDescent="0.3">
      <c r="B9" s="1" t="s">
        <v>35</v>
      </c>
      <c r="D9" s="14">
        <f>E9+F9</f>
        <v>306.32100000000003</v>
      </c>
      <c r="E9" s="14">
        <v>158.86600000000001</v>
      </c>
      <c r="F9" s="14">
        <v>147.45500000000001</v>
      </c>
      <c r="G9" s="14">
        <v>159.7696</v>
      </c>
      <c r="H9" s="14">
        <v>150.54499999999999</v>
      </c>
      <c r="I9" s="14">
        <f>G9+H9</f>
        <v>310.31459999999998</v>
      </c>
      <c r="J9" s="12">
        <f>E9/G8-1</f>
        <v>-4.3931389322353631E-3</v>
      </c>
      <c r="K9" s="12">
        <f>F9/H8-1</f>
        <v>-1.9065865714038566E-2</v>
      </c>
      <c r="O9" s="1" t="s">
        <v>35</v>
      </c>
      <c r="Q9" s="14">
        <f>R9+S9</f>
        <v>306.32100000000003</v>
      </c>
      <c r="R9" s="14">
        <v>158.86600000000001</v>
      </c>
      <c r="S9" s="14">
        <v>147.45500000000001</v>
      </c>
      <c r="T9" s="14">
        <v>159.7696</v>
      </c>
      <c r="U9" s="14">
        <v>150.54499999999999</v>
      </c>
      <c r="V9" s="14">
        <f>T9+U9</f>
        <v>310.31459999999998</v>
      </c>
    </row>
    <row r="10" spans="2:22" x14ac:dyDescent="0.3">
      <c r="D10" s="14">
        <f>D19</f>
        <v>242.71</v>
      </c>
      <c r="E10" s="14">
        <f t="shared" ref="E10:H10" si="5">E19</f>
        <v>126.86799999999999</v>
      </c>
      <c r="F10" s="14">
        <f t="shared" si="5"/>
        <v>115.842</v>
      </c>
      <c r="G10" s="14">
        <f t="shared" si="5"/>
        <v>174.249</v>
      </c>
      <c r="H10" s="14">
        <f t="shared" si="5"/>
        <v>166.68600000000001</v>
      </c>
      <c r="I10" s="14">
        <f>G10+H10</f>
        <v>340.935</v>
      </c>
      <c r="Q10" s="14">
        <f>Q19</f>
        <v>245.17599999999999</v>
      </c>
      <c r="R10" s="14">
        <f t="shared" ref="R10:U10" si="6">R19</f>
        <v>127.501</v>
      </c>
      <c r="S10" s="14">
        <f t="shared" si="6"/>
        <v>117.675</v>
      </c>
      <c r="T10" s="14">
        <f t="shared" si="6"/>
        <v>183.797</v>
      </c>
      <c r="U10" s="14">
        <f t="shared" si="6"/>
        <v>173.196</v>
      </c>
      <c r="V10" s="14">
        <f>T10+U10</f>
        <v>356.99299999999999</v>
      </c>
    </row>
    <row r="11" spans="2:22" ht="14.5" thickBot="1" x14ac:dyDescent="0.35">
      <c r="D11" s="14"/>
      <c r="E11" s="14"/>
      <c r="F11" s="14"/>
      <c r="G11" s="14"/>
      <c r="H11" s="14"/>
      <c r="I11" s="14"/>
      <c r="Q11" s="14"/>
      <c r="R11" s="14"/>
      <c r="S11" s="14"/>
      <c r="T11" s="14"/>
      <c r="U11" s="14"/>
      <c r="V11" s="14"/>
    </row>
    <row r="12" spans="2:22" ht="41.5" thickTop="1" thickBot="1" x14ac:dyDescent="0.35">
      <c r="D12" s="14"/>
      <c r="E12" s="14"/>
      <c r="F12" s="14"/>
      <c r="G12" s="14"/>
      <c r="H12" s="14"/>
      <c r="I12" s="24" t="s">
        <v>0</v>
      </c>
      <c r="J12" s="24" t="s">
        <v>40</v>
      </c>
      <c r="K12" s="24" t="s">
        <v>37</v>
      </c>
      <c r="L12" s="24" t="s">
        <v>41</v>
      </c>
      <c r="M12" s="24" t="s">
        <v>38</v>
      </c>
      <c r="N12" s="24" t="s">
        <v>42</v>
      </c>
      <c r="O12" s="24" t="s">
        <v>39</v>
      </c>
      <c r="Q12" s="14"/>
      <c r="R12" s="14"/>
      <c r="S12" s="14"/>
      <c r="T12" s="14"/>
      <c r="U12" s="14"/>
      <c r="V12" s="14"/>
    </row>
    <row r="13" spans="2:22" x14ac:dyDescent="0.3">
      <c r="D13" s="14"/>
      <c r="E13" s="14"/>
      <c r="F13" s="14"/>
      <c r="G13" s="14"/>
      <c r="H13" s="14"/>
      <c r="I13" s="5" t="s">
        <v>6</v>
      </c>
      <c r="J13" s="6">
        <f>E8</f>
        <v>159.56700000000001</v>
      </c>
      <c r="K13" s="6">
        <f>G8</f>
        <v>159.56700000000001</v>
      </c>
      <c r="L13" s="6">
        <f>F8</f>
        <v>149.34100000000001</v>
      </c>
      <c r="M13" s="6">
        <f>H8</f>
        <v>150.321</v>
      </c>
      <c r="N13" s="6">
        <f>D8</f>
        <v>308.90800000000002</v>
      </c>
      <c r="O13" s="25">
        <f>I8</f>
        <v>309.88800000000003</v>
      </c>
      <c r="Q13" s="14"/>
      <c r="R13" s="14"/>
      <c r="S13" s="14"/>
      <c r="T13" s="14"/>
      <c r="U13" s="14"/>
      <c r="V13" s="14"/>
    </row>
    <row r="14" spans="2:22" x14ac:dyDescent="0.3">
      <c r="D14" s="14"/>
      <c r="E14" s="14"/>
      <c r="F14" s="14"/>
      <c r="G14" s="14"/>
      <c r="H14" s="14"/>
      <c r="I14" s="5" t="s">
        <v>29</v>
      </c>
      <c r="J14" s="6">
        <f t="shared" ref="J14:J15" si="7">E9</f>
        <v>158.86600000000001</v>
      </c>
      <c r="K14" s="6">
        <f t="shared" ref="K14:K15" si="8">G9</f>
        <v>159.7696</v>
      </c>
      <c r="L14" s="6">
        <f t="shared" ref="L14:L15" si="9">F9</f>
        <v>147.45500000000001</v>
      </c>
      <c r="M14" s="6">
        <f t="shared" ref="M14:M15" si="10">H9</f>
        <v>150.54499999999999</v>
      </c>
      <c r="N14" s="6">
        <f t="shared" ref="N14:N15" si="11">D9</f>
        <v>306.32100000000003</v>
      </c>
      <c r="O14" s="25">
        <f t="shared" ref="O14:O15" si="12">I9</f>
        <v>310.31459999999998</v>
      </c>
      <c r="P14" s="1">
        <v>0.33</v>
      </c>
      <c r="Q14" s="14"/>
      <c r="R14" s="14"/>
      <c r="S14" s="14"/>
      <c r="T14" s="14"/>
      <c r="U14" s="14"/>
      <c r="V14" s="14"/>
    </row>
    <row r="15" spans="2:22" ht="27.5" thickBot="1" x14ac:dyDescent="0.35">
      <c r="D15" s="14"/>
      <c r="E15" s="14"/>
      <c r="F15" s="14"/>
      <c r="G15" s="14"/>
      <c r="H15" s="14"/>
      <c r="I15" s="7" t="s">
        <v>7</v>
      </c>
      <c r="J15" s="6">
        <f t="shared" si="7"/>
        <v>126.86799999999999</v>
      </c>
      <c r="K15" s="6">
        <f t="shared" si="8"/>
        <v>174.249</v>
      </c>
      <c r="L15" s="6">
        <f t="shared" si="9"/>
        <v>115.842</v>
      </c>
      <c r="M15" s="6">
        <f t="shared" si="10"/>
        <v>166.68600000000001</v>
      </c>
      <c r="N15" s="6">
        <f t="shared" si="11"/>
        <v>242.71</v>
      </c>
      <c r="O15" s="25">
        <f t="shared" si="12"/>
        <v>340.935</v>
      </c>
      <c r="P15" s="1">
        <f>N15*P14+O15*(1-P14)</f>
        <v>308.52075000000002</v>
      </c>
      <c r="Q15" s="14"/>
      <c r="R15" s="14"/>
      <c r="S15" s="14"/>
      <c r="T15" s="14"/>
      <c r="U15" s="14"/>
      <c r="V15" s="14"/>
    </row>
    <row r="16" spans="2:22" ht="14.5" thickTop="1" x14ac:dyDescent="0.3">
      <c r="I16" s="16"/>
      <c r="J16" s="12"/>
      <c r="K16" s="12"/>
      <c r="L16" s="12"/>
      <c r="N16" s="12">
        <f>N15/O13-1</f>
        <v>-0.21678154688145401</v>
      </c>
      <c r="O16" s="12">
        <f>O15/O13-1</f>
        <v>0.10018780978934316</v>
      </c>
    </row>
    <row r="17" spans="1:37" x14ac:dyDescent="0.3">
      <c r="D17" s="1">
        <f>D19/D8-1</f>
        <v>-0.2142968132906885</v>
      </c>
    </row>
    <row r="18" spans="1:37" x14ac:dyDescent="0.3">
      <c r="E18" s="1">
        <v>2</v>
      </c>
      <c r="F18" s="1">
        <v>3</v>
      </c>
      <c r="G18" s="1">
        <v>4</v>
      </c>
      <c r="H18" s="1">
        <v>5</v>
      </c>
      <c r="R18" s="1">
        <v>2</v>
      </c>
      <c r="S18" s="1">
        <v>3</v>
      </c>
      <c r="T18" s="1">
        <v>4</v>
      </c>
      <c r="U18" s="1">
        <v>5</v>
      </c>
    </row>
    <row r="19" spans="1:37" x14ac:dyDescent="0.3">
      <c r="D19" s="1">
        <f>MIN(D22:D57)</f>
        <v>242.71</v>
      </c>
      <c r="E19" s="1">
        <f>VLOOKUP($D19,$D$22:$H$58,E18,FALSE)</f>
        <v>126.86799999999999</v>
      </c>
      <c r="F19" s="1">
        <f t="shared" ref="F19:H19" si="13">VLOOKUP($D19,$D$22:$H$58,F18,FALSE)</f>
        <v>115.842</v>
      </c>
      <c r="G19" s="1">
        <f t="shared" si="13"/>
        <v>174.249</v>
      </c>
      <c r="H19" s="1">
        <f t="shared" si="13"/>
        <v>166.68600000000001</v>
      </c>
      <c r="Q19" s="1">
        <f>MIN(Q22:Q57)</f>
        <v>245.17599999999999</v>
      </c>
      <c r="R19" s="1">
        <f>VLOOKUP($Q19,$Q$22:$U$58,R18,FALSE)</f>
        <v>127.501</v>
      </c>
      <c r="S19" s="1">
        <f>VLOOKUP($Q19,$Q$22:$U$58,S18,FALSE)</f>
        <v>117.675</v>
      </c>
      <c r="T19" s="1">
        <f>VLOOKUP($Q19,$Q$22:$U$58,T18,FALSE)</f>
        <v>183.797</v>
      </c>
      <c r="U19" s="1">
        <f>VLOOKUP($Q19,$Q$22:$U$58,U18,FALSE)</f>
        <v>173.196</v>
      </c>
    </row>
    <row r="20" spans="1:37" x14ac:dyDescent="0.3">
      <c r="B20" s="1" t="s">
        <v>16</v>
      </c>
      <c r="C20" s="2">
        <v>0.49638888888888894</v>
      </c>
      <c r="O20" s="1" t="s">
        <v>18</v>
      </c>
      <c r="Q20" s="2"/>
    </row>
    <row r="21" spans="1:37" x14ac:dyDescent="0.3">
      <c r="D21" s="1" t="s">
        <v>12</v>
      </c>
      <c r="E21" s="1" t="s">
        <v>13</v>
      </c>
      <c r="F21" s="1" t="s">
        <v>9</v>
      </c>
      <c r="G21" s="1" t="s">
        <v>19</v>
      </c>
      <c r="H21" s="1" t="s">
        <v>11</v>
      </c>
      <c r="Q21" s="1" t="s">
        <v>12</v>
      </c>
      <c r="R21" s="1" t="s">
        <v>13</v>
      </c>
      <c r="S21" s="1" t="s">
        <v>9</v>
      </c>
      <c r="T21" s="1" t="s">
        <v>19</v>
      </c>
      <c r="U21" s="1" t="s">
        <v>11</v>
      </c>
      <c r="AF21" s="1" t="s">
        <v>12</v>
      </c>
      <c r="AG21" s="1" t="s">
        <v>13</v>
      </c>
      <c r="AH21" s="1" t="s">
        <v>9</v>
      </c>
      <c r="AI21" s="1" t="s">
        <v>19</v>
      </c>
      <c r="AJ21" s="1" t="s">
        <v>11</v>
      </c>
    </row>
    <row r="22" spans="1:37" x14ac:dyDescent="0.3">
      <c r="A22" s="1">
        <v>0</v>
      </c>
      <c r="B22" s="1">
        <v>16.2</v>
      </c>
      <c r="C22" s="1">
        <v>-0.04</v>
      </c>
      <c r="D22" s="1">
        <v>308.90800000000002</v>
      </c>
      <c r="E22" s="1">
        <v>159.56700000000001</v>
      </c>
      <c r="F22" s="1">
        <v>149.34100000000001</v>
      </c>
      <c r="G22" s="1">
        <v>159.56700000000001</v>
      </c>
      <c r="H22" s="1">
        <v>150.321</v>
      </c>
      <c r="I22" s="14">
        <f>D22/$B$4</f>
        <v>0.99683756712102434</v>
      </c>
      <c r="O22" s="1">
        <v>16.2</v>
      </c>
      <c r="P22" s="1">
        <v>-0.04</v>
      </c>
      <c r="Q22" s="1">
        <v>295.10399999999998</v>
      </c>
      <c r="R22" s="1">
        <v>150.238</v>
      </c>
      <c r="S22" s="1">
        <v>144.86600000000001</v>
      </c>
      <c r="T22" s="1">
        <v>150.238</v>
      </c>
      <c r="U22" s="1">
        <v>145.66</v>
      </c>
      <c r="V22" s="23">
        <f>Q22/$O$4</f>
        <v>0.99731664289721444</v>
      </c>
      <c r="AD22" s="1">
        <v>16.2</v>
      </c>
      <c r="AE22" s="1">
        <v>-0.04</v>
      </c>
      <c r="AF22" s="1">
        <v>295.10399999999998</v>
      </c>
      <c r="AG22" s="1">
        <v>150.238</v>
      </c>
      <c r="AH22" s="1">
        <v>144.86600000000001</v>
      </c>
      <c r="AI22" s="1">
        <v>150.238</v>
      </c>
      <c r="AJ22" s="1">
        <v>145.66</v>
      </c>
      <c r="AK22" s="14">
        <f>AF22/$O$4</f>
        <v>0.99731664289721444</v>
      </c>
    </row>
    <row r="23" spans="1:37" x14ac:dyDescent="0.3">
      <c r="A23" s="1">
        <v>1</v>
      </c>
      <c r="B23" s="1">
        <f>B22+C22*100</f>
        <v>12.2</v>
      </c>
      <c r="C23" s="1">
        <v>-3.5000000000000003E-2</v>
      </c>
      <c r="D23" s="1">
        <v>270.50599999999997</v>
      </c>
      <c r="E23" s="1">
        <v>140.88200000000001</v>
      </c>
      <c r="F23" s="1">
        <v>129.624</v>
      </c>
      <c r="G23" s="1">
        <v>166.37799999999999</v>
      </c>
      <c r="H23" s="1">
        <v>154.04</v>
      </c>
      <c r="I23" s="14">
        <f t="shared" ref="I23:I57" si="14">D23/$B$4</f>
        <v>0.87291537587773627</v>
      </c>
      <c r="J23" s="11">
        <f>D23-B4</f>
        <v>-39.382000000000062</v>
      </c>
      <c r="K23" s="12">
        <f>J23/B4</f>
        <v>-0.12708462412226371</v>
      </c>
      <c r="L23" s="11">
        <f>E23-G8</f>
        <v>-18.685000000000002</v>
      </c>
      <c r="M23" s="11">
        <f>F23-H8</f>
        <v>-20.697000000000003</v>
      </c>
      <c r="O23" s="1">
        <f>O22+P22*100</f>
        <v>12.2</v>
      </c>
      <c r="P23" s="1">
        <v>-0.04</v>
      </c>
      <c r="Q23" s="1">
        <v>264.21699999999998</v>
      </c>
      <c r="R23" s="1">
        <v>136.898</v>
      </c>
      <c r="S23" s="1">
        <v>127.319</v>
      </c>
      <c r="T23" s="1">
        <v>165.61699999999999</v>
      </c>
      <c r="U23" s="1">
        <v>156.98500000000001</v>
      </c>
      <c r="V23" s="23">
        <f t="shared" ref="V23:V57" si="15">Q23/$O$4</f>
        <v>0.89293269978168144</v>
      </c>
      <c r="W23" s="11">
        <f>Q23-O4</f>
        <v>-31.68100000000004</v>
      </c>
      <c r="X23" s="12">
        <f>Q23/O4-1</f>
        <v>-0.10706730021831856</v>
      </c>
      <c r="Y23" s="1">
        <f>R23-T22</f>
        <v>-13.340000000000003</v>
      </c>
      <c r="Z23" s="1">
        <f>S23-U22</f>
        <v>-18.340999999999994</v>
      </c>
      <c r="AD23" s="1">
        <f>AD22+AE22*100</f>
        <v>12.2</v>
      </c>
      <c r="AE23" s="1">
        <v>-0.04</v>
      </c>
      <c r="AF23" s="1">
        <v>264.21699999999998</v>
      </c>
      <c r="AG23" s="1">
        <v>136.898</v>
      </c>
      <c r="AH23" s="1">
        <v>127.319</v>
      </c>
      <c r="AI23" s="1">
        <v>165.61699999999999</v>
      </c>
      <c r="AJ23" s="1">
        <v>156.98500000000001</v>
      </c>
      <c r="AK23" s="14">
        <f t="shared" ref="AK23:AK57" si="16">AF23/$O$4</f>
        <v>0.89293269978168144</v>
      </c>
    </row>
    <row r="24" spans="1:37" x14ac:dyDescent="0.3">
      <c r="A24" s="1">
        <v>2</v>
      </c>
      <c r="B24" s="1">
        <f t="shared" ref="B24:B58" si="17">B23+C23*100</f>
        <v>8.6999999999999993</v>
      </c>
      <c r="C24" s="1">
        <v>-0.03</v>
      </c>
      <c r="D24" s="1">
        <v>266.54300000000001</v>
      </c>
      <c r="E24" s="1">
        <v>139.66300000000001</v>
      </c>
      <c r="F24" s="1">
        <v>126.88</v>
      </c>
      <c r="G24" s="1">
        <v>165.596</v>
      </c>
      <c r="H24" s="1">
        <v>158.31100000000001</v>
      </c>
      <c r="I24" s="14">
        <f t="shared" si="14"/>
        <v>0.86012688455183806</v>
      </c>
      <c r="O24" s="1">
        <f t="shared" ref="O24:O58" si="18">O23+P23*100</f>
        <v>8.1999999999999993</v>
      </c>
      <c r="P24" s="1">
        <v>-0.04</v>
      </c>
      <c r="Q24" s="1">
        <v>258.88799999999998</v>
      </c>
      <c r="R24" s="1">
        <v>134.73500000000001</v>
      </c>
      <c r="S24" s="1">
        <v>124.15300000000001</v>
      </c>
      <c r="T24" s="1">
        <v>172.637</v>
      </c>
      <c r="U24" s="1">
        <v>161.98699999999999</v>
      </c>
      <c r="V24" s="23">
        <f t="shared" si="15"/>
        <v>0.87492311539787349</v>
      </c>
      <c r="AD24" s="1">
        <f t="shared" ref="AD24:AD58" si="19">AD23+AE23*100</f>
        <v>8.1999999999999993</v>
      </c>
      <c r="AE24" s="1">
        <v>-0.04</v>
      </c>
      <c r="AF24" s="1">
        <v>258.88799999999998</v>
      </c>
      <c r="AG24" s="1">
        <v>134.73500000000001</v>
      </c>
      <c r="AH24" s="1">
        <v>124.15300000000001</v>
      </c>
      <c r="AI24" s="1">
        <v>172.637</v>
      </c>
      <c r="AJ24" s="1">
        <v>161.98699999999999</v>
      </c>
      <c r="AK24" s="14">
        <f t="shared" si="16"/>
        <v>0.87492311539787349</v>
      </c>
    </row>
    <row r="25" spans="1:37" x14ac:dyDescent="0.3">
      <c r="A25" s="1">
        <v>3</v>
      </c>
      <c r="B25" s="1">
        <f t="shared" si="17"/>
        <v>5.6999999999999993</v>
      </c>
      <c r="C25" s="1">
        <v>-2.5999999999999999E-2</v>
      </c>
      <c r="D25" s="1">
        <v>265.44900000000001</v>
      </c>
      <c r="E25" s="1">
        <v>139.47999999999999</v>
      </c>
      <c r="F25" s="1">
        <v>125.96899999999999</v>
      </c>
      <c r="G25" s="1">
        <v>164.49600000000001</v>
      </c>
      <c r="H25" s="1">
        <v>159.24</v>
      </c>
      <c r="I25" s="14">
        <f t="shared" si="14"/>
        <v>0.85659657682775703</v>
      </c>
      <c r="O25" s="1">
        <f t="shared" si="18"/>
        <v>4.1999999999999993</v>
      </c>
      <c r="P25" s="1">
        <v>0.04</v>
      </c>
      <c r="Q25" s="1">
        <v>258.52100000000002</v>
      </c>
      <c r="R25" s="1">
        <v>133.04</v>
      </c>
      <c r="S25" s="1">
        <v>125.48</v>
      </c>
      <c r="T25" s="1">
        <v>169.352</v>
      </c>
      <c r="U25" s="1">
        <v>161.21600000000001</v>
      </c>
      <c r="V25" s="23">
        <f t="shared" si="15"/>
        <v>0.87368282313499923</v>
      </c>
      <c r="AD25" s="1">
        <f t="shared" si="19"/>
        <v>4.1999999999999993</v>
      </c>
      <c r="AE25" s="1">
        <v>0.04</v>
      </c>
      <c r="AF25" s="1">
        <v>258.52100000000002</v>
      </c>
      <c r="AG25" s="1">
        <v>133.04</v>
      </c>
      <c r="AH25" s="1">
        <v>125.48</v>
      </c>
      <c r="AI25" s="1">
        <v>169.352</v>
      </c>
      <c r="AJ25" s="1">
        <v>161.21600000000001</v>
      </c>
      <c r="AK25" s="14">
        <f t="shared" si="16"/>
        <v>0.87368282313499923</v>
      </c>
    </row>
    <row r="26" spans="1:37" x14ac:dyDescent="0.3">
      <c r="A26" s="1">
        <v>4</v>
      </c>
      <c r="B26" s="1">
        <f t="shared" si="17"/>
        <v>3.0999999999999992</v>
      </c>
      <c r="C26" s="1">
        <v>2.5000000000000001E-2</v>
      </c>
      <c r="D26" s="1">
        <v>265.44900000000001</v>
      </c>
      <c r="E26" s="1">
        <v>139.47999999999999</v>
      </c>
      <c r="F26" s="1">
        <v>125.96899999999999</v>
      </c>
      <c r="G26" s="1">
        <v>164.49600000000001</v>
      </c>
      <c r="H26" s="1">
        <v>159.24</v>
      </c>
      <c r="I26" s="14">
        <f t="shared" si="14"/>
        <v>0.85659657682775703</v>
      </c>
      <c r="O26" s="1">
        <f t="shared" si="18"/>
        <v>8.1999999999999993</v>
      </c>
      <c r="P26" s="1">
        <v>-0.01</v>
      </c>
      <c r="Q26" s="1">
        <v>257.55500000000001</v>
      </c>
      <c r="R26" s="1">
        <v>133.202</v>
      </c>
      <c r="S26" s="1">
        <v>124.35299999999999</v>
      </c>
      <c r="T26" s="1">
        <v>170.482</v>
      </c>
      <c r="U26" s="1">
        <v>173.108</v>
      </c>
      <c r="V26" s="23">
        <f t="shared" si="15"/>
        <v>0.87041818464470855</v>
      </c>
      <c r="AD26" s="1">
        <f t="shared" si="19"/>
        <v>8.1999999999999993</v>
      </c>
      <c r="AE26" s="1">
        <v>-0.01</v>
      </c>
      <c r="AF26" s="1">
        <v>257.55500000000001</v>
      </c>
      <c r="AG26" s="1">
        <v>133.202</v>
      </c>
      <c r="AH26" s="1">
        <v>124.35299999999999</v>
      </c>
      <c r="AI26" s="1">
        <v>170.482</v>
      </c>
      <c r="AJ26" s="1">
        <v>173.108</v>
      </c>
      <c r="AK26" s="14">
        <f t="shared" si="16"/>
        <v>0.87041818464470855</v>
      </c>
    </row>
    <row r="27" spans="1:37" x14ac:dyDescent="0.3">
      <c r="A27" s="1">
        <v>5</v>
      </c>
      <c r="B27" s="1">
        <f t="shared" si="17"/>
        <v>5.6</v>
      </c>
      <c r="C27" s="1">
        <v>-0.04</v>
      </c>
      <c r="D27" s="1">
        <v>263.63</v>
      </c>
      <c r="E27" s="1">
        <v>137.667</v>
      </c>
      <c r="F27" s="1">
        <v>125.964</v>
      </c>
      <c r="G27" s="1">
        <v>165.148</v>
      </c>
      <c r="H27" s="1">
        <v>159.66499999999999</v>
      </c>
      <c r="I27" s="14">
        <f t="shared" si="14"/>
        <v>0.85072671416769918</v>
      </c>
      <c r="O27" s="1">
        <f t="shared" si="18"/>
        <v>7.1999999999999993</v>
      </c>
      <c r="P27" s="1">
        <v>-2.5000000000000001E-2</v>
      </c>
      <c r="Q27" s="1">
        <v>257.55500000000001</v>
      </c>
      <c r="R27" s="1">
        <v>133.202</v>
      </c>
      <c r="S27" s="1">
        <v>124.35299999999999</v>
      </c>
      <c r="T27" s="1">
        <v>170.482</v>
      </c>
      <c r="U27" s="1">
        <v>173.108</v>
      </c>
      <c r="V27" s="23">
        <f t="shared" ref="V27" si="20">Q27/$O$4</f>
        <v>0.87041818464470855</v>
      </c>
      <c r="AD27" s="1">
        <f t="shared" si="19"/>
        <v>7.1999999999999993</v>
      </c>
      <c r="AE27" s="1">
        <v>-2.5000000000000001E-2</v>
      </c>
      <c r="AF27" s="1">
        <v>258.45800000000003</v>
      </c>
      <c r="AG27" s="1">
        <v>134.77500000000001</v>
      </c>
      <c r="AH27" s="1">
        <v>123.68300000000001</v>
      </c>
      <c r="AI27" s="1">
        <v>172.267</v>
      </c>
      <c r="AJ27" s="1">
        <v>169.46700000000001</v>
      </c>
      <c r="AK27" s="14">
        <f t="shared" si="16"/>
        <v>0.87346991192911072</v>
      </c>
    </row>
    <row r="28" spans="1:37" x14ac:dyDescent="0.3">
      <c r="A28" s="1">
        <v>6</v>
      </c>
      <c r="B28" s="1">
        <f t="shared" si="17"/>
        <v>1.5999999999999996</v>
      </c>
      <c r="C28" s="1">
        <v>-2.9000000000000001E-2</v>
      </c>
      <c r="D28" s="1">
        <v>262.60599999999999</v>
      </c>
      <c r="E28" s="1">
        <v>137.75800000000001</v>
      </c>
      <c r="F28" s="1">
        <v>124.848</v>
      </c>
      <c r="G28" s="1">
        <v>166.32499999999999</v>
      </c>
      <c r="H28" s="1">
        <v>159.56700000000001</v>
      </c>
      <c r="I28" s="14">
        <f t="shared" si="14"/>
        <v>0.84742229450640216</v>
      </c>
      <c r="O28" s="1">
        <f t="shared" si="18"/>
        <v>4.6999999999999993</v>
      </c>
      <c r="P28" s="1">
        <v>-0.04</v>
      </c>
      <c r="Q28" s="1">
        <v>255.53100000000001</v>
      </c>
      <c r="R28" s="1">
        <v>132.11799999999999</v>
      </c>
      <c r="S28" s="1">
        <v>123.413</v>
      </c>
      <c r="T28" s="1">
        <v>172.28299999999999</v>
      </c>
      <c r="U28" s="1">
        <v>163.221</v>
      </c>
      <c r="V28" s="23">
        <f t="shared" si="15"/>
        <v>0.86357798971267119</v>
      </c>
      <c r="AD28" s="1">
        <f t="shared" si="19"/>
        <v>4.6999999999999993</v>
      </c>
      <c r="AE28" s="1">
        <v>-0.04</v>
      </c>
      <c r="AF28" s="1">
        <v>255.53100000000001</v>
      </c>
      <c r="AG28" s="1">
        <v>132.11799999999999</v>
      </c>
      <c r="AH28" s="1">
        <v>123.413</v>
      </c>
      <c r="AI28" s="1">
        <v>172.28299999999999</v>
      </c>
      <c r="AJ28" s="1">
        <v>163.221</v>
      </c>
      <c r="AK28" s="14">
        <f t="shared" si="16"/>
        <v>0.86357798971267119</v>
      </c>
    </row>
    <row r="29" spans="1:37" x14ac:dyDescent="0.3">
      <c r="A29" s="1">
        <v>7</v>
      </c>
      <c r="B29" s="1">
        <f t="shared" si="17"/>
        <v>-1.3000000000000007</v>
      </c>
      <c r="C29" s="1">
        <v>3.4000000000000002E-2</v>
      </c>
      <c r="D29" s="1">
        <v>262.60599999999999</v>
      </c>
      <c r="E29" s="1">
        <v>137.75800000000001</v>
      </c>
      <c r="F29" s="1">
        <v>124.848</v>
      </c>
      <c r="G29" s="1">
        <v>166.32499999999999</v>
      </c>
      <c r="H29" s="1">
        <v>159.56700000000001</v>
      </c>
      <c r="I29" s="14">
        <f t="shared" si="14"/>
        <v>0.84742229450640216</v>
      </c>
      <c r="O29" s="1">
        <f t="shared" si="18"/>
        <v>0.69999999999999929</v>
      </c>
      <c r="P29" s="1">
        <v>3.1E-2</v>
      </c>
      <c r="Q29" s="1">
        <v>255.11500000000001</v>
      </c>
      <c r="R29" s="1">
        <v>132.06100000000001</v>
      </c>
      <c r="S29" s="1">
        <v>123.054</v>
      </c>
      <c r="T29" s="1">
        <v>176.363</v>
      </c>
      <c r="U29" s="1">
        <v>165.29900000000001</v>
      </c>
      <c r="V29" s="23">
        <f t="shared" si="15"/>
        <v>0.86217209984521692</v>
      </c>
      <c r="AD29" s="1">
        <f t="shared" si="19"/>
        <v>0.69999999999999929</v>
      </c>
      <c r="AE29" s="1">
        <v>3.1E-2</v>
      </c>
      <c r="AF29" s="1">
        <v>255.11500000000001</v>
      </c>
      <c r="AG29" s="1">
        <v>132.06100000000001</v>
      </c>
      <c r="AH29" s="1">
        <v>123.054</v>
      </c>
      <c r="AI29" s="1">
        <v>176.363</v>
      </c>
      <c r="AJ29" s="1">
        <v>165.29900000000001</v>
      </c>
      <c r="AK29" s="14">
        <f t="shared" si="16"/>
        <v>0.86217209984521692</v>
      </c>
    </row>
    <row r="30" spans="1:37" x14ac:dyDescent="0.3">
      <c r="A30" s="1">
        <v>8</v>
      </c>
      <c r="B30" s="1">
        <f t="shared" si="17"/>
        <v>2.0999999999999996</v>
      </c>
      <c r="C30" s="1">
        <v>-1.9E-2</v>
      </c>
      <c r="D30" s="1">
        <v>262.60599999999999</v>
      </c>
      <c r="E30" s="1">
        <v>137.75800000000001</v>
      </c>
      <c r="F30" s="1">
        <v>124.848</v>
      </c>
      <c r="G30" s="1">
        <v>166.32499999999999</v>
      </c>
      <c r="H30" s="1">
        <v>159.56700000000001</v>
      </c>
      <c r="I30" s="14">
        <f t="shared" si="14"/>
        <v>0.84742229450640216</v>
      </c>
      <c r="O30" s="1">
        <f t="shared" si="18"/>
        <v>3.7999999999999994</v>
      </c>
      <c r="P30" s="1">
        <v>-0.04</v>
      </c>
      <c r="Q30" s="1">
        <v>255.11500000000001</v>
      </c>
      <c r="R30" s="1">
        <v>132.06100000000001</v>
      </c>
      <c r="S30" s="1">
        <v>123.054</v>
      </c>
      <c r="T30" s="1">
        <v>176.363</v>
      </c>
      <c r="U30" s="1">
        <v>165.29900000000001</v>
      </c>
      <c r="V30" s="23">
        <f t="shared" ref="V30" si="21">Q30/$O$4</f>
        <v>0.86217209984521692</v>
      </c>
      <c r="AD30" s="1">
        <f t="shared" si="19"/>
        <v>3.7999999999999994</v>
      </c>
      <c r="AE30" s="1">
        <v>-0.04</v>
      </c>
      <c r="AF30" s="1">
        <v>255.68799999999999</v>
      </c>
      <c r="AG30" s="1">
        <v>133.024</v>
      </c>
      <c r="AH30" s="1">
        <v>122.664</v>
      </c>
      <c r="AI30" s="1">
        <v>170.428</v>
      </c>
      <c r="AJ30" s="1">
        <v>164.63499999999999</v>
      </c>
      <c r="AK30" s="14">
        <f t="shared" si="16"/>
        <v>0.86410857795591711</v>
      </c>
    </row>
    <row r="31" spans="1:37" x14ac:dyDescent="0.3">
      <c r="A31" s="1">
        <v>9</v>
      </c>
      <c r="B31" s="1">
        <f t="shared" si="17"/>
        <v>0.19999999999999973</v>
      </c>
      <c r="C31" s="1">
        <v>0.04</v>
      </c>
      <c r="D31" s="1">
        <v>262.60599999999999</v>
      </c>
      <c r="E31" s="1">
        <v>137.75800000000001</v>
      </c>
      <c r="F31" s="1">
        <v>124.848</v>
      </c>
      <c r="G31" s="1">
        <v>166.32499999999999</v>
      </c>
      <c r="H31" s="1">
        <v>159.56700000000001</v>
      </c>
      <c r="I31" s="14">
        <f t="shared" si="14"/>
        <v>0.84742229450640216</v>
      </c>
      <c r="O31" s="1">
        <f t="shared" si="18"/>
        <v>-0.20000000000000062</v>
      </c>
      <c r="P31" s="1">
        <v>0.02</v>
      </c>
      <c r="Q31" s="1">
        <v>253.39699999999999</v>
      </c>
      <c r="R31" s="1">
        <v>131.161</v>
      </c>
      <c r="S31" s="1">
        <v>122.236</v>
      </c>
      <c r="T31" s="1">
        <v>166.75800000000001</v>
      </c>
      <c r="U31" s="1">
        <v>161.64099999999999</v>
      </c>
      <c r="V31" s="23">
        <f t="shared" si="15"/>
        <v>0.8563660450560665</v>
      </c>
      <c r="AD31" s="1">
        <f t="shared" si="19"/>
        <v>-0.20000000000000062</v>
      </c>
      <c r="AE31" s="1">
        <v>0.02</v>
      </c>
      <c r="AF31" s="1">
        <v>253.39699999999999</v>
      </c>
      <c r="AG31" s="1">
        <v>131.161</v>
      </c>
      <c r="AH31" s="1">
        <v>122.236</v>
      </c>
      <c r="AI31" s="1">
        <v>166.75800000000001</v>
      </c>
      <c r="AJ31" s="1">
        <v>161.64099999999999</v>
      </c>
      <c r="AK31" s="14">
        <f t="shared" si="16"/>
        <v>0.8563660450560665</v>
      </c>
    </row>
    <row r="32" spans="1:37" x14ac:dyDescent="0.3">
      <c r="A32" s="1">
        <v>10</v>
      </c>
      <c r="B32" s="1">
        <f t="shared" si="17"/>
        <v>4.1999999999999993</v>
      </c>
      <c r="C32" s="1">
        <v>-3.5000000000000003E-2</v>
      </c>
      <c r="D32" s="1">
        <v>262.60599999999999</v>
      </c>
      <c r="E32" s="1">
        <v>137.75800000000001</v>
      </c>
      <c r="F32" s="1">
        <v>124.848</v>
      </c>
      <c r="G32" s="1">
        <v>166.32499999999999</v>
      </c>
      <c r="H32" s="1">
        <v>159.56700000000001</v>
      </c>
      <c r="I32" s="14">
        <f t="shared" si="14"/>
        <v>0.84742229450640216</v>
      </c>
      <c r="O32" s="1">
        <f t="shared" si="18"/>
        <v>1.7999999999999994</v>
      </c>
      <c r="P32" s="1">
        <v>0.04</v>
      </c>
      <c r="Q32" s="1">
        <v>252.92699999999999</v>
      </c>
      <c r="R32" s="1">
        <v>130.57</v>
      </c>
      <c r="S32" s="1">
        <v>122.357</v>
      </c>
      <c r="T32" s="1">
        <v>181.49700000000001</v>
      </c>
      <c r="U32" s="1">
        <v>165.89699999999999</v>
      </c>
      <c r="V32" s="23">
        <f t="shared" si="15"/>
        <v>0.85477765986927923</v>
      </c>
      <c r="AD32" s="1">
        <f t="shared" si="19"/>
        <v>1.7999999999999994</v>
      </c>
      <c r="AE32" s="1">
        <v>0.04</v>
      </c>
      <c r="AF32" s="1">
        <v>252.92699999999999</v>
      </c>
      <c r="AG32" s="1">
        <v>130.57</v>
      </c>
      <c r="AH32" s="1">
        <v>122.357</v>
      </c>
      <c r="AI32" s="1">
        <v>181.49700000000001</v>
      </c>
      <c r="AJ32" s="1">
        <v>165.89699999999999</v>
      </c>
      <c r="AK32" s="14">
        <f t="shared" si="16"/>
        <v>0.85477765986927923</v>
      </c>
    </row>
    <row r="33" spans="1:37" x14ac:dyDescent="0.3">
      <c r="A33" s="1">
        <v>11</v>
      </c>
      <c r="B33" s="1">
        <f t="shared" si="17"/>
        <v>0.69999999999999885</v>
      </c>
      <c r="C33" s="1">
        <v>3.5000000000000003E-2</v>
      </c>
      <c r="D33" s="1">
        <v>262.27699999999999</v>
      </c>
      <c r="E33" s="1">
        <v>135.88800000000001</v>
      </c>
      <c r="F33" s="1">
        <v>126.389</v>
      </c>
      <c r="G33" s="1">
        <v>169.452</v>
      </c>
      <c r="H33" s="1">
        <v>157.02500000000001</v>
      </c>
      <c r="I33" s="14">
        <f t="shared" si="14"/>
        <v>0.84636062061131745</v>
      </c>
      <c r="O33" s="1">
        <f t="shared" si="18"/>
        <v>5.7999999999999989</v>
      </c>
      <c r="P33" s="1">
        <v>-0.04</v>
      </c>
      <c r="Q33" s="1">
        <v>252.01400000000001</v>
      </c>
      <c r="R33" s="1">
        <v>130.68100000000001</v>
      </c>
      <c r="S33" s="1">
        <v>121.333</v>
      </c>
      <c r="T33" s="1">
        <v>173.34200000000001</v>
      </c>
      <c r="U33" s="1">
        <v>168.887</v>
      </c>
      <c r="V33" s="23">
        <f t="shared" si="15"/>
        <v>0.85169213715537107</v>
      </c>
      <c r="AD33" s="1">
        <f t="shared" si="19"/>
        <v>5.7999999999999989</v>
      </c>
      <c r="AE33" s="1">
        <v>-0.04</v>
      </c>
      <c r="AF33" s="1">
        <v>252.01400000000001</v>
      </c>
      <c r="AG33" s="1">
        <v>130.68100000000001</v>
      </c>
      <c r="AH33" s="1">
        <v>121.333</v>
      </c>
      <c r="AI33" s="1">
        <v>173.34200000000001</v>
      </c>
      <c r="AJ33" s="1">
        <v>168.887</v>
      </c>
      <c r="AK33" s="14">
        <f t="shared" si="16"/>
        <v>0.85169213715537107</v>
      </c>
    </row>
    <row r="34" spans="1:37" x14ac:dyDescent="0.3">
      <c r="A34" s="1">
        <v>12</v>
      </c>
      <c r="B34" s="1">
        <f t="shared" si="17"/>
        <v>4.1999999999999993</v>
      </c>
      <c r="C34" s="1">
        <v>-0.04</v>
      </c>
      <c r="D34" s="1">
        <v>262.27699999999999</v>
      </c>
      <c r="E34" s="1">
        <v>135.88800000000001</v>
      </c>
      <c r="F34" s="1">
        <v>126.389</v>
      </c>
      <c r="G34" s="1">
        <v>169.452</v>
      </c>
      <c r="H34" s="1">
        <v>157.02500000000001</v>
      </c>
      <c r="I34" s="14">
        <f t="shared" si="14"/>
        <v>0.84636062061131745</v>
      </c>
      <c r="O34" s="1">
        <f t="shared" si="18"/>
        <v>1.7999999999999989</v>
      </c>
      <c r="P34" s="1">
        <v>1.2E-2</v>
      </c>
      <c r="Q34" s="1">
        <v>249.93700000000001</v>
      </c>
      <c r="R34" s="1">
        <v>129.059</v>
      </c>
      <c r="S34" s="1">
        <v>120.878</v>
      </c>
      <c r="T34" s="1">
        <v>177.441</v>
      </c>
      <c r="U34" s="1">
        <v>162.83199999999999</v>
      </c>
      <c r="V34" s="23">
        <f t="shared" si="15"/>
        <v>0.8446728264469513</v>
      </c>
      <c r="AD34" s="1">
        <f t="shared" si="19"/>
        <v>1.7999999999999989</v>
      </c>
      <c r="AE34" s="1">
        <v>1.2E-2</v>
      </c>
      <c r="AF34" s="1">
        <v>249.93700000000001</v>
      </c>
      <c r="AG34" s="1">
        <v>129.059</v>
      </c>
      <c r="AH34" s="1">
        <v>120.878</v>
      </c>
      <c r="AI34" s="1">
        <v>177.441</v>
      </c>
      <c r="AJ34" s="1">
        <v>162.83199999999999</v>
      </c>
      <c r="AK34" s="14">
        <f t="shared" si="16"/>
        <v>0.8446728264469513</v>
      </c>
    </row>
    <row r="35" spans="1:37" x14ac:dyDescent="0.3">
      <c r="A35" s="1">
        <v>13</v>
      </c>
      <c r="B35" s="1">
        <f t="shared" si="17"/>
        <v>0.19999999999999929</v>
      </c>
      <c r="C35" s="1">
        <v>0.01</v>
      </c>
      <c r="D35" s="1">
        <v>259.38299999999998</v>
      </c>
      <c r="E35" s="1">
        <v>136.52199999999999</v>
      </c>
      <c r="F35" s="1">
        <v>122.861</v>
      </c>
      <c r="G35" s="1">
        <v>167.35300000000001</v>
      </c>
      <c r="H35" s="1">
        <v>159.41399999999999</v>
      </c>
      <c r="I35" s="14">
        <f t="shared" si="14"/>
        <v>0.83702176270136297</v>
      </c>
      <c r="O35" s="1">
        <f t="shared" si="18"/>
        <v>2.9999999999999991</v>
      </c>
      <c r="P35" s="1">
        <v>1.2999999999999999E-2</v>
      </c>
      <c r="Q35" s="1">
        <v>249.93700000000001</v>
      </c>
      <c r="R35" s="1">
        <v>129.059</v>
      </c>
      <c r="S35" s="1">
        <v>120.878</v>
      </c>
      <c r="T35" s="1">
        <v>177.441</v>
      </c>
      <c r="U35" s="1">
        <v>162.83199999999999</v>
      </c>
      <c r="V35" s="23">
        <f t="shared" ref="V35" si="22">Q35/$O$4</f>
        <v>0.8446728264469513</v>
      </c>
      <c r="AD35" s="1">
        <f t="shared" si="19"/>
        <v>2.9999999999999991</v>
      </c>
      <c r="AE35" s="1">
        <v>1.2999999999999999E-2</v>
      </c>
      <c r="AF35" s="1">
        <v>253.35300000000001</v>
      </c>
      <c r="AG35" s="1">
        <v>131.04900000000001</v>
      </c>
      <c r="AH35" s="1">
        <v>122.303</v>
      </c>
      <c r="AI35" s="1">
        <v>170.58</v>
      </c>
      <c r="AJ35" s="1">
        <v>163.52500000000001</v>
      </c>
      <c r="AK35" s="14">
        <f t="shared" si="16"/>
        <v>0.85621734516623971</v>
      </c>
    </row>
    <row r="36" spans="1:37" x14ac:dyDescent="0.3">
      <c r="A36" s="1">
        <v>14</v>
      </c>
      <c r="B36" s="1">
        <f t="shared" si="17"/>
        <v>1.1999999999999993</v>
      </c>
      <c r="C36" s="1">
        <v>0.04</v>
      </c>
      <c r="D36" s="1">
        <v>259.38299999999998</v>
      </c>
      <c r="E36" s="1">
        <v>136.52199999999999</v>
      </c>
      <c r="F36" s="1">
        <v>122.861</v>
      </c>
      <c r="G36" s="1">
        <v>167.35300000000001</v>
      </c>
      <c r="H36" s="1">
        <v>159.41399999999999</v>
      </c>
      <c r="I36" s="14">
        <f t="shared" si="14"/>
        <v>0.83702176270136297</v>
      </c>
      <c r="O36" s="1">
        <f t="shared" si="18"/>
        <v>4.2999999999999989</v>
      </c>
      <c r="P36" s="1">
        <v>8.9999999999999993E-3</v>
      </c>
      <c r="Q36" s="1">
        <v>249.93700000000001</v>
      </c>
      <c r="R36" s="1">
        <v>129.059</v>
      </c>
      <c r="S36" s="1">
        <v>120.878</v>
      </c>
      <c r="T36" s="1">
        <v>177.441</v>
      </c>
      <c r="U36" s="1">
        <v>162.83199999999999</v>
      </c>
      <c r="V36" s="23">
        <f t="shared" ref="V36:V40" si="23">Q36/$O$4</f>
        <v>0.8446728264469513</v>
      </c>
      <c r="AD36" s="1">
        <f t="shared" si="19"/>
        <v>4.2999999999999989</v>
      </c>
      <c r="AE36" s="1">
        <v>8.9999999999999993E-3</v>
      </c>
      <c r="AF36" s="1">
        <v>250.13499999999999</v>
      </c>
      <c r="AG36" s="1">
        <v>129.20099999999999</v>
      </c>
      <c r="AH36" s="1">
        <v>120.93300000000001</v>
      </c>
      <c r="AI36" s="1">
        <v>173.05799999999999</v>
      </c>
      <c r="AJ36" s="1">
        <v>166.084</v>
      </c>
      <c r="AK36" s="14">
        <f t="shared" si="16"/>
        <v>0.84534197595117222</v>
      </c>
    </row>
    <row r="37" spans="1:37" x14ac:dyDescent="0.3">
      <c r="A37" s="1">
        <v>15</v>
      </c>
      <c r="B37" s="1">
        <f t="shared" si="17"/>
        <v>5.1999999999999993</v>
      </c>
      <c r="C37" s="1">
        <v>-0.04</v>
      </c>
      <c r="D37" s="1">
        <v>258.27699999999999</v>
      </c>
      <c r="E37" s="1">
        <v>134.999</v>
      </c>
      <c r="F37" s="1">
        <v>123.27800000000001</v>
      </c>
      <c r="G37" s="1">
        <v>168.69399999999999</v>
      </c>
      <c r="H37" s="1">
        <v>161.524</v>
      </c>
      <c r="I37" s="14">
        <f t="shared" si="14"/>
        <v>0.83345273130937614</v>
      </c>
      <c r="O37" s="1">
        <f t="shared" si="18"/>
        <v>5.1999999999999993</v>
      </c>
      <c r="P37" s="1">
        <v>-1.7999999999999999E-2</v>
      </c>
      <c r="Q37" s="1">
        <v>249.93700000000001</v>
      </c>
      <c r="R37" s="1">
        <v>129.059</v>
      </c>
      <c r="S37" s="1">
        <v>120.878</v>
      </c>
      <c r="T37" s="1">
        <v>177.441</v>
      </c>
      <c r="U37" s="1">
        <v>162.83199999999999</v>
      </c>
      <c r="V37" s="23">
        <f t="shared" si="23"/>
        <v>0.8446728264469513</v>
      </c>
      <c r="AD37" s="1">
        <f t="shared" si="19"/>
        <v>5.1999999999999993</v>
      </c>
      <c r="AE37" s="1">
        <v>-1.7999999999999999E-2</v>
      </c>
      <c r="AF37" s="1">
        <v>250.685</v>
      </c>
      <c r="AG37" s="1">
        <v>131.36500000000001</v>
      </c>
      <c r="AH37" s="1">
        <v>119.32</v>
      </c>
      <c r="AI37" s="1">
        <v>176.887</v>
      </c>
      <c r="AJ37" s="1">
        <v>162.53299999999999</v>
      </c>
      <c r="AK37" s="14">
        <f t="shared" si="16"/>
        <v>0.84720072457400852</v>
      </c>
    </row>
    <row r="38" spans="1:37" x14ac:dyDescent="0.3">
      <c r="A38" s="1">
        <v>16</v>
      </c>
      <c r="B38" s="1">
        <f t="shared" si="17"/>
        <v>1.1999999999999993</v>
      </c>
      <c r="C38" s="1">
        <v>3.5000000000000003E-2</v>
      </c>
      <c r="D38" s="1">
        <v>258.24799999999999</v>
      </c>
      <c r="E38" s="1">
        <v>136.46899999999999</v>
      </c>
      <c r="F38" s="1">
        <v>121.779</v>
      </c>
      <c r="G38" s="1">
        <v>168.31299999999999</v>
      </c>
      <c r="H38" s="1">
        <v>162.583</v>
      </c>
      <c r="I38" s="14">
        <f t="shared" si="14"/>
        <v>0.83335914911193709</v>
      </c>
      <c r="O38" s="1">
        <f t="shared" si="18"/>
        <v>3.3999999999999995</v>
      </c>
      <c r="P38" s="1">
        <v>3.9E-2</v>
      </c>
      <c r="Q38" s="1">
        <v>249.93700000000001</v>
      </c>
      <c r="R38" s="1">
        <v>129.059</v>
      </c>
      <c r="S38" s="1">
        <v>120.878</v>
      </c>
      <c r="T38" s="1">
        <v>177.441</v>
      </c>
      <c r="U38" s="1">
        <v>162.83199999999999</v>
      </c>
      <c r="V38" s="23">
        <f t="shared" si="23"/>
        <v>0.8446728264469513</v>
      </c>
      <c r="AD38" s="1">
        <f t="shared" si="19"/>
        <v>3.3999999999999995</v>
      </c>
      <c r="AE38" s="1">
        <v>3.9E-2</v>
      </c>
      <c r="AF38" s="1">
        <v>252.256</v>
      </c>
      <c r="AG38" s="1">
        <v>130.51599999999999</v>
      </c>
      <c r="AH38" s="1">
        <v>121.74</v>
      </c>
      <c r="AI38" s="1">
        <v>174.35400000000001</v>
      </c>
      <c r="AJ38" s="1">
        <v>162.64400000000001</v>
      </c>
      <c r="AK38" s="14">
        <f t="shared" si="16"/>
        <v>0.85250998654941901</v>
      </c>
    </row>
    <row r="39" spans="1:37" x14ac:dyDescent="0.3">
      <c r="A39" s="1">
        <v>17</v>
      </c>
      <c r="B39" s="1">
        <f t="shared" si="17"/>
        <v>4.6999999999999993</v>
      </c>
      <c r="C39" s="1">
        <v>0.04</v>
      </c>
      <c r="D39" s="1">
        <v>256.33699999999999</v>
      </c>
      <c r="E39" s="1">
        <v>134.04300000000001</v>
      </c>
      <c r="F39" s="1">
        <v>122.294</v>
      </c>
      <c r="G39" s="1">
        <v>168.80099999999999</v>
      </c>
      <c r="H39" s="1">
        <v>164.126</v>
      </c>
      <c r="I39" s="14">
        <f t="shared" si="14"/>
        <v>0.82719240499793456</v>
      </c>
      <c r="O39" s="1">
        <f t="shared" si="18"/>
        <v>7.2999999999999989</v>
      </c>
      <c r="P39" s="1">
        <v>3.9E-2</v>
      </c>
      <c r="Q39" s="1">
        <v>249.93700000000001</v>
      </c>
      <c r="R39" s="1">
        <v>129.059</v>
      </c>
      <c r="S39" s="1">
        <v>120.878</v>
      </c>
      <c r="T39" s="1">
        <v>177.441</v>
      </c>
      <c r="U39" s="1">
        <v>162.83199999999999</v>
      </c>
      <c r="V39" s="23">
        <f t="shared" si="23"/>
        <v>0.8446728264469513</v>
      </c>
      <c r="AD39" s="1">
        <f t="shared" si="19"/>
        <v>7.2999999999999989</v>
      </c>
      <c r="AE39" s="1">
        <v>3.9E-2</v>
      </c>
      <c r="AF39" s="1">
        <v>250.209</v>
      </c>
      <c r="AG39" s="1">
        <v>129.39099999999999</v>
      </c>
      <c r="AH39" s="1">
        <v>120.818</v>
      </c>
      <c r="AI39" s="1">
        <v>176.30500000000001</v>
      </c>
      <c r="AJ39" s="1">
        <v>161.648</v>
      </c>
      <c r="AK39" s="14">
        <f t="shared" si="16"/>
        <v>0.84559206212951754</v>
      </c>
    </row>
    <row r="40" spans="1:37" x14ac:dyDescent="0.3">
      <c r="A40" s="1">
        <v>18</v>
      </c>
      <c r="B40" s="1">
        <f t="shared" si="17"/>
        <v>8.6999999999999993</v>
      </c>
      <c r="C40" s="1">
        <v>-0.04</v>
      </c>
      <c r="D40" s="1">
        <v>256.33699999999999</v>
      </c>
      <c r="E40" s="1">
        <v>134.04300000000001</v>
      </c>
      <c r="F40" s="1">
        <v>122.294</v>
      </c>
      <c r="G40" s="1">
        <v>168.80099999999999</v>
      </c>
      <c r="H40" s="1">
        <v>164.126</v>
      </c>
      <c r="I40" s="14">
        <f t="shared" si="14"/>
        <v>0.82719240499793456</v>
      </c>
      <c r="O40" s="1">
        <f t="shared" si="18"/>
        <v>11.2</v>
      </c>
      <c r="P40" s="1">
        <v>-0.04</v>
      </c>
      <c r="Q40" s="1">
        <v>249.93700000000001</v>
      </c>
      <c r="R40" s="1">
        <v>129.059</v>
      </c>
      <c r="S40" s="1">
        <v>120.878</v>
      </c>
      <c r="T40" s="1">
        <v>177.441</v>
      </c>
      <c r="U40" s="1">
        <v>162.83199999999999</v>
      </c>
      <c r="V40" s="23">
        <f t="shared" si="23"/>
        <v>0.8446728264469513</v>
      </c>
      <c r="AD40" s="1">
        <f t="shared" si="19"/>
        <v>11.2</v>
      </c>
      <c r="AE40" s="1">
        <v>-0.04</v>
      </c>
      <c r="AF40" s="1">
        <v>251.33199999999999</v>
      </c>
      <c r="AG40" s="1">
        <v>130.24600000000001</v>
      </c>
      <c r="AH40" s="1">
        <v>121.086</v>
      </c>
      <c r="AI40" s="1">
        <v>175.52</v>
      </c>
      <c r="AJ40" s="1">
        <v>166.779</v>
      </c>
      <c r="AK40" s="14">
        <f t="shared" si="16"/>
        <v>0.84938728886305404</v>
      </c>
    </row>
    <row r="41" spans="1:37" x14ac:dyDescent="0.3">
      <c r="A41" s="1">
        <v>19</v>
      </c>
      <c r="B41" s="1">
        <f t="shared" si="17"/>
        <v>4.6999999999999993</v>
      </c>
      <c r="C41" s="1">
        <v>-0.04</v>
      </c>
      <c r="D41" s="1">
        <v>253.09899999999999</v>
      </c>
      <c r="E41" s="1">
        <v>133.84100000000001</v>
      </c>
      <c r="F41" s="1">
        <v>119.258</v>
      </c>
      <c r="G41" s="1">
        <v>169.86199999999999</v>
      </c>
      <c r="H41" s="1">
        <v>165.16399999999999</v>
      </c>
      <c r="I41" s="14">
        <f t="shared" si="14"/>
        <v>0.81674346860801306</v>
      </c>
      <c r="O41" s="1">
        <f t="shared" si="18"/>
        <v>7.1999999999999993</v>
      </c>
      <c r="P41" s="1">
        <v>3.4000000000000002E-2</v>
      </c>
      <c r="Q41" s="1">
        <v>246.774</v>
      </c>
      <c r="R41" s="1">
        <v>128.64599999999999</v>
      </c>
      <c r="S41" s="1">
        <v>118.129</v>
      </c>
      <c r="T41" s="1">
        <v>178.25399999999999</v>
      </c>
      <c r="U41" s="1">
        <v>167.333</v>
      </c>
      <c r="V41" s="23">
        <f t="shared" si="15"/>
        <v>0.83398333209416753</v>
      </c>
      <c r="AD41" s="1">
        <f t="shared" si="19"/>
        <v>7.1999999999999993</v>
      </c>
      <c r="AE41" s="1">
        <v>3.4000000000000002E-2</v>
      </c>
      <c r="AF41" s="1">
        <v>246.774</v>
      </c>
      <c r="AG41" s="1">
        <v>128.64599999999999</v>
      </c>
      <c r="AH41" s="1">
        <v>118.129</v>
      </c>
      <c r="AI41" s="1">
        <v>178.25399999999999</v>
      </c>
      <c r="AJ41" s="1">
        <v>167.333</v>
      </c>
      <c r="AK41" s="14">
        <f t="shared" si="16"/>
        <v>0.83398333209416753</v>
      </c>
    </row>
    <row r="42" spans="1:37" x14ac:dyDescent="0.3">
      <c r="A42" s="1">
        <v>20</v>
      </c>
      <c r="B42" s="1">
        <f t="shared" si="17"/>
        <v>0.69999999999999929</v>
      </c>
      <c r="C42" s="1">
        <v>0.04</v>
      </c>
      <c r="D42" s="1">
        <v>251.566</v>
      </c>
      <c r="E42" s="1">
        <v>132.35900000000001</v>
      </c>
      <c r="F42" s="1">
        <v>119.20699999999999</v>
      </c>
      <c r="G42" s="1">
        <v>171.58799999999999</v>
      </c>
      <c r="H42" s="1">
        <v>164.959</v>
      </c>
      <c r="I42" s="14">
        <f t="shared" si="14"/>
        <v>0.81179652003304414</v>
      </c>
      <c r="O42" s="1">
        <f t="shared" si="18"/>
        <v>10.6</v>
      </c>
      <c r="P42" s="1">
        <v>-2.3E-2</v>
      </c>
      <c r="Q42" s="1">
        <v>246.774</v>
      </c>
      <c r="R42" s="1">
        <v>128.64599999999999</v>
      </c>
      <c r="S42" s="1">
        <v>118.129</v>
      </c>
      <c r="T42" s="1">
        <v>178.25399999999999</v>
      </c>
      <c r="U42" s="1">
        <v>167.333</v>
      </c>
      <c r="V42" s="23">
        <f t="shared" ref="V42:V48" si="24">Q42/$O$4</f>
        <v>0.83398333209416753</v>
      </c>
      <c r="AD42" s="1">
        <f t="shared" si="19"/>
        <v>10.6</v>
      </c>
      <c r="AE42" s="1">
        <v>-2.3E-2</v>
      </c>
      <c r="AF42" s="1">
        <v>248.58699999999999</v>
      </c>
      <c r="AG42" s="1">
        <v>130.29499999999999</v>
      </c>
      <c r="AH42" s="1">
        <v>118.292</v>
      </c>
      <c r="AI42" s="1">
        <v>176.25299999999999</v>
      </c>
      <c r="AJ42" s="1">
        <v>165.626</v>
      </c>
      <c r="AK42" s="14">
        <f t="shared" si="16"/>
        <v>0.84011044346362584</v>
      </c>
    </row>
    <row r="43" spans="1:37" x14ac:dyDescent="0.3">
      <c r="A43" s="1">
        <v>21</v>
      </c>
      <c r="B43" s="1">
        <f t="shared" si="17"/>
        <v>4.6999999999999993</v>
      </c>
      <c r="C43" s="1">
        <v>-0.04</v>
      </c>
      <c r="D43" s="1">
        <v>251.566</v>
      </c>
      <c r="E43" s="1">
        <v>132.35900000000001</v>
      </c>
      <c r="F43" s="1">
        <v>119.20699999999999</v>
      </c>
      <c r="G43" s="1">
        <v>171.58799999999999</v>
      </c>
      <c r="H43" s="1">
        <v>164.959</v>
      </c>
      <c r="I43" s="14">
        <f t="shared" si="14"/>
        <v>0.81179652003304414</v>
      </c>
      <c r="O43" s="1">
        <f t="shared" si="18"/>
        <v>8.3000000000000007</v>
      </c>
      <c r="P43" s="1">
        <v>-8.9999999999999993E-3</v>
      </c>
      <c r="Q43" s="1">
        <v>246.774</v>
      </c>
      <c r="R43" s="1">
        <v>128.64599999999999</v>
      </c>
      <c r="S43" s="1">
        <v>118.129</v>
      </c>
      <c r="T43" s="1">
        <v>178.25399999999999</v>
      </c>
      <c r="U43" s="1">
        <v>167.333</v>
      </c>
      <c r="V43" s="23">
        <f t="shared" si="24"/>
        <v>0.83398333209416753</v>
      </c>
      <c r="AD43" s="1">
        <f t="shared" si="19"/>
        <v>8.3000000000000007</v>
      </c>
      <c r="AE43" s="1">
        <v>-8.9999999999999993E-3</v>
      </c>
      <c r="AF43" s="1">
        <v>248.721</v>
      </c>
      <c r="AG43" s="1">
        <v>129.345</v>
      </c>
      <c r="AH43" s="1">
        <v>119.376</v>
      </c>
      <c r="AI43" s="1">
        <v>181.03</v>
      </c>
      <c r="AJ43" s="1">
        <v>164.94399999999999</v>
      </c>
      <c r="AK43" s="14">
        <f t="shared" si="16"/>
        <v>0.84056330221900788</v>
      </c>
    </row>
    <row r="44" spans="1:37" x14ac:dyDescent="0.3">
      <c r="A44" s="1">
        <v>22</v>
      </c>
      <c r="B44" s="1">
        <f t="shared" si="17"/>
        <v>0.69999999999999929</v>
      </c>
      <c r="C44" s="1">
        <v>0.04</v>
      </c>
      <c r="D44" s="1">
        <v>249.80500000000001</v>
      </c>
      <c r="E44" s="1">
        <v>130.989</v>
      </c>
      <c r="F44" s="1">
        <v>118.816</v>
      </c>
      <c r="G44" s="1">
        <v>171.84899999999999</v>
      </c>
      <c r="H44" s="1">
        <v>161.55600000000001</v>
      </c>
      <c r="I44" s="14">
        <f t="shared" si="14"/>
        <v>0.8061138217678645</v>
      </c>
      <c r="O44" s="1">
        <f t="shared" si="18"/>
        <v>7.4</v>
      </c>
      <c r="P44" s="1">
        <v>2.7E-2</v>
      </c>
      <c r="Q44" s="1">
        <v>246.774</v>
      </c>
      <c r="R44" s="1">
        <v>128.64599999999999</v>
      </c>
      <c r="S44" s="1">
        <v>118.129</v>
      </c>
      <c r="T44" s="1">
        <v>178.25399999999999</v>
      </c>
      <c r="U44" s="1">
        <v>167.333</v>
      </c>
      <c r="V44" s="23">
        <f t="shared" si="24"/>
        <v>0.83398333209416753</v>
      </c>
      <c r="AD44" s="1">
        <f t="shared" si="19"/>
        <v>7.4</v>
      </c>
      <c r="AE44" s="1">
        <v>2.7E-2</v>
      </c>
      <c r="AF44" s="1">
        <v>249.327</v>
      </c>
      <c r="AG44" s="1">
        <v>129.86699999999999</v>
      </c>
      <c r="AH44" s="1">
        <v>119.46</v>
      </c>
      <c r="AI44" s="1">
        <v>181.27099999999999</v>
      </c>
      <c r="AJ44" s="1">
        <v>163.03299999999999</v>
      </c>
      <c r="AK44" s="14">
        <f t="shared" si="16"/>
        <v>0.84261130524707828</v>
      </c>
    </row>
    <row r="45" spans="1:37" x14ac:dyDescent="0.3">
      <c r="A45" s="1">
        <v>23</v>
      </c>
      <c r="B45" s="1">
        <f t="shared" si="17"/>
        <v>4.6999999999999993</v>
      </c>
      <c r="C45" s="1">
        <v>-3.5000000000000003E-2</v>
      </c>
      <c r="D45" s="1">
        <v>249.07499999999999</v>
      </c>
      <c r="E45" s="1">
        <v>131.471</v>
      </c>
      <c r="F45" s="1">
        <v>117.60299999999999</v>
      </c>
      <c r="G45" s="1">
        <v>172.053</v>
      </c>
      <c r="H45" s="1">
        <v>164.536</v>
      </c>
      <c r="I45" s="14">
        <f t="shared" si="14"/>
        <v>0.80375813197026014</v>
      </c>
      <c r="O45" s="1">
        <f t="shared" si="18"/>
        <v>10.100000000000001</v>
      </c>
      <c r="P45" s="1">
        <v>-1.7999999999999999E-2</v>
      </c>
      <c r="Q45" s="1">
        <v>246.774</v>
      </c>
      <c r="R45" s="1">
        <v>128.64599999999999</v>
      </c>
      <c r="S45" s="1">
        <v>118.129</v>
      </c>
      <c r="T45" s="1">
        <v>178.25399999999999</v>
      </c>
      <c r="U45" s="1">
        <v>167.333</v>
      </c>
      <c r="V45" s="23">
        <f t="shared" si="24"/>
        <v>0.83398333209416753</v>
      </c>
      <c r="AD45" s="1">
        <f t="shared" si="19"/>
        <v>10.100000000000001</v>
      </c>
      <c r="AE45" s="1">
        <v>-1.7999999999999999E-2</v>
      </c>
      <c r="AF45" s="1">
        <v>249.86799999999999</v>
      </c>
      <c r="AG45" s="1">
        <v>127.812</v>
      </c>
      <c r="AH45" s="1">
        <v>122.05500000000001</v>
      </c>
      <c r="AI45" s="1">
        <v>181.18100000000001</v>
      </c>
      <c r="AJ45" s="1">
        <v>166.19499999999999</v>
      </c>
      <c r="AK45" s="14">
        <f t="shared" si="16"/>
        <v>0.84443963798335908</v>
      </c>
    </row>
    <row r="46" spans="1:37" x14ac:dyDescent="0.3">
      <c r="A46" s="1">
        <v>24</v>
      </c>
      <c r="B46" s="1">
        <f t="shared" si="17"/>
        <v>1.1999999999999988</v>
      </c>
      <c r="C46" s="1">
        <v>3.5000000000000003E-2</v>
      </c>
      <c r="D46" s="1">
        <v>247.49700000000001</v>
      </c>
      <c r="E46" s="1">
        <v>130.15799999999999</v>
      </c>
      <c r="F46" s="1">
        <v>117.339</v>
      </c>
      <c r="G46" s="1">
        <v>172.37200000000001</v>
      </c>
      <c r="H46" s="1">
        <v>164.959</v>
      </c>
      <c r="I46" s="14">
        <f t="shared" si="14"/>
        <v>0.79866596964064429</v>
      </c>
      <c r="O46" s="1">
        <f t="shared" si="18"/>
        <v>8.3000000000000007</v>
      </c>
      <c r="P46" s="1">
        <v>-2.3E-2</v>
      </c>
      <c r="Q46" s="1">
        <v>246.774</v>
      </c>
      <c r="R46" s="1">
        <v>128.64599999999999</v>
      </c>
      <c r="S46" s="1">
        <v>118.129</v>
      </c>
      <c r="T46" s="1">
        <v>178.25399999999999</v>
      </c>
      <c r="U46" s="1">
        <v>167.333</v>
      </c>
      <c r="V46" s="23">
        <f t="shared" si="24"/>
        <v>0.83398333209416753</v>
      </c>
      <c r="AD46" s="1">
        <f t="shared" si="19"/>
        <v>8.3000000000000007</v>
      </c>
      <c r="AE46" s="1">
        <v>-2.3E-2</v>
      </c>
      <c r="AF46" s="1">
        <v>251.328</v>
      </c>
      <c r="AG46" s="1">
        <v>130.49100000000001</v>
      </c>
      <c r="AH46" s="1">
        <v>120.837</v>
      </c>
      <c r="AI46" s="1">
        <v>178.857</v>
      </c>
      <c r="AJ46" s="1">
        <v>163.79599999999999</v>
      </c>
      <c r="AK46" s="14">
        <f t="shared" si="16"/>
        <v>0.84937377069125164</v>
      </c>
    </row>
    <row r="47" spans="1:37" x14ac:dyDescent="0.3">
      <c r="A47" s="1">
        <v>25</v>
      </c>
      <c r="B47" s="1">
        <f t="shared" si="17"/>
        <v>4.6999999999999993</v>
      </c>
      <c r="C47" s="1">
        <v>-3.5000000000000003E-2</v>
      </c>
      <c r="D47" s="1">
        <v>246.93100000000001</v>
      </c>
      <c r="E47" s="1">
        <v>129.72300000000001</v>
      </c>
      <c r="F47" s="1">
        <v>117.208</v>
      </c>
      <c r="G47" s="1">
        <v>172.447</v>
      </c>
      <c r="H47" s="1">
        <v>164.816</v>
      </c>
      <c r="I47" s="14">
        <f t="shared" si="14"/>
        <v>0.79683950330441966</v>
      </c>
      <c r="O47" s="1">
        <f t="shared" si="18"/>
        <v>6.0000000000000009</v>
      </c>
      <c r="P47" s="1">
        <v>3.9E-2</v>
      </c>
      <c r="Q47" s="1">
        <v>246.774</v>
      </c>
      <c r="R47" s="1">
        <v>128.64599999999999</v>
      </c>
      <c r="S47" s="1">
        <v>118.129</v>
      </c>
      <c r="T47" s="1">
        <v>178.25399999999999</v>
      </c>
      <c r="U47" s="1">
        <v>167.333</v>
      </c>
      <c r="V47" s="23">
        <f t="shared" si="24"/>
        <v>0.83398333209416753</v>
      </c>
      <c r="AD47" s="1">
        <f t="shared" si="19"/>
        <v>6.0000000000000009</v>
      </c>
      <c r="AE47" s="1">
        <v>3.9E-2</v>
      </c>
      <c r="AF47" s="1">
        <v>248.13</v>
      </c>
      <c r="AG47" s="1">
        <v>129.48099999999999</v>
      </c>
      <c r="AH47" s="1">
        <v>118.649</v>
      </c>
      <c r="AI47" s="1">
        <v>180.75700000000001</v>
      </c>
      <c r="AJ47" s="1">
        <v>164.11799999999999</v>
      </c>
      <c r="AK47" s="14">
        <f t="shared" si="16"/>
        <v>0.83856599233519646</v>
      </c>
    </row>
    <row r="48" spans="1:37" x14ac:dyDescent="0.3">
      <c r="A48" s="1">
        <v>26</v>
      </c>
      <c r="B48" s="1">
        <f t="shared" si="17"/>
        <v>1.1999999999999988</v>
      </c>
      <c r="C48" s="1">
        <v>-2.7E-2</v>
      </c>
      <c r="D48" s="1">
        <v>245.70500000000001</v>
      </c>
      <c r="E48" s="1">
        <v>127.855</v>
      </c>
      <c r="F48" s="1">
        <v>117.85</v>
      </c>
      <c r="G48" s="1">
        <v>172.98599999999999</v>
      </c>
      <c r="H48" s="1">
        <v>164.04</v>
      </c>
      <c r="I48" s="14">
        <f t="shared" si="14"/>
        <v>0.79288323523337456</v>
      </c>
      <c r="O48" s="1">
        <f t="shared" si="18"/>
        <v>9.9</v>
      </c>
      <c r="P48" s="1">
        <v>-1.2999999999999999E-2</v>
      </c>
      <c r="Q48" s="1">
        <v>246.774</v>
      </c>
      <c r="R48" s="1">
        <v>128.64599999999999</v>
      </c>
      <c r="S48" s="1">
        <v>118.129</v>
      </c>
      <c r="T48" s="1">
        <v>178.25399999999999</v>
      </c>
      <c r="U48" s="1">
        <v>167.333</v>
      </c>
      <c r="V48" s="23">
        <f t="shared" si="24"/>
        <v>0.83398333209416753</v>
      </c>
      <c r="AD48" s="1">
        <f t="shared" si="19"/>
        <v>9.9</v>
      </c>
      <c r="AE48" s="1">
        <v>-1.2999999999999999E-2</v>
      </c>
      <c r="AF48" s="1">
        <v>249.97800000000001</v>
      </c>
      <c r="AG48" s="1">
        <v>128.745</v>
      </c>
      <c r="AH48" s="1">
        <v>121.233</v>
      </c>
      <c r="AI48" s="1">
        <v>178.18700000000001</v>
      </c>
      <c r="AJ48" s="1">
        <v>164.76599999999999</v>
      </c>
      <c r="AK48" s="14">
        <f t="shared" si="16"/>
        <v>0.8448113877079263</v>
      </c>
    </row>
    <row r="49" spans="1:37" x14ac:dyDescent="0.3">
      <c r="A49" s="1">
        <v>27</v>
      </c>
      <c r="B49" s="1">
        <f t="shared" si="17"/>
        <v>-1.5000000000000013</v>
      </c>
      <c r="C49" s="1">
        <v>0.03</v>
      </c>
      <c r="D49" s="1">
        <v>245.70500000000001</v>
      </c>
      <c r="E49" s="1">
        <v>127.855</v>
      </c>
      <c r="F49" s="1">
        <v>117.85</v>
      </c>
      <c r="G49" s="1">
        <v>172.98599999999999</v>
      </c>
      <c r="H49" s="1">
        <v>164.04</v>
      </c>
      <c r="I49" s="14">
        <f t="shared" si="14"/>
        <v>0.79288323523337456</v>
      </c>
      <c r="O49" s="1">
        <f t="shared" si="18"/>
        <v>8.6</v>
      </c>
      <c r="P49" s="1">
        <v>-3.1E-2</v>
      </c>
      <c r="Q49" s="1">
        <v>246.774</v>
      </c>
      <c r="R49" s="1">
        <v>128.64599999999999</v>
      </c>
      <c r="S49" s="1">
        <v>118.129</v>
      </c>
      <c r="T49" s="1">
        <v>178.25399999999999</v>
      </c>
      <c r="U49" s="1">
        <v>167.333</v>
      </c>
      <c r="V49" s="23">
        <f t="shared" ref="V49:V53" si="25">Q49/$O$4</f>
        <v>0.83398333209416753</v>
      </c>
      <c r="AD49" s="1">
        <f t="shared" si="19"/>
        <v>8.6</v>
      </c>
      <c r="AE49" s="1">
        <v>-3.1E-2</v>
      </c>
      <c r="AF49" s="1">
        <v>247.721</v>
      </c>
      <c r="AG49" s="1">
        <v>129.404</v>
      </c>
      <c r="AH49" s="1">
        <v>118.31699999999999</v>
      </c>
      <c r="AI49" s="1">
        <v>180.17</v>
      </c>
      <c r="AJ49" s="1">
        <v>163.327</v>
      </c>
      <c r="AK49" s="14">
        <f t="shared" si="16"/>
        <v>0.8371837592683965</v>
      </c>
    </row>
    <row r="50" spans="1:37" x14ac:dyDescent="0.3">
      <c r="A50" s="1">
        <v>28</v>
      </c>
      <c r="B50" s="1">
        <f t="shared" si="17"/>
        <v>1.4999999999999987</v>
      </c>
      <c r="C50" s="1">
        <v>0.04</v>
      </c>
      <c r="D50" s="1">
        <v>244.27699999999999</v>
      </c>
      <c r="E50" s="1">
        <v>127.77</v>
      </c>
      <c r="F50" s="1">
        <v>116.50700000000001</v>
      </c>
      <c r="G50" s="1">
        <v>173.07900000000001</v>
      </c>
      <c r="H50" s="1">
        <v>165.667</v>
      </c>
      <c r="I50" s="14">
        <f t="shared" si="14"/>
        <v>0.78827511875258149</v>
      </c>
      <c r="O50" s="1">
        <f t="shared" si="18"/>
        <v>5.5</v>
      </c>
      <c r="P50" s="1">
        <v>3.9E-2</v>
      </c>
      <c r="Q50" s="1">
        <v>246.774</v>
      </c>
      <c r="R50" s="1">
        <v>128.64599999999999</v>
      </c>
      <c r="S50" s="1">
        <v>118.129</v>
      </c>
      <c r="T50" s="1">
        <v>178.25399999999999</v>
      </c>
      <c r="U50" s="1">
        <v>167.333</v>
      </c>
      <c r="V50" s="23">
        <f t="shared" si="25"/>
        <v>0.83398333209416753</v>
      </c>
      <c r="AD50" s="1">
        <f t="shared" si="19"/>
        <v>5.5</v>
      </c>
      <c r="AE50" s="1">
        <v>3.9E-2</v>
      </c>
      <c r="AF50" s="1">
        <v>246.95500000000001</v>
      </c>
      <c r="AG50" s="1">
        <v>127.506</v>
      </c>
      <c r="AH50" s="1">
        <v>119.449</v>
      </c>
      <c r="AI50" s="1">
        <v>179.994</v>
      </c>
      <c r="AJ50" s="1">
        <v>169.10499999999999</v>
      </c>
      <c r="AK50" s="14">
        <f t="shared" si="16"/>
        <v>0.83459502936822816</v>
      </c>
    </row>
    <row r="51" spans="1:37" x14ac:dyDescent="0.3">
      <c r="A51" s="1">
        <v>29</v>
      </c>
      <c r="B51" s="1">
        <f t="shared" si="17"/>
        <v>5.4999999999999982</v>
      </c>
      <c r="C51" s="1">
        <v>-0.04</v>
      </c>
      <c r="D51" s="1">
        <v>244.27699999999999</v>
      </c>
      <c r="E51" s="1">
        <v>127.77</v>
      </c>
      <c r="F51" s="1">
        <v>116.50700000000001</v>
      </c>
      <c r="G51" s="1">
        <v>173.07900000000001</v>
      </c>
      <c r="H51" s="1">
        <v>165.667</v>
      </c>
      <c r="I51" s="14">
        <f t="shared" si="14"/>
        <v>0.78827511875258149</v>
      </c>
      <c r="O51" s="1">
        <f t="shared" si="18"/>
        <v>9.4</v>
      </c>
      <c r="P51" s="1">
        <v>3.9E-2</v>
      </c>
      <c r="Q51" s="1">
        <v>246.774</v>
      </c>
      <c r="R51" s="1">
        <v>128.64599999999999</v>
      </c>
      <c r="S51" s="1">
        <v>118.129</v>
      </c>
      <c r="T51" s="1">
        <v>178.25399999999999</v>
      </c>
      <c r="U51" s="1">
        <v>167.333</v>
      </c>
      <c r="V51" s="23">
        <f t="shared" si="25"/>
        <v>0.83398333209416753</v>
      </c>
      <c r="AD51" s="1">
        <f t="shared" si="19"/>
        <v>9.4</v>
      </c>
      <c r="AE51" s="1">
        <v>3.9E-2</v>
      </c>
      <c r="AF51" s="1">
        <v>247.37799999999999</v>
      </c>
      <c r="AG51" s="1">
        <v>129.15299999999999</v>
      </c>
      <c r="AH51" s="1">
        <v>118.22499999999999</v>
      </c>
      <c r="AI51" s="1">
        <v>183.99100000000001</v>
      </c>
      <c r="AJ51" s="1">
        <v>168.846</v>
      </c>
      <c r="AK51" s="14">
        <f t="shared" si="16"/>
        <v>0.83602457603633673</v>
      </c>
    </row>
    <row r="52" spans="1:37" x14ac:dyDescent="0.3">
      <c r="A52" s="1">
        <v>30</v>
      </c>
      <c r="B52" s="1">
        <f t="shared" si="17"/>
        <v>1.4999999999999982</v>
      </c>
      <c r="C52" s="1">
        <v>2.5000000000000001E-2</v>
      </c>
      <c r="D52" s="1">
        <v>243.32599999999999</v>
      </c>
      <c r="E52" s="1">
        <v>127.089</v>
      </c>
      <c r="F52" s="1">
        <v>116.23699999999999</v>
      </c>
      <c r="G52" s="1">
        <v>174.20099999999999</v>
      </c>
      <c r="H52" s="1">
        <v>166.636</v>
      </c>
      <c r="I52" s="14">
        <f t="shared" si="14"/>
        <v>0.78520626807104488</v>
      </c>
      <c r="O52" s="1">
        <f t="shared" si="18"/>
        <v>13.3</v>
      </c>
      <c r="P52" s="1">
        <v>2.3E-2</v>
      </c>
      <c r="Q52" s="1">
        <v>246.774</v>
      </c>
      <c r="R52" s="1">
        <v>128.64599999999999</v>
      </c>
      <c r="S52" s="1">
        <v>118.129</v>
      </c>
      <c r="T52" s="1">
        <v>178.25399999999999</v>
      </c>
      <c r="U52" s="1">
        <v>167.333</v>
      </c>
      <c r="V52" s="23">
        <f t="shared" si="25"/>
        <v>0.83398333209416753</v>
      </c>
      <c r="AD52" s="1">
        <f t="shared" si="19"/>
        <v>13.3</v>
      </c>
      <c r="AE52" s="1">
        <v>2.3E-2</v>
      </c>
      <c r="AF52" s="1">
        <v>247.84299999999999</v>
      </c>
      <c r="AG52" s="1">
        <v>129.22800000000001</v>
      </c>
      <c r="AH52" s="1">
        <v>118.61499999999999</v>
      </c>
      <c r="AI52" s="1">
        <v>181.68199999999999</v>
      </c>
      <c r="AJ52" s="1">
        <v>170.58600000000001</v>
      </c>
      <c r="AK52" s="14">
        <f t="shared" si="16"/>
        <v>0.83759606350837101</v>
      </c>
    </row>
    <row r="53" spans="1:37" x14ac:dyDescent="0.3">
      <c r="A53" s="1">
        <v>31</v>
      </c>
      <c r="B53" s="1">
        <f t="shared" si="17"/>
        <v>3.9999999999999982</v>
      </c>
      <c r="C53" s="1">
        <v>0.04</v>
      </c>
      <c r="D53" s="1">
        <v>242.94800000000001</v>
      </c>
      <c r="E53" s="1">
        <v>126.93300000000001</v>
      </c>
      <c r="F53" s="1">
        <v>116.015</v>
      </c>
      <c r="G53" s="1">
        <v>174.22499999999999</v>
      </c>
      <c r="H53" s="1">
        <v>166.41200000000001</v>
      </c>
      <c r="I53" s="14">
        <f t="shared" si="14"/>
        <v>0.78398647253201148</v>
      </c>
      <c r="O53" s="1">
        <f t="shared" si="18"/>
        <v>15.600000000000001</v>
      </c>
      <c r="P53" s="1">
        <v>-0.04</v>
      </c>
      <c r="Q53" s="1">
        <v>246.774</v>
      </c>
      <c r="R53" s="1">
        <v>128.64599999999999</v>
      </c>
      <c r="S53" s="1">
        <v>118.129</v>
      </c>
      <c r="T53" s="1">
        <v>178.25399999999999</v>
      </c>
      <c r="U53" s="1">
        <v>167.333</v>
      </c>
      <c r="V53" s="23">
        <f t="shared" si="25"/>
        <v>0.83398333209416753</v>
      </c>
      <c r="AD53" s="1">
        <f t="shared" si="19"/>
        <v>15.600000000000001</v>
      </c>
      <c r="AE53" s="1">
        <v>-0.04</v>
      </c>
      <c r="AF53" s="1">
        <v>248.37200000000001</v>
      </c>
      <c r="AG53" s="1">
        <v>128.31800000000001</v>
      </c>
      <c r="AH53" s="1">
        <v>120.054</v>
      </c>
      <c r="AI53" s="1">
        <v>182.85499999999999</v>
      </c>
      <c r="AJ53" s="1">
        <v>170.416</v>
      </c>
      <c r="AK53" s="14">
        <f t="shared" si="16"/>
        <v>0.83938384172924452</v>
      </c>
    </row>
    <row r="54" spans="1:37" x14ac:dyDescent="0.3">
      <c r="A54" s="1">
        <v>32</v>
      </c>
      <c r="B54" s="1">
        <f t="shared" si="17"/>
        <v>7.9999999999999982</v>
      </c>
      <c r="C54" s="1">
        <v>-4.0000000000000001E-3</v>
      </c>
      <c r="D54" s="1">
        <v>242.94800000000001</v>
      </c>
      <c r="E54" s="1">
        <v>126.93300000000001</v>
      </c>
      <c r="F54" s="1">
        <v>116.015</v>
      </c>
      <c r="G54" s="1">
        <v>174.22499999999999</v>
      </c>
      <c r="H54" s="1">
        <v>166.41200000000001</v>
      </c>
      <c r="I54" s="14">
        <f t="shared" si="14"/>
        <v>0.78398647253201148</v>
      </c>
      <c r="O54" s="1">
        <f t="shared" si="18"/>
        <v>11.600000000000001</v>
      </c>
      <c r="P54" s="1">
        <v>-0.04</v>
      </c>
      <c r="Q54" s="1">
        <v>246.047</v>
      </c>
      <c r="R54" s="1">
        <v>127.916</v>
      </c>
      <c r="S54" s="1">
        <v>118.13</v>
      </c>
      <c r="T54" s="1">
        <v>181.05099999999999</v>
      </c>
      <c r="U54" s="1">
        <v>170.45</v>
      </c>
      <c r="V54" s="23">
        <f t="shared" si="15"/>
        <v>0.8315264043690731</v>
      </c>
      <c r="AD54" s="1">
        <f t="shared" si="19"/>
        <v>11.600000000000001</v>
      </c>
      <c r="AE54" s="1">
        <v>-0.04</v>
      </c>
      <c r="AF54" s="1">
        <v>246.047</v>
      </c>
      <c r="AG54" s="1">
        <v>127.916</v>
      </c>
      <c r="AH54" s="1">
        <v>118.13</v>
      </c>
      <c r="AI54" s="1">
        <v>181.05099999999999</v>
      </c>
      <c r="AJ54" s="1">
        <v>170.45</v>
      </c>
      <c r="AK54" s="14">
        <f t="shared" si="16"/>
        <v>0.8315264043690731</v>
      </c>
    </row>
    <row r="55" spans="1:37" x14ac:dyDescent="0.3">
      <c r="A55" s="1">
        <v>33</v>
      </c>
      <c r="B55" s="1">
        <f t="shared" si="17"/>
        <v>7.5999999999999979</v>
      </c>
      <c r="C55" s="1">
        <v>0.04</v>
      </c>
      <c r="D55" s="1">
        <v>242.71</v>
      </c>
      <c r="E55" s="1">
        <v>126.86799999999999</v>
      </c>
      <c r="F55" s="1">
        <v>115.842</v>
      </c>
      <c r="G55" s="1">
        <v>174.249</v>
      </c>
      <c r="H55" s="1">
        <v>166.68600000000001</v>
      </c>
      <c r="I55" s="14">
        <f t="shared" si="14"/>
        <v>0.78321845311854599</v>
      </c>
      <c r="O55" s="1">
        <f t="shared" si="18"/>
        <v>7.6000000000000014</v>
      </c>
      <c r="P55" s="1">
        <v>0.04</v>
      </c>
      <c r="Q55" s="1">
        <v>245.17599999999999</v>
      </c>
      <c r="R55" s="1">
        <v>127.501</v>
      </c>
      <c r="S55" s="1">
        <v>117.675</v>
      </c>
      <c r="T55" s="1">
        <v>183.797</v>
      </c>
      <c r="U55" s="1">
        <v>173.196</v>
      </c>
      <c r="V55" s="23">
        <f t="shared" si="15"/>
        <v>0.82858282245909054</v>
      </c>
      <c r="AD55" s="1">
        <f t="shared" si="19"/>
        <v>7.6000000000000014</v>
      </c>
      <c r="AE55" s="1">
        <v>0.04</v>
      </c>
      <c r="AF55" s="1">
        <v>245.17599999999999</v>
      </c>
      <c r="AG55" s="1">
        <v>127.501</v>
      </c>
      <c r="AH55" s="1">
        <v>117.675</v>
      </c>
      <c r="AI55" s="1">
        <v>183.797</v>
      </c>
      <c r="AJ55" s="1">
        <v>173.196</v>
      </c>
      <c r="AK55" s="14">
        <f t="shared" si="16"/>
        <v>0.82858282245909054</v>
      </c>
    </row>
    <row r="56" spans="1:37" x14ac:dyDescent="0.3">
      <c r="A56" s="1">
        <v>34</v>
      </c>
      <c r="B56" s="1">
        <f t="shared" si="17"/>
        <v>11.599999999999998</v>
      </c>
      <c r="C56" s="1">
        <v>0.04</v>
      </c>
      <c r="D56" s="1">
        <v>242.71</v>
      </c>
      <c r="E56" s="1">
        <v>126.86799999999999</v>
      </c>
      <c r="F56" s="1">
        <v>115.842</v>
      </c>
      <c r="G56" s="1">
        <v>174.249</v>
      </c>
      <c r="H56" s="1">
        <v>166.68600000000001</v>
      </c>
      <c r="I56" s="14">
        <f t="shared" si="14"/>
        <v>0.78321845311854599</v>
      </c>
      <c r="O56" s="1">
        <f t="shared" si="18"/>
        <v>11.600000000000001</v>
      </c>
      <c r="P56" s="1">
        <v>0.04</v>
      </c>
      <c r="Q56" s="1">
        <v>245.17599999999999</v>
      </c>
      <c r="R56" s="1">
        <v>127.501</v>
      </c>
      <c r="S56" s="1">
        <v>117.675</v>
      </c>
      <c r="T56" s="1">
        <v>183.797</v>
      </c>
      <c r="U56" s="1">
        <v>173.196</v>
      </c>
      <c r="V56" s="23">
        <f t="shared" si="15"/>
        <v>0.82858282245909054</v>
      </c>
      <c r="AD56" s="1">
        <f t="shared" si="19"/>
        <v>11.600000000000001</v>
      </c>
      <c r="AE56" s="1">
        <v>0.04</v>
      </c>
      <c r="AF56" s="1">
        <v>245.17599999999999</v>
      </c>
      <c r="AG56" s="1">
        <v>127.501</v>
      </c>
      <c r="AH56" s="1">
        <v>117.675</v>
      </c>
      <c r="AI56" s="1">
        <v>183.797</v>
      </c>
      <c r="AJ56" s="1">
        <v>173.196</v>
      </c>
      <c r="AK56" s="14">
        <f t="shared" si="16"/>
        <v>0.82858282245909054</v>
      </c>
    </row>
    <row r="57" spans="1:37" x14ac:dyDescent="0.3">
      <c r="A57" s="1">
        <v>35</v>
      </c>
      <c r="B57" s="1">
        <f t="shared" si="17"/>
        <v>15.599999999999998</v>
      </c>
      <c r="C57" s="1">
        <v>0.04</v>
      </c>
      <c r="D57" s="1">
        <v>242.71</v>
      </c>
      <c r="E57" s="1">
        <v>126.86799999999999</v>
      </c>
      <c r="F57" s="1">
        <v>115.842</v>
      </c>
      <c r="G57" s="1">
        <v>174.249</v>
      </c>
      <c r="H57" s="1">
        <v>166.68600000000001</v>
      </c>
      <c r="I57" s="14">
        <f t="shared" si="14"/>
        <v>0.78321845311854599</v>
      </c>
      <c r="J57" s="11">
        <f>D57-B4</f>
        <v>-67.178000000000026</v>
      </c>
      <c r="K57" s="12">
        <f>J57/B4</f>
        <v>-0.21678154688145401</v>
      </c>
      <c r="L57" s="1">
        <f>E57/G8-1</f>
        <v>-0.20492332374488464</v>
      </c>
      <c r="M57" s="1">
        <f>F57/H8-1</f>
        <v>-0.22936915001895941</v>
      </c>
      <c r="O57" s="1">
        <f t="shared" si="18"/>
        <v>15.600000000000001</v>
      </c>
      <c r="P57" s="1">
        <v>0.04</v>
      </c>
      <c r="Q57" s="1">
        <v>245.17599999999999</v>
      </c>
      <c r="R57" s="1">
        <v>127.501</v>
      </c>
      <c r="S57" s="1">
        <v>117.675</v>
      </c>
      <c r="T57" s="1">
        <v>183.797</v>
      </c>
      <c r="U57" s="1">
        <v>173.196</v>
      </c>
      <c r="V57" s="23">
        <f t="shared" si="15"/>
        <v>0.82858282245909054</v>
      </c>
      <c r="W57" s="1">
        <f>R57/T22-1</f>
        <v>-0.15133987406648119</v>
      </c>
      <c r="X57" s="1">
        <f>S57/U22-1</f>
        <v>-0.19212549773445009</v>
      </c>
      <c r="Y57" s="11">
        <f>Q57-O4</f>
        <v>-50.722000000000037</v>
      </c>
      <c r="Z57" s="1">
        <f>Q57/O4-1</f>
        <v>-0.17141717754090946</v>
      </c>
      <c r="AD57" s="1">
        <f t="shared" si="19"/>
        <v>15.600000000000001</v>
      </c>
      <c r="AE57" s="1">
        <v>0.04</v>
      </c>
      <c r="AF57" s="1">
        <v>245.17599999999999</v>
      </c>
      <c r="AG57" s="1">
        <v>127.501</v>
      </c>
      <c r="AH57" s="1">
        <v>117.675</v>
      </c>
      <c r="AI57" s="1">
        <v>183.797</v>
      </c>
      <c r="AJ57" s="1">
        <v>173.196</v>
      </c>
      <c r="AK57" s="14">
        <f t="shared" si="16"/>
        <v>0.82858282245909054</v>
      </c>
    </row>
    <row r="58" spans="1:37" x14ac:dyDescent="0.3">
      <c r="A58" s="1">
        <v>36</v>
      </c>
      <c r="B58" s="1">
        <f t="shared" si="17"/>
        <v>19.599999999999998</v>
      </c>
      <c r="I58" s="14"/>
      <c r="O58" s="1">
        <f t="shared" si="18"/>
        <v>19.600000000000001</v>
      </c>
      <c r="V58" s="14"/>
      <c r="AD58" s="1">
        <f t="shared" si="19"/>
        <v>19.600000000000001</v>
      </c>
      <c r="AK58" s="14"/>
    </row>
    <row r="61" spans="1:37" ht="14.5" thickBot="1" x14ac:dyDescent="0.35"/>
    <row r="62" spans="1:37" ht="14.5" thickTop="1" x14ac:dyDescent="0.3">
      <c r="C62" s="47" t="s">
        <v>0</v>
      </c>
      <c r="D62" s="3" t="s">
        <v>1</v>
      </c>
      <c r="E62" s="3" t="s">
        <v>2</v>
      </c>
      <c r="F62" s="3" t="s">
        <v>3</v>
      </c>
      <c r="G62" s="47" t="s">
        <v>4</v>
      </c>
      <c r="H62" s="47" t="s">
        <v>0</v>
      </c>
      <c r="I62" s="3" t="s">
        <v>1</v>
      </c>
      <c r="J62" s="3" t="s">
        <v>2</v>
      </c>
      <c r="K62" s="3" t="s">
        <v>3</v>
      </c>
      <c r="L62" s="47" t="s">
        <v>4</v>
      </c>
      <c r="P62" s="47" t="s">
        <v>0</v>
      </c>
      <c r="Q62" s="3" t="s">
        <v>1</v>
      </c>
      <c r="R62" s="3" t="s">
        <v>2</v>
      </c>
      <c r="S62" s="3" t="s">
        <v>3</v>
      </c>
      <c r="T62" s="47" t="s">
        <v>4</v>
      </c>
      <c r="U62" s="47" t="s">
        <v>0</v>
      </c>
      <c r="V62" s="3" t="s">
        <v>1</v>
      </c>
      <c r="W62" s="3" t="s">
        <v>2</v>
      </c>
      <c r="X62" s="3" t="s">
        <v>3</v>
      </c>
      <c r="Y62" s="47" t="s">
        <v>4</v>
      </c>
    </row>
    <row r="63" spans="1:37" ht="14.5" thickBot="1" x14ac:dyDescent="0.35">
      <c r="C63" s="48"/>
      <c r="D63" s="4" t="s">
        <v>5</v>
      </c>
      <c r="E63" s="4" t="s">
        <v>5</v>
      </c>
      <c r="F63" s="4" t="s">
        <v>5</v>
      </c>
      <c r="G63" s="48"/>
      <c r="H63" s="48"/>
      <c r="I63" s="4" t="s">
        <v>5</v>
      </c>
      <c r="J63" s="4" t="s">
        <v>5</v>
      </c>
      <c r="K63" s="4" t="s">
        <v>5</v>
      </c>
      <c r="L63" s="48"/>
      <c r="P63" s="48"/>
      <c r="Q63" s="4" t="s">
        <v>5</v>
      </c>
      <c r="R63" s="4" t="s">
        <v>5</v>
      </c>
      <c r="S63" s="4" t="s">
        <v>5</v>
      </c>
      <c r="T63" s="48"/>
      <c r="U63" s="48"/>
      <c r="V63" s="4" t="s">
        <v>5</v>
      </c>
      <c r="W63" s="4" t="s">
        <v>5</v>
      </c>
      <c r="X63" s="4" t="s">
        <v>5</v>
      </c>
      <c r="Y63" s="48"/>
    </row>
    <row r="64" spans="1:37" x14ac:dyDescent="0.3">
      <c r="C64" s="18">
        <v>0</v>
      </c>
      <c r="D64" s="6">
        <f>E22</f>
        <v>159.56700000000001</v>
      </c>
      <c r="E64" s="6">
        <f>F22</f>
        <v>149.34100000000001</v>
      </c>
      <c r="F64" s="6">
        <f>D22</f>
        <v>308.90800000000002</v>
      </c>
      <c r="G64" s="6">
        <f>F64/$B$4</f>
        <v>0.99683756712102434</v>
      </c>
      <c r="H64" s="18">
        <v>18</v>
      </c>
      <c r="I64" s="6">
        <f>E40</f>
        <v>134.04300000000001</v>
      </c>
      <c r="J64" s="6">
        <f>F40</f>
        <v>122.294</v>
      </c>
      <c r="K64" s="6">
        <f>D40</f>
        <v>256.33699999999999</v>
      </c>
      <c r="L64" s="6">
        <f>K64/$B$4</f>
        <v>0.82719240499793456</v>
      </c>
      <c r="P64" s="18">
        <v>0</v>
      </c>
      <c r="Q64" s="6">
        <f>R22</f>
        <v>150.238</v>
      </c>
      <c r="R64" s="6">
        <f>S22</f>
        <v>144.86600000000001</v>
      </c>
      <c r="S64" s="6">
        <f>Q22</f>
        <v>295.10399999999998</v>
      </c>
      <c r="T64" s="6">
        <f>S64/$O$4</f>
        <v>0.99731664289721444</v>
      </c>
      <c r="U64" s="18">
        <v>18</v>
      </c>
      <c r="V64" s="6">
        <f>R40</f>
        <v>129.059</v>
      </c>
      <c r="W64" s="6">
        <f>S40</f>
        <v>120.878</v>
      </c>
      <c r="X64" s="6">
        <f>Q40</f>
        <v>249.93700000000001</v>
      </c>
      <c r="Y64" s="6">
        <f>X64/$O$4</f>
        <v>0.8446728264469513</v>
      </c>
    </row>
    <row r="65" spans="3:25" x14ac:dyDescent="0.3">
      <c r="C65" s="18">
        <v>1</v>
      </c>
      <c r="D65" s="6">
        <f t="shared" ref="D65:E65" si="26">E23</f>
        <v>140.88200000000001</v>
      </c>
      <c r="E65" s="6">
        <f t="shared" si="26"/>
        <v>129.624</v>
      </c>
      <c r="F65" s="6">
        <f t="shared" ref="F65:F81" si="27">D23</f>
        <v>270.50599999999997</v>
      </c>
      <c r="G65" s="6">
        <f t="shared" ref="G65:G81" si="28">F65/$B$4</f>
        <v>0.87291537587773627</v>
      </c>
      <c r="H65" s="18">
        <v>19</v>
      </c>
      <c r="I65" s="6">
        <f t="shared" ref="I65:J65" si="29">E41</f>
        <v>133.84100000000001</v>
      </c>
      <c r="J65" s="6">
        <f t="shared" si="29"/>
        <v>119.258</v>
      </c>
      <c r="K65" s="6">
        <f t="shared" ref="K65:K81" si="30">D41</f>
        <v>253.09899999999999</v>
      </c>
      <c r="L65" s="6">
        <f t="shared" ref="L65:L81" si="31">K65/$B$4</f>
        <v>0.81674346860801306</v>
      </c>
      <c r="P65" s="18">
        <v>1</v>
      </c>
      <c r="Q65" s="6">
        <f t="shared" ref="Q65:R65" si="32">R23</f>
        <v>136.898</v>
      </c>
      <c r="R65" s="6">
        <f t="shared" si="32"/>
        <v>127.319</v>
      </c>
      <c r="S65" s="6">
        <f t="shared" ref="S65:S81" si="33">Q23</f>
        <v>264.21699999999998</v>
      </c>
      <c r="T65" s="6">
        <f t="shared" ref="T65:T81" si="34">S65/$O$4</f>
        <v>0.89293269978168144</v>
      </c>
      <c r="U65" s="18">
        <v>19</v>
      </c>
      <c r="V65" s="6">
        <f t="shared" ref="V65:V81" si="35">R41</f>
        <v>128.64599999999999</v>
      </c>
      <c r="W65" s="6">
        <f t="shared" ref="W65:W81" si="36">S41</f>
        <v>118.129</v>
      </c>
      <c r="X65" s="6">
        <f t="shared" ref="X65:X81" si="37">Q41</f>
        <v>246.774</v>
      </c>
      <c r="Y65" s="6">
        <f t="shared" ref="Y65:Y81" si="38">X65/$O$4</f>
        <v>0.83398333209416753</v>
      </c>
    </row>
    <row r="66" spans="3:25" x14ac:dyDescent="0.3">
      <c r="C66" s="18">
        <v>2</v>
      </c>
      <c r="D66" s="6">
        <f t="shared" ref="D66:E66" si="39">E24</f>
        <v>139.66300000000001</v>
      </c>
      <c r="E66" s="6">
        <f t="shared" si="39"/>
        <v>126.88</v>
      </c>
      <c r="F66" s="6">
        <f t="shared" si="27"/>
        <v>266.54300000000001</v>
      </c>
      <c r="G66" s="6">
        <f t="shared" si="28"/>
        <v>0.86012688455183806</v>
      </c>
      <c r="H66" s="18">
        <v>20</v>
      </c>
      <c r="I66" s="6">
        <f t="shared" ref="I66:J66" si="40">E42</f>
        <v>132.35900000000001</v>
      </c>
      <c r="J66" s="6">
        <f t="shared" si="40"/>
        <v>119.20699999999999</v>
      </c>
      <c r="K66" s="6">
        <f t="shared" si="30"/>
        <v>251.566</v>
      </c>
      <c r="L66" s="6">
        <f t="shared" si="31"/>
        <v>0.81179652003304414</v>
      </c>
      <c r="P66" s="18">
        <v>2</v>
      </c>
      <c r="Q66" s="6">
        <f t="shared" ref="Q66:R66" si="41">R24</f>
        <v>134.73500000000001</v>
      </c>
      <c r="R66" s="6">
        <f t="shared" si="41"/>
        <v>124.15300000000001</v>
      </c>
      <c r="S66" s="6">
        <f t="shared" si="33"/>
        <v>258.88799999999998</v>
      </c>
      <c r="T66" s="6">
        <f t="shared" si="34"/>
        <v>0.87492311539787349</v>
      </c>
      <c r="U66" s="18">
        <v>20</v>
      </c>
      <c r="V66" s="6">
        <f t="shared" si="35"/>
        <v>128.64599999999999</v>
      </c>
      <c r="W66" s="6">
        <f t="shared" si="36"/>
        <v>118.129</v>
      </c>
      <c r="X66" s="6">
        <f t="shared" si="37"/>
        <v>246.774</v>
      </c>
      <c r="Y66" s="6">
        <f t="shared" si="38"/>
        <v>0.83398333209416753</v>
      </c>
    </row>
    <row r="67" spans="3:25" x14ac:dyDescent="0.3">
      <c r="C67" s="18">
        <v>3</v>
      </c>
      <c r="D67" s="6">
        <f t="shared" ref="D67:E67" si="42">E25</f>
        <v>139.47999999999999</v>
      </c>
      <c r="E67" s="6">
        <f t="shared" si="42"/>
        <v>125.96899999999999</v>
      </c>
      <c r="F67" s="6">
        <f t="shared" si="27"/>
        <v>265.44900000000001</v>
      </c>
      <c r="G67" s="6">
        <f t="shared" si="28"/>
        <v>0.85659657682775703</v>
      </c>
      <c r="H67" s="18">
        <v>21</v>
      </c>
      <c r="I67" s="6">
        <f t="shared" ref="I67:J67" si="43">E43</f>
        <v>132.35900000000001</v>
      </c>
      <c r="J67" s="6">
        <f t="shared" si="43"/>
        <v>119.20699999999999</v>
      </c>
      <c r="K67" s="6">
        <f t="shared" si="30"/>
        <v>251.566</v>
      </c>
      <c r="L67" s="6">
        <f t="shared" si="31"/>
        <v>0.81179652003304414</v>
      </c>
      <c r="P67" s="18">
        <v>3</v>
      </c>
      <c r="Q67" s="6">
        <f t="shared" ref="Q67:R67" si="44">R25</f>
        <v>133.04</v>
      </c>
      <c r="R67" s="6">
        <f t="shared" si="44"/>
        <v>125.48</v>
      </c>
      <c r="S67" s="6">
        <f t="shared" si="33"/>
        <v>258.52100000000002</v>
      </c>
      <c r="T67" s="6">
        <f t="shared" si="34"/>
        <v>0.87368282313499923</v>
      </c>
      <c r="U67" s="18">
        <v>21</v>
      </c>
      <c r="V67" s="6">
        <f t="shared" si="35"/>
        <v>128.64599999999999</v>
      </c>
      <c r="W67" s="6">
        <f t="shared" si="36"/>
        <v>118.129</v>
      </c>
      <c r="X67" s="6">
        <f t="shared" si="37"/>
        <v>246.774</v>
      </c>
      <c r="Y67" s="6">
        <f t="shared" si="38"/>
        <v>0.83398333209416753</v>
      </c>
    </row>
    <row r="68" spans="3:25" x14ac:dyDescent="0.3">
      <c r="C68" s="18">
        <v>4</v>
      </c>
      <c r="D68" s="6">
        <f t="shared" ref="D68:E68" si="45">E26</f>
        <v>139.47999999999999</v>
      </c>
      <c r="E68" s="6">
        <f t="shared" si="45"/>
        <v>125.96899999999999</v>
      </c>
      <c r="F68" s="6">
        <f t="shared" si="27"/>
        <v>265.44900000000001</v>
      </c>
      <c r="G68" s="6">
        <f t="shared" si="28"/>
        <v>0.85659657682775703</v>
      </c>
      <c r="H68" s="18">
        <v>22</v>
      </c>
      <c r="I68" s="6">
        <f t="shared" ref="I68:J68" si="46">E44</f>
        <v>130.989</v>
      </c>
      <c r="J68" s="6">
        <f t="shared" si="46"/>
        <v>118.816</v>
      </c>
      <c r="K68" s="6">
        <f t="shared" si="30"/>
        <v>249.80500000000001</v>
      </c>
      <c r="L68" s="6">
        <f t="shared" si="31"/>
        <v>0.8061138217678645</v>
      </c>
      <c r="P68" s="18">
        <v>4</v>
      </c>
      <c r="Q68" s="6">
        <f t="shared" ref="Q68:R68" si="47">R26</f>
        <v>133.202</v>
      </c>
      <c r="R68" s="6">
        <f t="shared" si="47"/>
        <v>124.35299999999999</v>
      </c>
      <c r="S68" s="6">
        <f t="shared" si="33"/>
        <v>257.55500000000001</v>
      </c>
      <c r="T68" s="6">
        <f t="shared" si="34"/>
        <v>0.87041818464470855</v>
      </c>
      <c r="U68" s="18">
        <v>22</v>
      </c>
      <c r="V68" s="6">
        <f t="shared" si="35"/>
        <v>128.64599999999999</v>
      </c>
      <c r="W68" s="6">
        <f t="shared" si="36"/>
        <v>118.129</v>
      </c>
      <c r="X68" s="6">
        <f t="shared" si="37"/>
        <v>246.774</v>
      </c>
      <c r="Y68" s="6">
        <f t="shared" si="38"/>
        <v>0.83398333209416753</v>
      </c>
    </row>
    <row r="69" spans="3:25" x14ac:dyDescent="0.3">
      <c r="C69" s="18">
        <v>5</v>
      </c>
      <c r="D69" s="6">
        <f t="shared" ref="D69:E69" si="48">E27</f>
        <v>137.667</v>
      </c>
      <c r="E69" s="6">
        <f t="shared" si="48"/>
        <v>125.964</v>
      </c>
      <c r="F69" s="6">
        <f t="shared" si="27"/>
        <v>263.63</v>
      </c>
      <c r="G69" s="6">
        <f t="shared" si="28"/>
        <v>0.85072671416769918</v>
      </c>
      <c r="H69" s="18">
        <v>23</v>
      </c>
      <c r="I69" s="6">
        <f t="shared" ref="I69:J69" si="49">E45</f>
        <v>131.471</v>
      </c>
      <c r="J69" s="6">
        <f t="shared" si="49"/>
        <v>117.60299999999999</v>
      </c>
      <c r="K69" s="6">
        <f t="shared" si="30"/>
        <v>249.07499999999999</v>
      </c>
      <c r="L69" s="6">
        <f t="shared" si="31"/>
        <v>0.80375813197026014</v>
      </c>
      <c r="P69" s="18">
        <v>5</v>
      </c>
      <c r="Q69" s="6">
        <f t="shared" ref="Q69:R69" si="50">R27</f>
        <v>133.202</v>
      </c>
      <c r="R69" s="6">
        <f t="shared" si="50"/>
        <v>124.35299999999999</v>
      </c>
      <c r="S69" s="6">
        <f t="shared" si="33"/>
        <v>257.55500000000001</v>
      </c>
      <c r="T69" s="6">
        <f t="shared" si="34"/>
        <v>0.87041818464470855</v>
      </c>
      <c r="U69" s="18">
        <v>23</v>
      </c>
      <c r="V69" s="6">
        <f t="shared" si="35"/>
        <v>128.64599999999999</v>
      </c>
      <c r="W69" s="6">
        <f t="shared" si="36"/>
        <v>118.129</v>
      </c>
      <c r="X69" s="6">
        <f t="shared" si="37"/>
        <v>246.774</v>
      </c>
      <c r="Y69" s="6">
        <f t="shared" si="38"/>
        <v>0.83398333209416753</v>
      </c>
    </row>
    <row r="70" spans="3:25" x14ac:dyDescent="0.3">
      <c r="C70" s="18">
        <v>6</v>
      </c>
      <c r="D70" s="6">
        <f t="shared" ref="D70:E70" si="51">E28</f>
        <v>137.75800000000001</v>
      </c>
      <c r="E70" s="6">
        <f t="shared" si="51"/>
        <v>124.848</v>
      </c>
      <c r="F70" s="6">
        <f t="shared" si="27"/>
        <v>262.60599999999999</v>
      </c>
      <c r="G70" s="6">
        <f t="shared" si="28"/>
        <v>0.84742229450640216</v>
      </c>
      <c r="H70" s="18">
        <v>24</v>
      </c>
      <c r="I70" s="6">
        <f t="shared" ref="I70:J70" si="52">E46</f>
        <v>130.15799999999999</v>
      </c>
      <c r="J70" s="6">
        <f t="shared" si="52"/>
        <v>117.339</v>
      </c>
      <c r="K70" s="6">
        <f t="shared" si="30"/>
        <v>247.49700000000001</v>
      </c>
      <c r="L70" s="6">
        <f t="shared" si="31"/>
        <v>0.79866596964064429</v>
      </c>
      <c r="P70" s="18">
        <v>6</v>
      </c>
      <c r="Q70" s="6">
        <f t="shared" ref="Q70:R70" si="53">R28</f>
        <v>132.11799999999999</v>
      </c>
      <c r="R70" s="6">
        <f t="shared" si="53"/>
        <v>123.413</v>
      </c>
      <c r="S70" s="6">
        <f t="shared" si="33"/>
        <v>255.53100000000001</v>
      </c>
      <c r="T70" s="6">
        <f t="shared" si="34"/>
        <v>0.86357798971267119</v>
      </c>
      <c r="U70" s="18">
        <v>24</v>
      </c>
      <c r="V70" s="6">
        <f t="shared" si="35"/>
        <v>128.64599999999999</v>
      </c>
      <c r="W70" s="6">
        <f t="shared" si="36"/>
        <v>118.129</v>
      </c>
      <c r="X70" s="6">
        <f t="shared" si="37"/>
        <v>246.774</v>
      </c>
      <c r="Y70" s="6">
        <f t="shared" si="38"/>
        <v>0.83398333209416753</v>
      </c>
    </row>
    <row r="71" spans="3:25" x14ac:dyDescent="0.3">
      <c r="C71" s="18">
        <v>7</v>
      </c>
      <c r="D71" s="6">
        <f t="shared" ref="D71:E71" si="54">E29</f>
        <v>137.75800000000001</v>
      </c>
      <c r="E71" s="6">
        <f t="shared" si="54"/>
        <v>124.848</v>
      </c>
      <c r="F71" s="6">
        <f t="shared" si="27"/>
        <v>262.60599999999999</v>
      </c>
      <c r="G71" s="6">
        <f t="shared" si="28"/>
        <v>0.84742229450640216</v>
      </c>
      <c r="H71" s="18">
        <v>25</v>
      </c>
      <c r="I71" s="6">
        <f t="shared" ref="I71:J71" si="55">E47</f>
        <v>129.72300000000001</v>
      </c>
      <c r="J71" s="6">
        <f t="shared" si="55"/>
        <v>117.208</v>
      </c>
      <c r="K71" s="6">
        <f t="shared" si="30"/>
        <v>246.93100000000001</v>
      </c>
      <c r="L71" s="6">
        <f t="shared" si="31"/>
        <v>0.79683950330441966</v>
      </c>
      <c r="P71" s="18">
        <v>7</v>
      </c>
      <c r="Q71" s="6">
        <f t="shared" ref="Q71:R71" si="56">R29</f>
        <v>132.06100000000001</v>
      </c>
      <c r="R71" s="6">
        <f t="shared" si="56"/>
        <v>123.054</v>
      </c>
      <c r="S71" s="6">
        <f t="shared" si="33"/>
        <v>255.11500000000001</v>
      </c>
      <c r="T71" s="6">
        <f t="shared" si="34"/>
        <v>0.86217209984521692</v>
      </c>
      <c r="U71" s="18">
        <v>25</v>
      </c>
      <c r="V71" s="6">
        <f t="shared" si="35"/>
        <v>128.64599999999999</v>
      </c>
      <c r="W71" s="6">
        <f t="shared" si="36"/>
        <v>118.129</v>
      </c>
      <c r="X71" s="6">
        <f t="shared" si="37"/>
        <v>246.774</v>
      </c>
      <c r="Y71" s="6">
        <f t="shared" si="38"/>
        <v>0.83398333209416753</v>
      </c>
    </row>
    <row r="72" spans="3:25" x14ac:dyDescent="0.3">
      <c r="C72" s="18">
        <v>8</v>
      </c>
      <c r="D72" s="6">
        <f t="shared" ref="D72:E72" si="57">E30</f>
        <v>137.75800000000001</v>
      </c>
      <c r="E72" s="6">
        <f t="shared" si="57"/>
        <v>124.848</v>
      </c>
      <c r="F72" s="6">
        <f t="shared" si="27"/>
        <v>262.60599999999999</v>
      </c>
      <c r="G72" s="6">
        <f t="shared" si="28"/>
        <v>0.84742229450640216</v>
      </c>
      <c r="H72" s="18">
        <v>26</v>
      </c>
      <c r="I72" s="6">
        <f t="shared" ref="I72:J72" si="58">E48</f>
        <v>127.855</v>
      </c>
      <c r="J72" s="6">
        <f t="shared" si="58"/>
        <v>117.85</v>
      </c>
      <c r="K72" s="6">
        <f t="shared" si="30"/>
        <v>245.70500000000001</v>
      </c>
      <c r="L72" s="6">
        <f t="shared" si="31"/>
        <v>0.79288323523337456</v>
      </c>
      <c r="P72" s="18">
        <v>8</v>
      </c>
      <c r="Q72" s="6">
        <f t="shared" ref="Q72:R72" si="59">R30</f>
        <v>132.06100000000001</v>
      </c>
      <c r="R72" s="6">
        <f t="shared" si="59"/>
        <v>123.054</v>
      </c>
      <c r="S72" s="6">
        <f t="shared" si="33"/>
        <v>255.11500000000001</v>
      </c>
      <c r="T72" s="6">
        <f t="shared" si="34"/>
        <v>0.86217209984521692</v>
      </c>
      <c r="U72" s="18">
        <v>26</v>
      </c>
      <c r="V72" s="6">
        <f t="shared" si="35"/>
        <v>128.64599999999999</v>
      </c>
      <c r="W72" s="6">
        <f t="shared" si="36"/>
        <v>118.129</v>
      </c>
      <c r="X72" s="6">
        <f t="shared" si="37"/>
        <v>246.774</v>
      </c>
      <c r="Y72" s="6">
        <f t="shared" si="38"/>
        <v>0.83398333209416753</v>
      </c>
    </row>
    <row r="73" spans="3:25" x14ac:dyDescent="0.3">
      <c r="C73" s="18">
        <v>9</v>
      </c>
      <c r="D73" s="6">
        <f t="shared" ref="D73:E73" si="60">E31</f>
        <v>137.75800000000001</v>
      </c>
      <c r="E73" s="6">
        <f t="shared" si="60"/>
        <v>124.848</v>
      </c>
      <c r="F73" s="6">
        <f t="shared" si="27"/>
        <v>262.60599999999999</v>
      </c>
      <c r="G73" s="6">
        <f t="shared" si="28"/>
        <v>0.84742229450640216</v>
      </c>
      <c r="H73" s="18">
        <v>27</v>
      </c>
      <c r="I73" s="6">
        <f t="shared" ref="I73:J73" si="61">E49</f>
        <v>127.855</v>
      </c>
      <c r="J73" s="6">
        <f t="shared" si="61"/>
        <v>117.85</v>
      </c>
      <c r="K73" s="6">
        <f t="shared" si="30"/>
        <v>245.70500000000001</v>
      </c>
      <c r="L73" s="6">
        <f t="shared" si="31"/>
        <v>0.79288323523337456</v>
      </c>
      <c r="P73" s="18">
        <v>9</v>
      </c>
      <c r="Q73" s="6">
        <f t="shared" ref="Q73:R73" si="62">R31</f>
        <v>131.161</v>
      </c>
      <c r="R73" s="6">
        <f t="shared" si="62"/>
        <v>122.236</v>
      </c>
      <c r="S73" s="6">
        <f t="shared" si="33"/>
        <v>253.39699999999999</v>
      </c>
      <c r="T73" s="6">
        <f t="shared" si="34"/>
        <v>0.8563660450560665</v>
      </c>
      <c r="U73" s="18">
        <v>27</v>
      </c>
      <c r="V73" s="6">
        <f t="shared" si="35"/>
        <v>128.64599999999999</v>
      </c>
      <c r="W73" s="6">
        <f t="shared" si="36"/>
        <v>118.129</v>
      </c>
      <c r="X73" s="6">
        <f t="shared" si="37"/>
        <v>246.774</v>
      </c>
      <c r="Y73" s="6">
        <f t="shared" si="38"/>
        <v>0.83398333209416753</v>
      </c>
    </row>
    <row r="74" spans="3:25" x14ac:dyDescent="0.3">
      <c r="C74" s="18">
        <v>10</v>
      </c>
      <c r="D74" s="6">
        <f t="shared" ref="D74:E74" si="63">E32</f>
        <v>137.75800000000001</v>
      </c>
      <c r="E74" s="6">
        <f t="shared" si="63"/>
        <v>124.848</v>
      </c>
      <c r="F74" s="6">
        <f t="shared" si="27"/>
        <v>262.60599999999999</v>
      </c>
      <c r="G74" s="6">
        <f t="shared" si="28"/>
        <v>0.84742229450640216</v>
      </c>
      <c r="H74" s="18">
        <v>28</v>
      </c>
      <c r="I74" s="6">
        <f t="shared" ref="I74:J74" si="64">E50</f>
        <v>127.77</v>
      </c>
      <c r="J74" s="6">
        <f t="shared" si="64"/>
        <v>116.50700000000001</v>
      </c>
      <c r="K74" s="6">
        <f t="shared" si="30"/>
        <v>244.27699999999999</v>
      </c>
      <c r="L74" s="6">
        <f t="shared" si="31"/>
        <v>0.78827511875258149</v>
      </c>
      <c r="P74" s="18">
        <v>10</v>
      </c>
      <c r="Q74" s="6">
        <f t="shared" ref="Q74:R74" si="65">R32</f>
        <v>130.57</v>
      </c>
      <c r="R74" s="6">
        <f t="shared" si="65"/>
        <v>122.357</v>
      </c>
      <c r="S74" s="6">
        <f t="shared" si="33"/>
        <v>252.92699999999999</v>
      </c>
      <c r="T74" s="6">
        <f t="shared" si="34"/>
        <v>0.85477765986927923</v>
      </c>
      <c r="U74" s="18">
        <v>28</v>
      </c>
      <c r="V74" s="6">
        <f t="shared" si="35"/>
        <v>128.64599999999999</v>
      </c>
      <c r="W74" s="6">
        <f t="shared" si="36"/>
        <v>118.129</v>
      </c>
      <c r="X74" s="6">
        <f t="shared" si="37"/>
        <v>246.774</v>
      </c>
      <c r="Y74" s="6">
        <f t="shared" si="38"/>
        <v>0.83398333209416753</v>
      </c>
    </row>
    <row r="75" spans="3:25" x14ac:dyDescent="0.3">
      <c r="C75" s="18">
        <v>11</v>
      </c>
      <c r="D75" s="6">
        <f t="shared" ref="D75:E75" si="66">E33</f>
        <v>135.88800000000001</v>
      </c>
      <c r="E75" s="6">
        <f t="shared" si="66"/>
        <v>126.389</v>
      </c>
      <c r="F75" s="6">
        <f t="shared" si="27"/>
        <v>262.27699999999999</v>
      </c>
      <c r="G75" s="6">
        <f t="shared" si="28"/>
        <v>0.84636062061131745</v>
      </c>
      <c r="H75" s="18">
        <v>29</v>
      </c>
      <c r="I75" s="6">
        <f t="shared" ref="I75:J75" si="67">E51</f>
        <v>127.77</v>
      </c>
      <c r="J75" s="6">
        <f t="shared" si="67"/>
        <v>116.50700000000001</v>
      </c>
      <c r="K75" s="6">
        <f t="shared" si="30"/>
        <v>244.27699999999999</v>
      </c>
      <c r="L75" s="6">
        <f t="shared" si="31"/>
        <v>0.78827511875258149</v>
      </c>
      <c r="P75" s="18">
        <v>11</v>
      </c>
      <c r="Q75" s="6">
        <f t="shared" ref="Q75:R75" si="68">R33</f>
        <v>130.68100000000001</v>
      </c>
      <c r="R75" s="6">
        <f t="shared" si="68"/>
        <v>121.333</v>
      </c>
      <c r="S75" s="6">
        <f t="shared" si="33"/>
        <v>252.01400000000001</v>
      </c>
      <c r="T75" s="6">
        <f t="shared" si="34"/>
        <v>0.85169213715537107</v>
      </c>
      <c r="U75" s="18">
        <v>29</v>
      </c>
      <c r="V75" s="6">
        <f t="shared" si="35"/>
        <v>128.64599999999999</v>
      </c>
      <c r="W75" s="6">
        <f t="shared" si="36"/>
        <v>118.129</v>
      </c>
      <c r="X75" s="6">
        <f t="shared" si="37"/>
        <v>246.774</v>
      </c>
      <c r="Y75" s="6">
        <f t="shared" si="38"/>
        <v>0.83398333209416753</v>
      </c>
    </row>
    <row r="76" spans="3:25" x14ac:dyDescent="0.3">
      <c r="C76" s="18">
        <v>12</v>
      </c>
      <c r="D76" s="6">
        <f t="shared" ref="D76:E76" si="69">E34</f>
        <v>135.88800000000001</v>
      </c>
      <c r="E76" s="6">
        <f t="shared" si="69"/>
        <v>126.389</v>
      </c>
      <c r="F76" s="6">
        <f t="shared" si="27"/>
        <v>262.27699999999999</v>
      </c>
      <c r="G76" s="6">
        <f t="shared" si="28"/>
        <v>0.84636062061131745</v>
      </c>
      <c r="H76" s="18">
        <v>30</v>
      </c>
      <c r="I76" s="6">
        <f t="shared" ref="I76:J76" si="70">E52</f>
        <v>127.089</v>
      </c>
      <c r="J76" s="6">
        <f t="shared" si="70"/>
        <v>116.23699999999999</v>
      </c>
      <c r="K76" s="6">
        <f t="shared" si="30"/>
        <v>243.32599999999999</v>
      </c>
      <c r="L76" s="6">
        <f t="shared" si="31"/>
        <v>0.78520626807104488</v>
      </c>
      <c r="P76" s="18">
        <v>12</v>
      </c>
      <c r="Q76" s="6">
        <f t="shared" ref="Q76:R76" si="71">R34</f>
        <v>129.059</v>
      </c>
      <c r="R76" s="6">
        <f t="shared" si="71"/>
        <v>120.878</v>
      </c>
      <c r="S76" s="6">
        <f t="shared" si="33"/>
        <v>249.93700000000001</v>
      </c>
      <c r="T76" s="6">
        <f t="shared" si="34"/>
        <v>0.8446728264469513</v>
      </c>
      <c r="U76" s="18">
        <v>30</v>
      </c>
      <c r="V76" s="6">
        <f t="shared" si="35"/>
        <v>128.64599999999999</v>
      </c>
      <c r="W76" s="6">
        <f t="shared" si="36"/>
        <v>118.129</v>
      </c>
      <c r="X76" s="6">
        <f t="shared" si="37"/>
        <v>246.774</v>
      </c>
      <c r="Y76" s="6">
        <f t="shared" si="38"/>
        <v>0.83398333209416753</v>
      </c>
    </row>
    <row r="77" spans="3:25" x14ac:dyDescent="0.3">
      <c r="C77" s="18">
        <v>13</v>
      </c>
      <c r="D77" s="6">
        <f t="shared" ref="D77:E77" si="72">E35</f>
        <v>136.52199999999999</v>
      </c>
      <c r="E77" s="6">
        <f t="shared" si="72"/>
        <v>122.861</v>
      </c>
      <c r="F77" s="6">
        <f t="shared" si="27"/>
        <v>259.38299999999998</v>
      </c>
      <c r="G77" s="6">
        <f t="shared" si="28"/>
        <v>0.83702176270136297</v>
      </c>
      <c r="H77" s="18">
        <v>31</v>
      </c>
      <c r="I77" s="6">
        <f t="shared" ref="I77:J77" si="73">E53</f>
        <v>126.93300000000001</v>
      </c>
      <c r="J77" s="6">
        <f t="shared" si="73"/>
        <v>116.015</v>
      </c>
      <c r="K77" s="6">
        <f t="shared" si="30"/>
        <v>242.94800000000001</v>
      </c>
      <c r="L77" s="6">
        <f t="shared" si="31"/>
        <v>0.78398647253201148</v>
      </c>
      <c r="P77" s="18">
        <v>13</v>
      </c>
      <c r="Q77" s="6">
        <f t="shared" ref="Q77:R77" si="74">R35</f>
        <v>129.059</v>
      </c>
      <c r="R77" s="6">
        <f t="shared" si="74"/>
        <v>120.878</v>
      </c>
      <c r="S77" s="6">
        <f t="shared" si="33"/>
        <v>249.93700000000001</v>
      </c>
      <c r="T77" s="6">
        <f t="shared" si="34"/>
        <v>0.8446728264469513</v>
      </c>
      <c r="U77" s="18">
        <v>31</v>
      </c>
      <c r="V77" s="6">
        <f t="shared" si="35"/>
        <v>128.64599999999999</v>
      </c>
      <c r="W77" s="6">
        <f t="shared" si="36"/>
        <v>118.129</v>
      </c>
      <c r="X77" s="6">
        <f t="shared" si="37"/>
        <v>246.774</v>
      </c>
      <c r="Y77" s="6">
        <f t="shared" si="38"/>
        <v>0.83398333209416753</v>
      </c>
    </row>
    <row r="78" spans="3:25" x14ac:dyDescent="0.3">
      <c r="C78" s="18">
        <v>14</v>
      </c>
      <c r="D78" s="6">
        <f t="shared" ref="D78:E78" si="75">E36</f>
        <v>136.52199999999999</v>
      </c>
      <c r="E78" s="6">
        <f t="shared" si="75"/>
        <v>122.861</v>
      </c>
      <c r="F78" s="6">
        <f t="shared" si="27"/>
        <v>259.38299999999998</v>
      </c>
      <c r="G78" s="6">
        <f t="shared" si="28"/>
        <v>0.83702176270136297</v>
      </c>
      <c r="H78" s="18">
        <v>32</v>
      </c>
      <c r="I78" s="6">
        <f t="shared" ref="I78:J78" si="76">E54</f>
        <v>126.93300000000001</v>
      </c>
      <c r="J78" s="6">
        <f t="shared" si="76"/>
        <v>116.015</v>
      </c>
      <c r="K78" s="6">
        <f t="shared" si="30"/>
        <v>242.94800000000001</v>
      </c>
      <c r="L78" s="6">
        <f t="shared" si="31"/>
        <v>0.78398647253201148</v>
      </c>
      <c r="P78" s="18">
        <v>14</v>
      </c>
      <c r="Q78" s="6">
        <f t="shared" ref="Q78:R78" si="77">R36</f>
        <v>129.059</v>
      </c>
      <c r="R78" s="6">
        <f t="shared" si="77"/>
        <v>120.878</v>
      </c>
      <c r="S78" s="6">
        <f t="shared" si="33"/>
        <v>249.93700000000001</v>
      </c>
      <c r="T78" s="6">
        <f t="shared" si="34"/>
        <v>0.8446728264469513</v>
      </c>
      <c r="U78" s="18">
        <v>32</v>
      </c>
      <c r="V78" s="6">
        <f t="shared" si="35"/>
        <v>127.916</v>
      </c>
      <c r="W78" s="6">
        <f t="shared" si="36"/>
        <v>118.13</v>
      </c>
      <c r="X78" s="6">
        <f t="shared" si="37"/>
        <v>246.047</v>
      </c>
      <c r="Y78" s="6">
        <f t="shared" si="38"/>
        <v>0.8315264043690731</v>
      </c>
    </row>
    <row r="79" spans="3:25" x14ac:dyDescent="0.3">
      <c r="C79" s="18">
        <v>15</v>
      </c>
      <c r="D79" s="6">
        <f t="shared" ref="D79:E79" si="78">E37</f>
        <v>134.999</v>
      </c>
      <c r="E79" s="6">
        <f t="shared" si="78"/>
        <v>123.27800000000001</v>
      </c>
      <c r="F79" s="6">
        <f t="shared" si="27"/>
        <v>258.27699999999999</v>
      </c>
      <c r="G79" s="6">
        <f t="shared" si="28"/>
        <v>0.83345273130937614</v>
      </c>
      <c r="H79" s="18">
        <v>33</v>
      </c>
      <c r="I79" s="6">
        <f t="shared" ref="I79:J79" si="79">E55</f>
        <v>126.86799999999999</v>
      </c>
      <c r="J79" s="6">
        <f t="shared" si="79"/>
        <v>115.842</v>
      </c>
      <c r="K79" s="6">
        <f t="shared" si="30"/>
        <v>242.71</v>
      </c>
      <c r="L79" s="6">
        <f t="shared" si="31"/>
        <v>0.78321845311854599</v>
      </c>
      <c r="P79" s="18">
        <v>15</v>
      </c>
      <c r="Q79" s="6">
        <f t="shared" ref="Q79:R79" si="80">R37</f>
        <v>129.059</v>
      </c>
      <c r="R79" s="6">
        <f t="shared" si="80"/>
        <v>120.878</v>
      </c>
      <c r="S79" s="6">
        <f t="shared" si="33"/>
        <v>249.93700000000001</v>
      </c>
      <c r="T79" s="6">
        <f t="shared" si="34"/>
        <v>0.8446728264469513</v>
      </c>
      <c r="U79" s="18">
        <v>33</v>
      </c>
      <c r="V79" s="6">
        <f t="shared" si="35"/>
        <v>127.501</v>
      </c>
      <c r="W79" s="6">
        <f t="shared" si="36"/>
        <v>117.675</v>
      </c>
      <c r="X79" s="6">
        <f t="shared" si="37"/>
        <v>245.17599999999999</v>
      </c>
      <c r="Y79" s="6">
        <f t="shared" si="38"/>
        <v>0.82858282245909054</v>
      </c>
    </row>
    <row r="80" spans="3:25" x14ac:dyDescent="0.3">
      <c r="C80" s="18">
        <v>16</v>
      </c>
      <c r="D80" s="6">
        <f t="shared" ref="D80:E80" si="81">E38</f>
        <v>136.46899999999999</v>
      </c>
      <c r="E80" s="6">
        <f t="shared" si="81"/>
        <v>121.779</v>
      </c>
      <c r="F80" s="6">
        <f t="shared" si="27"/>
        <v>258.24799999999999</v>
      </c>
      <c r="G80" s="6">
        <f t="shared" si="28"/>
        <v>0.83335914911193709</v>
      </c>
      <c r="H80" s="18">
        <v>34</v>
      </c>
      <c r="I80" s="6">
        <f t="shared" ref="I80:J80" si="82">E56</f>
        <v>126.86799999999999</v>
      </c>
      <c r="J80" s="6">
        <f t="shared" si="82"/>
        <v>115.842</v>
      </c>
      <c r="K80" s="6">
        <f t="shared" si="30"/>
        <v>242.71</v>
      </c>
      <c r="L80" s="6">
        <f t="shared" si="31"/>
        <v>0.78321845311854599</v>
      </c>
      <c r="P80" s="18">
        <v>16</v>
      </c>
      <c r="Q80" s="6">
        <f t="shared" ref="Q80:R80" si="83">R38</f>
        <v>129.059</v>
      </c>
      <c r="R80" s="6">
        <f t="shared" si="83"/>
        <v>120.878</v>
      </c>
      <c r="S80" s="6">
        <f t="shared" si="33"/>
        <v>249.93700000000001</v>
      </c>
      <c r="T80" s="6">
        <f t="shared" si="34"/>
        <v>0.8446728264469513</v>
      </c>
      <c r="U80" s="18">
        <v>34</v>
      </c>
      <c r="V80" s="6">
        <f t="shared" si="35"/>
        <v>127.501</v>
      </c>
      <c r="W80" s="6">
        <f t="shared" si="36"/>
        <v>117.675</v>
      </c>
      <c r="X80" s="6">
        <f t="shared" si="37"/>
        <v>245.17599999999999</v>
      </c>
      <c r="Y80" s="6">
        <f t="shared" si="38"/>
        <v>0.82858282245909054</v>
      </c>
    </row>
    <row r="81" spans="3:25" ht="14.5" thickBot="1" x14ac:dyDescent="0.35">
      <c r="C81" s="19">
        <v>17</v>
      </c>
      <c r="D81" s="6">
        <f t="shared" ref="D81:E81" si="84">E39</f>
        <v>134.04300000000001</v>
      </c>
      <c r="E81" s="6">
        <f t="shared" si="84"/>
        <v>122.294</v>
      </c>
      <c r="F81" s="6">
        <f t="shared" si="27"/>
        <v>256.33699999999999</v>
      </c>
      <c r="G81" s="6">
        <f t="shared" si="28"/>
        <v>0.82719240499793456</v>
      </c>
      <c r="H81" s="19">
        <v>35</v>
      </c>
      <c r="I81" s="6">
        <f t="shared" ref="I81:J81" si="85">E57</f>
        <v>126.86799999999999</v>
      </c>
      <c r="J81" s="6">
        <f t="shared" si="85"/>
        <v>115.842</v>
      </c>
      <c r="K81" s="6">
        <f t="shared" si="30"/>
        <v>242.71</v>
      </c>
      <c r="L81" s="6">
        <f t="shared" si="31"/>
        <v>0.78321845311854599</v>
      </c>
      <c r="P81" s="19">
        <v>17</v>
      </c>
      <c r="Q81" s="6">
        <f t="shared" ref="Q81:R81" si="86">R39</f>
        <v>129.059</v>
      </c>
      <c r="R81" s="6">
        <f t="shared" si="86"/>
        <v>120.878</v>
      </c>
      <c r="S81" s="6">
        <f t="shared" si="33"/>
        <v>249.93700000000001</v>
      </c>
      <c r="T81" s="6">
        <f t="shared" si="34"/>
        <v>0.8446728264469513</v>
      </c>
      <c r="U81" s="19">
        <v>35</v>
      </c>
      <c r="V81" s="6">
        <f t="shared" si="35"/>
        <v>127.501</v>
      </c>
      <c r="W81" s="6">
        <f t="shared" si="36"/>
        <v>117.675</v>
      </c>
      <c r="X81" s="6">
        <f t="shared" si="37"/>
        <v>245.17599999999999</v>
      </c>
      <c r="Y81" s="6">
        <f t="shared" si="38"/>
        <v>0.82858282245909054</v>
      </c>
    </row>
    <row r="82" spans="3:25" ht="14.5" thickTop="1" x14ac:dyDescent="0.3"/>
  </sheetData>
  <mergeCells count="12">
    <mergeCell ref="C62:C63"/>
    <mergeCell ref="G62:G63"/>
    <mergeCell ref="C1:C2"/>
    <mergeCell ref="G1:G2"/>
    <mergeCell ref="U62:U63"/>
    <mergeCell ref="Y62:Y63"/>
    <mergeCell ref="H62:H63"/>
    <mergeCell ref="L62:L63"/>
    <mergeCell ref="P1:P2"/>
    <mergeCell ref="T1:T2"/>
    <mergeCell ref="P62:P63"/>
    <mergeCell ref="T62:T63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77"/>
  <sheetViews>
    <sheetView zoomScale="40" zoomScaleNormal="40" workbookViewId="0">
      <selection activeCell="O16" sqref="O16:O52"/>
    </sheetView>
  </sheetViews>
  <sheetFormatPr defaultColWidth="9" defaultRowHeight="14" x14ac:dyDescent="0.3"/>
  <cols>
    <col min="1" max="4" width="9" style="1"/>
    <col min="5" max="5" width="9.4140625" style="1" customWidth="1"/>
    <col min="6" max="6" width="9" style="1"/>
    <col min="7" max="7" width="7.75" style="1" customWidth="1"/>
    <col min="8" max="9" width="9" style="1"/>
    <col min="10" max="10" width="11.4140625" style="1" bestFit="1" customWidth="1"/>
    <col min="11" max="14" width="9" style="1"/>
    <col min="15" max="15" width="11.4140625" style="1" bestFit="1" customWidth="1"/>
    <col min="16" max="19" width="9" style="1"/>
    <col min="20" max="22" width="9.9140625" style="1" bestFit="1" customWidth="1"/>
    <col min="23" max="16384" width="9" style="1"/>
  </cols>
  <sheetData>
    <row r="1" spans="1:41" ht="14.5" thickTop="1" x14ac:dyDescent="0.3">
      <c r="C1" s="47" t="s">
        <v>0</v>
      </c>
      <c r="D1" s="3" t="s">
        <v>1</v>
      </c>
      <c r="E1" s="3" t="s">
        <v>2</v>
      </c>
      <c r="F1" s="3" t="s">
        <v>3</v>
      </c>
      <c r="G1" s="47" t="s">
        <v>4</v>
      </c>
      <c r="P1" s="47" t="s">
        <v>0</v>
      </c>
      <c r="Q1" s="3" t="s">
        <v>1</v>
      </c>
      <c r="R1" s="3" t="s">
        <v>2</v>
      </c>
      <c r="S1" s="3" t="s">
        <v>3</v>
      </c>
      <c r="T1" s="47" t="s">
        <v>4</v>
      </c>
    </row>
    <row r="2" spans="1:41" ht="14.5" thickBot="1" x14ac:dyDescent="0.35">
      <c r="C2" s="48"/>
      <c r="D2" s="4" t="s">
        <v>5</v>
      </c>
      <c r="E2" s="4" t="s">
        <v>5</v>
      </c>
      <c r="F2" s="4" t="s">
        <v>5</v>
      </c>
      <c r="G2" s="48"/>
      <c r="P2" s="48"/>
      <c r="Q2" s="4" t="s">
        <v>5</v>
      </c>
      <c r="R2" s="4" t="s">
        <v>5</v>
      </c>
      <c r="S2" s="4" t="s">
        <v>5</v>
      </c>
      <c r="T2" s="48"/>
    </row>
    <row r="3" spans="1:41" x14ac:dyDescent="0.3">
      <c r="C3" s="5" t="s">
        <v>28</v>
      </c>
      <c r="D3" s="6">
        <f>E8</f>
        <v>183.53800000000001</v>
      </c>
      <c r="E3" s="6">
        <f>F8</f>
        <v>175.79900000000001</v>
      </c>
      <c r="F3" s="6">
        <f>D3+E3</f>
        <v>359.33699999999999</v>
      </c>
      <c r="G3" s="22" t="s">
        <v>31</v>
      </c>
      <c r="I3" s="1">
        <f>F3/I9-1</f>
        <v>-2.1794725205797061E-3</v>
      </c>
      <c r="P3" s="5" t="s">
        <v>28</v>
      </c>
      <c r="Q3" s="6">
        <f>R8</f>
        <v>0</v>
      </c>
      <c r="R3" s="6">
        <f>S8</f>
        <v>0</v>
      </c>
      <c r="S3" s="6">
        <f>Q3+R3</f>
        <v>0</v>
      </c>
      <c r="T3" s="22" t="s">
        <v>31</v>
      </c>
    </row>
    <row r="4" spans="1:41" x14ac:dyDescent="0.3">
      <c r="B4" s="11">
        <v>359.33800000000002</v>
      </c>
      <c r="C4" s="5" t="s">
        <v>29</v>
      </c>
      <c r="D4" s="6">
        <f>E9</f>
        <v>183.92580385584401</v>
      </c>
      <c r="E4" s="6">
        <f>F9</f>
        <v>176.19607187637399</v>
      </c>
      <c r="F4" s="6">
        <f>D4+E4</f>
        <v>360.12187573221797</v>
      </c>
      <c r="G4" s="22">
        <f>F4/F$3-1</f>
        <v>2.184232996373936E-3</v>
      </c>
      <c r="H4" s="1">
        <f>(F3/F4-1)*100</f>
        <v>-0.21794725205797061</v>
      </c>
      <c r="O4" s="11">
        <f>V16</f>
        <v>368.505</v>
      </c>
      <c r="P4" s="5" t="s">
        <v>29</v>
      </c>
      <c r="Q4" s="6">
        <f>R9</f>
        <v>0</v>
      </c>
      <c r="R4" s="6">
        <f>S9</f>
        <v>0</v>
      </c>
      <c r="S4" s="6">
        <f>Q4+R4</f>
        <v>0</v>
      </c>
      <c r="T4" s="22" t="e">
        <f>S4/S$3-1</f>
        <v>#DIV/0!</v>
      </c>
    </row>
    <row r="5" spans="1:41" ht="27.5" thickBot="1" x14ac:dyDescent="0.35">
      <c r="C5" s="7" t="s">
        <v>25</v>
      </c>
      <c r="D5" s="15">
        <f>E13</f>
        <v>176.899</v>
      </c>
      <c r="E5" s="15">
        <f>F13</f>
        <v>168.43899999999999</v>
      </c>
      <c r="F5" s="15">
        <f>D5+E5</f>
        <v>345.33799999999997</v>
      </c>
      <c r="G5" s="22">
        <f>F5/F$3-1</f>
        <v>-3.8957858500516251E-2</v>
      </c>
      <c r="H5" s="26">
        <f>G5-G4</f>
        <v>-4.1142091496890187E-2</v>
      </c>
      <c r="P5" s="7" t="s">
        <v>25</v>
      </c>
      <c r="Q5" s="15">
        <f>R13</f>
        <v>147.93299999999999</v>
      </c>
      <c r="R5" s="15">
        <f>S13</f>
        <v>148.55500000000001</v>
      </c>
      <c r="S5" s="15">
        <f>Q5+R5</f>
        <v>296.488</v>
      </c>
      <c r="T5" s="22" t="e">
        <f>S5/S$3-1</f>
        <v>#DIV/0!</v>
      </c>
    </row>
    <row r="6" spans="1:41" ht="14.5" thickTop="1" x14ac:dyDescent="0.3"/>
    <row r="7" spans="1:41" x14ac:dyDescent="0.3">
      <c r="E7" s="1" t="s">
        <v>8</v>
      </c>
      <c r="F7" s="1" t="s">
        <v>9</v>
      </c>
      <c r="G7" s="1" t="s">
        <v>10</v>
      </c>
      <c r="H7" s="1" t="s">
        <v>11</v>
      </c>
    </row>
    <row r="8" spans="1:41" x14ac:dyDescent="0.3">
      <c r="B8" s="1" t="s">
        <v>32</v>
      </c>
      <c r="C8" s="5"/>
      <c r="D8" s="14">
        <f>D16</f>
        <v>359.33800000000002</v>
      </c>
      <c r="E8" s="14">
        <f t="shared" ref="E8:H8" si="0">E16</f>
        <v>183.53800000000001</v>
      </c>
      <c r="F8" s="14">
        <f t="shared" si="0"/>
        <v>175.79900000000001</v>
      </c>
      <c r="G8" s="14">
        <f t="shared" si="0"/>
        <v>183.53800000000001</v>
      </c>
      <c r="H8" s="14">
        <f t="shared" si="0"/>
        <v>175.79900000000001</v>
      </c>
      <c r="I8" s="14">
        <f>G8+H8</f>
        <v>359.33699999999999</v>
      </c>
      <c r="J8" s="12">
        <f>D8/I$8-1</f>
        <v>2.7829029574100161E-6</v>
      </c>
      <c r="K8" s="11">
        <f>L8+M8</f>
        <v>359.64648299999999</v>
      </c>
      <c r="L8" s="14">
        <v>183.6968</v>
      </c>
      <c r="M8" s="14">
        <v>175.94968299999999</v>
      </c>
      <c r="N8" s="14">
        <v>183.6968</v>
      </c>
      <c r="O8" s="14">
        <v>175.94968299999999</v>
      </c>
      <c r="P8" s="11">
        <f>N8+O8</f>
        <v>359.64648299999999</v>
      </c>
    </row>
    <row r="9" spans="1:41" x14ac:dyDescent="0.3">
      <c r="B9" s="1" t="s">
        <v>33</v>
      </c>
      <c r="D9" s="14">
        <f>E9+F9</f>
        <v>360.12187573221797</v>
      </c>
      <c r="E9" s="14">
        <v>183.92580385584401</v>
      </c>
      <c r="F9" s="14">
        <v>176.19607187637399</v>
      </c>
      <c r="G9" s="14">
        <v>183.92580385584401</v>
      </c>
      <c r="H9" s="14">
        <v>176.19607187637399</v>
      </c>
      <c r="I9" s="14">
        <f>G9+H9</f>
        <v>360.12187573221797</v>
      </c>
      <c r="J9" s="12">
        <f t="shared" ref="J9:J10" si="1">D9/I$8-1</f>
        <v>2.184232996373936E-3</v>
      </c>
      <c r="K9" s="11">
        <f>L9+M9</f>
        <v>360.12187573221797</v>
      </c>
      <c r="L9" s="14">
        <v>183.92580385584401</v>
      </c>
      <c r="M9" s="14">
        <v>176.19607187637399</v>
      </c>
      <c r="N9" s="14">
        <v>183.92580385584401</v>
      </c>
      <c r="O9" s="14">
        <v>176.19607187637399</v>
      </c>
      <c r="P9" s="11">
        <f>N9+O9</f>
        <v>360.12187573221797</v>
      </c>
    </row>
    <row r="10" spans="1:41" x14ac:dyDescent="0.3">
      <c r="B10" s="1" t="s">
        <v>46</v>
      </c>
      <c r="D10" s="1">
        <f>D13</f>
        <v>345.33800000000002</v>
      </c>
      <c r="E10" s="1">
        <f t="shared" ref="E10:H10" si="2">E13</f>
        <v>176.899</v>
      </c>
      <c r="F10" s="1">
        <f t="shared" si="2"/>
        <v>168.43899999999999</v>
      </c>
      <c r="G10" s="1">
        <f t="shared" si="2"/>
        <v>190.32</v>
      </c>
      <c r="H10" s="1">
        <f t="shared" si="2"/>
        <v>182.595</v>
      </c>
      <c r="I10" s="14">
        <f>G10+H10</f>
        <v>372.91499999999996</v>
      </c>
      <c r="J10" s="12">
        <f t="shared" si="1"/>
        <v>-3.895785850051614E-2</v>
      </c>
    </row>
    <row r="11" spans="1:41" x14ac:dyDescent="0.3">
      <c r="C11" s="11">
        <f>D10-D8</f>
        <v>-14</v>
      </c>
      <c r="D11" s="1">
        <f>D13/D16-1</f>
        <v>-3.8960532980091167E-2</v>
      </c>
      <c r="E11" s="11">
        <f>E10-G8</f>
        <v>-6.63900000000001</v>
      </c>
      <c r="F11" s="11">
        <f>F10-H8</f>
        <v>-7.3600000000000136</v>
      </c>
    </row>
    <row r="12" spans="1:41" x14ac:dyDescent="0.3">
      <c r="E12" s="1">
        <v>2</v>
      </c>
      <c r="F12" s="1">
        <v>3</v>
      </c>
      <c r="G12" s="1">
        <v>4</v>
      </c>
      <c r="H12" s="1">
        <v>5</v>
      </c>
      <c r="R12" s="1">
        <v>2</v>
      </c>
      <c r="S12" s="1">
        <v>3</v>
      </c>
      <c r="T12" s="1">
        <v>4</v>
      </c>
      <c r="U12" s="1">
        <v>5</v>
      </c>
    </row>
    <row r="13" spans="1:41" x14ac:dyDescent="0.3">
      <c r="D13" s="1">
        <f>MIN(D16:D51)</f>
        <v>345.33800000000002</v>
      </c>
      <c r="E13" s="1">
        <f>VLOOKUP($D13,$D$16:$H$52,E12,FALSE)</f>
        <v>176.899</v>
      </c>
      <c r="F13" s="1">
        <f t="shared" ref="F13:H13" si="3">VLOOKUP($D13,$D$16:$H$52,F12,FALSE)</f>
        <v>168.43899999999999</v>
      </c>
      <c r="G13" s="1">
        <f t="shared" si="3"/>
        <v>190.32</v>
      </c>
      <c r="H13" s="1">
        <f t="shared" si="3"/>
        <v>182.595</v>
      </c>
      <c r="Q13" s="1">
        <f>MIN(Q16:Q51)</f>
        <v>296.488</v>
      </c>
      <c r="R13" s="1">
        <f>VLOOKUP($Q13,$Q$16:$U$52,R12,FALSE)</f>
        <v>147.93299999999999</v>
      </c>
      <c r="S13" s="1">
        <f>VLOOKUP($Q13,$Q$16:$U$52,S12,FALSE)</f>
        <v>148.55500000000001</v>
      </c>
      <c r="T13" s="1">
        <f>VLOOKUP($Q13,$Q$16:$U$52,T12,FALSE)</f>
        <v>187.43700000000001</v>
      </c>
      <c r="U13" s="1">
        <f>VLOOKUP($Q13,$Q$16:$U$52,U12,FALSE)</f>
        <v>180.428</v>
      </c>
      <c r="V13" s="11">
        <f>Q13-V16</f>
        <v>-72.016999999999996</v>
      </c>
      <c r="W13" s="1">
        <f>Q13/V16-1</f>
        <v>-0.19543018412233215</v>
      </c>
    </row>
    <row r="14" spans="1:41" x14ac:dyDescent="0.3">
      <c r="B14" s="1" t="s">
        <v>16</v>
      </c>
      <c r="C14" s="2">
        <v>0.49638888888888894</v>
      </c>
      <c r="O14" s="1" t="s">
        <v>18</v>
      </c>
      <c r="Q14" s="2"/>
      <c r="R14" s="12">
        <f>R13/T16-1</f>
        <v>-0.21225498288008615</v>
      </c>
      <c r="S14" s="12">
        <f>S13/U16-1</f>
        <v>-0.17794612421975287</v>
      </c>
    </row>
    <row r="15" spans="1:41" x14ac:dyDescent="0.3">
      <c r="D15" s="1" t="s">
        <v>12</v>
      </c>
      <c r="E15" s="1" t="s">
        <v>13</v>
      </c>
      <c r="F15" s="1" t="s">
        <v>9</v>
      </c>
      <c r="G15" s="1" t="s">
        <v>19</v>
      </c>
      <c r="H15" s="1" t="s">
        <v>11</v>
      </c>
      <c r="Q15" s="1" t="s">
        <v>12</v>
      </c>
      <c r="R15" s="1" t="s">
        <v>13</v>
      </c>
      <c r="S15" s="1" t="s">
        <v>9</v>
      </c>
      <c r="T15" s="1" t="s">
        <v>19</v>
      </c>
      <c r="U15" s="1" t="s">
        <v>11</v>
      </c>
      <c r="V15" s="11">
        <f>Q16-V16</f>
        <v>-27.999000000000024</v>
      </c>
      <c r="W15" s="12">
        <f>Q16/V16-1</f>
        <v>-7.5979973134692957E-2</v>
      </c>
      <c r="AC15" s="1" t="s">
        <v>12</v>
      </c>
      <c r="AD15" s="1" t="s">
        <v>13</v>
      </c>
      <c r="AE15" s="1" t="s">
        <v>9</v>
      </c>
      <c r="AF15" s="1" t="s">
        <v>19</v>
      </c>
      <c r="AG15" s="1" t="s">
        <v>11</v>
      </c>
      <c r="AK15" s="1" t="s">
        <v>12</v>
      </c>
      <c r="AL15" s="1" t="s">
        <v>13</v>
      </c>
      <c r="AM15" s="1" t="s">
        <v>9</v>
      </c>
      <c r="AN15" s="1" t="s">
        <v>19</v>
      </c>
      <c r="AO15" s="1" t="s">
        <v>11</v>
      </c>
    </row>
    <row r="16" spans="1:41" x14ac:dyDescent="0.3">
      <c r="A16" s="1">
        <v>0</v>
      </c>
      <c r="B16" s="1">
        <v>16.2</v>
      </c>
      <c r="C16" s="1">
        <v>-0.04</v>
      </c>
      <c r="D16" s="1">
        <v>359.33800000000002</v>
      </c>
      <c r="E16" s="1">
        <v>183.53800000000001</v>
      </c>
      <c r="F16" s="1">
        <v>175.79900000000001</v>
      </c>
      <c r="G16" s="1">
        <v>183.53800000000001</v>
      </c>
      <c r="H16" s="1">
        <v>175.79900000000001</v>
      </c>
      <c r="I16" s="14">
        <f>D16/D$16</f>
        <v>1</v>
      </c>
      <c r="O16" s="1">
        <v>16.2</v>
      </c>
      <c r="P16" s="1">
        <v>-3.5000000000000003E-2</v>
      </c>
      <c r="Q16" s="1">
        <v>340.50599999999997</v>
      </c>
      <c r="R16" s="1">
        <v>173.096</v>
      </c>
      <c r="S16" s="1">
        <v>167.41</v>
      </c>
      <c r="T16" s="14">
        <v>187.79300000000001</v>
      </c>
      <c r="U16" s="14">
        <v>180.71199999999999</v>
      </c>
      <c r="V16" s="14">
        <f>T16+U16</f>
        <v>368.505</v>
      </c>
      <c r="X16" s="14">
        <f>Q16/V$16</f>
        <v>0.92402002686530704</v>
      </c>
      <c r="AB16" s="1">
        <v>-0.04</v>
      </c>
      <c r="AC16" s="1">
        <v>359.33800000000002</v>
      </c>
      <c r="AD16" s="1">
        <v>183.53800000000001</v>
      </c>
      <c r="AE16" s="1">
        <v>175.79900000000001</v>
      </c>
      <c r="AF16" s="1">
        <v>183.53800000000001</v>
      </c>
      <c r="AG16" s="1">
        <v>175.79900000000001</v>
      </c>
      <c r="AI16" s="1">
        <v>16.2</v>
      </c>
      <c r="AJ16" s="1">
        <v>-3.5000000000000003E-2</v>
      </c>
      <c r="AK16" s="1">
        <v>347.07100000000003</v>
      </c>
      <c r="AL16" s="1">
        <v>177.98500000000001</v>
      </c>
      <c r="AM16" s="1">
        <v>169.08500000000001</v>
      </c>
      <c r="AN16" s="1">
        <v>213.35900000000001</v>
      </c>
      <c r="AO16" s="1">
        <v>200.79400000000001</v>
      </c>
    </row>
    <row r="17" spans="1:41" x14ac:dyDescent="0.3">
      <c r="A17" s="1">
        <v>1</v>
      </c>
      <c r="B17" s="1">
        <f>B16+C16*100</f>
        <v>12.2</v>
      </c>
      <c r="C17" s="1">
        <v>0.04</v>
      </c>
      <c r="D17" s="1">
        <v>355.89499999999998</v>
      </c>
      <c r="E17" s="1">
        <v>181.80799999999999</v>
      </c>
      <c r="F17" s="1">
        <v>174.08699999999999</v>
      </c>
      <c r="G17" s="1">
        <v>187.60400000000001</v>
      </c>
      <c r="H17" s="1">
        <v>179.87</v>
      </c>
      <c r="I17" s="14">
        <f t="shared" ref="I17:I51" si="4">D17/D$16</f>
        <v>0.99041849178211028</v>
      </c>
      <c r="J17" s="12">
        <f>D17/D16-1</f>
        <v>-9.5815082178897226E-3</v>
      </c>
      <c r="K17" s="1">
        <f>E17-G16</f>
        <v>-1.7300000000000182</v>
      </c>
      <c r="L17" s="1">
        <f>F17-H16</f>
        <v>-1.7120000000000175</v>
      </c>
      <c r="O17" s="1">
        <f>O16+P16*100</f>
        <v>12.7</v>
      </c>
      <c r="P17" s="1">
        <v>-0.04</v>
      </c>
      <c r="Q17" s="1">
        <v>302.04700000000003</v>
      </c>
      <c r="R17" s="1">
        <v>156.708</v>
      </c>
      <c r="S17" s="1">
        <v>145.33799999999999</v>
      </c>
      <c r="T17" s="1">
        <v>189.08600000000001</v>
      </c>
      <c r="U17" s="1">
        <v>177.1</v>
      </c>
      <c r="V17" s="11">
        <f>Q17-V16</f>
        <v>-66.45799999999997</v>
      </c>
      <c r="W17" s="12">
        <f>Q17/V16-1</f>
        <v>-0.18034490712473361</v>
      </c>
      <c r="X17" s="14">
        <f t="shared" ref="X17:X51" si="5">Q17/V$16</f>
        <v>0.81965509287526639</v>
      </c>
      <c r="AB17" s="1">
        <v>0.04</v>
      </c>
      <c r="AC17" s="1">
        <v>355.89499999999998</v>
      </c>
      <c r="AD17" s="1">
        <v>181.80799999999999</v>
      </c>
      <c r="AE17" s="1">
        <v>174.08699999999999</v>
      </c>
      <c r="AF17" s="1">
        <v>187.60400000000001</v>
      </c>
      <c r="AG17" s="1">
        <v>179.87</v>
      </c>
      <c r="AI17" s="1">
        <f>AI16+AJ16*100</f>
        <v>12.7</v>
      </c>
      <c r="AJ17" s="1">
        <v>-0.04</v>
      </c>
      <c r="AK17" s="1">
        <v>299.06299999999999</v>
      </c>
      <c r="AL17" s="1">
        <v>152.51400000000001</v>
      </c>
      <c r="AM17" s="1">
        <v>146.55000000000001</v>
      </c>
      <c r="AN17" s="1">
        <v>178.92500000000001</v>
      </c>
      <c r="AO17" s="1">
        <v>175.14500000000001</v>
      </c>
    </row>
    <row r="18" spans="1:41" x14ac:dyDescent="0.3">
      <c r="A18" s="1">
        <v>2</v>
      </c>
      <c r="B18" s="1">
        <f t="shared" ref="B18:B52" si="6">B17+C17*100</f>
        <v>16.2</v>
      </c>
      <c r="C18" s="1">
        <v>-0.04</v>
      </c>
      <c r="D18" s="1">
        <v>355.24099999999999</v>
      </c>
      <c r="E18" s="1">
        <v>181.476</v>
      </c>
      <c r="F18" s="1">
        <v>173.76499999999999</v>
      </c>
      <c r="G18" s="1">
        <v>187.50700000000001</v>
      </c>
      <c r="H18" s="1">
        <v>179.779</v>
      </c>
      <c r="I18" s="14">
        <f t="shared" si="4"/>
        <v>0.98859847831289749</v>
      </c>
      <c r="O18" s="1">
        <f t="shared" ref="O18:O52" si="7">O17+P17*100</f>
        <v>8.6999999999999993</v>
      </c>
      <c r="P18" s="1">
        <v>-0.04</v>
      </c>
      <c r="Q18" s="1">
        <v>299.815</v>
      </c>
      <c r="R18" s="1">
        <v>153.21100000000001</v>
      </c>
      <c r="S18" s="1">
        <v>146.60400000000001</v>
      </c>
      <c r="T18" s="1">
        <v>184.40700000000001</v>
      </c>
      <c r="U18" s="1">
        <v>173.80600000000001</v>
      </c>
      <c r="V18" s="11">
        <f>R17-T16</f>
        <v>-31.085000000000008</v>
      </c>
      <c r="W18" s="11">
        <f>S17-U16</f>
        <v>-35.373999999999995</v>
      </c>
      <c r="X18" s="14">
        <f t="shared" si="5"/>
        <v>0.81359818727018629</v>
      </c>
      <c r="AB18" s="1">
        <v>-0.04</v>
      </c>
      <c r="AC18" s="1">
        <v>355.24099999999999</v>
      </c>
      <c r="AD18" s="1">
        <v>181.476</v>
      </c>
      <c r="AE18" s="1">
        <v>173.76499999999999</v>
      </c>
      <c r="AF18" s="1">
        <v>187.50700000000001</v>
      </c>
      <c r="AG18" s="1">
        <v>179.779</v>
      </c>
      <c r="AI18" s="1">
        <f t="shared" ref="AI18:AI51" si="8">AI17+AJ17*100</f>
        <v>8.6999999999999993</v>
      </c>
      <c r="AJ18" s="1">
        <v>-0.04</v>
      </c>
      <c r="AK18" s="1">
        <v>298.14999999999998</v>
      </c>
      <c r="AL18" s="1">
        <v>152.79900000000001</v>
      </c>
      <c r="AM18" s="1">
        <v>145.351</v>
      </c>
      <c r="AN18" s="1">
        <v>183.62100000000001</v>
      </c>
      <c r="AO18" s="1">
        <v>176.78800000000001</v>
      </c>
    </row>
    <row r="19" spans="1:41" x14ac:dyDescent="0.3">
      <c r="A19" s="1">
        <v>3</v>
      </c>
      <c r="B19" s="1">
        <f t="shared" si="6"/>
        <v>12.2</v>
      </c>
      <c r="C19" s="1">
        <v>0.04</v>
      </c>
      <c r="D19" s="1">
        <v>353.42500000000001</v>
      </c>
      <c r="E19" s="1">
        <v>180.017</v>
      </c>
      <c r="F19" s="1">
        <v>173.40799999999999</v>
      </c>
      <c r="G19" s="1">
        <v>187.84200000000001</v>
      </c>
      <c r="H19" s="1">
        <v>180.07599999999999</v>
      </c>
      <c r="I19" s="14">
        <f t="shared" si="4"/>
        <v>0.98354474060633723</v>
      </c>
      <c r="O19" s="1">
        <f t="shared" si="7"/>
        <v>4.6999999999999993</v>
      </c>
      <c r="P19" s="1">
        <v>-3.5000000000000003E-2</v>
      </c>
      <c r="Q19" s="1">
        <v>299.815</v>
      </c>
      <c r="R19" s="1">
        <v>153.21100000000001</v>
      </c>
      <c r="S19" s="1">
        <v>146.60400000000001</v>
      </c>
      <c r="T19" s="1">
        <v>184.40700000000001</v>
      </c>
      <c r="U19" s="1">
        <v>173.80600000000001</v>
      </c>
      <c r="W19" s="1">
        <f t="shared" ref="W19:W51" si="9">IF(Q19&lt;=Q18,0,1)</f>
        <v>0</v>
      </c>
      <c r="X19" s="14">
        <f t="shared" si="5"/>
        <v>0.81359818727018629</v>
      </c>
      <c r="AB19" s="1">
        <v>0.04</v>
      </c>
      <c r="AC19" s="1">
        <v>353.42500000000001</v>
      </c>
      <c r="AD19" s="1">
        <v>180.017</v>
      </c>
      <c r="AE19" s="1">
        <v>173.40799999999999</v>
      </c>
      <c r="AF19" s="1">
        <v>187.84200000000001</v>
      </c>
      <c r="AG19" s="1">
        <v>180.07599999999999</v>
      </c>
      <c r="AI19" s="1">
        <f t="shared" si="8"/>
        <v>4.6999999999999993</v>
      </c>
      <c r="AJ19" s="1">
        <v>-3.5000000000000003E-2</v>
      </c>
      <c r="AK19" s="1">
        <v>296.38099999999997</v>
      </c>
      <c r="AL19" s="1">
        <v>149.35400000000001</v>
      </c>
      <c r="AM19" s="1">
        <v>147.02799999999999</v>
      </c>
      <c r="AN19" s="1">
        <v>181.43600000000001</v>
      </c>
      <c r="AO19" s="1">
        <v>177.11099999999999</v>
      </c>
    </row>
    <row r="20" spans="1:41" x14ac:dyDescent="0.3">
      <c r="A20" s="1">
        <v>4</v>
      </c>
      <c r="B20" s="1">
        <f t="shared" si="6"/>
        <v>16.2</v>
      </c>
      <c r="C20" s="1">
        <v>-0.04</v>
      </c>
      <c r="D20" s="1">
        <v>353.16399999999999</v>
      </c>
      <c r="E20" s="1">
        <v>180.81299999999999</v>
      </c>
      <c r="F20" s="1">
        <v>172.351</v>
      </c>
      <c r="G20" s="1">
        <v>187.845</v>
      </c>
      <c r="H20" s="1">
        <v>180.13200000000001</v>
      </c>
      <c r="I20" s="14">
        <f t="shared" si="4"/>
        <v>0.98281840495577966</v>
      </c>
      <c r="O20" s="1">
        <f t="shared" si="7"/>
        <v>1.1999999999999988</v>
      </c>
      <c r="P20" s="1">
        <v>2.5000000000000001E-2</v>
      </c>
      <c r="Q20" s="1">
        <v>299.67500000000001</v>
      </c>
      <c r="R20" s="1">
        <v>149.886</v>
      </c>
      <c r="S20" s="1">
        <v>149.78899999999999</v>
      </c>
      <c r="T20" s="1">
        <v>187.99</v>
      </c>
      <c r="U20" s="1">
        <v>178.273</v>
      </c>
      <c r="W20" s="1">
        <f t="shared" si="9"/>
        <v>0</v>
      </c>
      <c r="X20" s="14">
        <f t="shared" si="5"/>
        <v>0.81321827383617595</v>
      </c>
      <c r="AB20" s="1">
        <v>-0.04</v>
      </c>
      <c r="AC20" s="1">
        <v>353.16399999999999</v>
      </c>
      <c r="AD20" s="1">
        <v>180.81299999999999</v>
      </c>
      <c r="AE20" s="1">
        <v>172.351</v>
      </c>
      <c r="AF20" s="1">
        <v>187.845</v>
      </c>
      <c r="AG20" s="1">
        <v>180.13200000000001</v>
      </c>
      <c r="AI20" s="1">
        <f t="shared" si="8"/>
        <v>1.1999999999999988</v>
      </c>
      <c r="AJ20" s="1">
        <v>2.5000000000000001E-2</v>
      </c>
      <c r="AK20" s="1">
        <v>295.74799999999999</v>
      </c>
      <c r="AL20" s="1">
        <v>149.417</v>
      </c>
      <c r="AM20" s="1">
        <v>146.33099999999999</v>
      </c>
      <c r="AN20" s="1">
        <v>180.959</v>
      </c>
      <c r="AO20" s="1">
        <v>176.53800000000001</v>
      </c>
    </row>
    <row r="21" spans="1:41" x14ac:dyDescent="0.3">
      <c r="A21" s="1">
        <v>5</v>
      </c>
      <c r="B21" s="1">
        <f t="shared" si="6"/>
        <v>12.2</v>
      </c>
      <c r="C21" s="1">
        <v>0.02</v>
      </c>
      <c r="D21" s="1">
        <v>353.142</v>
      </c>
      <c r="E21" s="1">
        <v>180.624</v>
      </c>
      <c r="F21" s="1">
        <v>172.51900000000001</v>
      </c>
      <c r="G21" s="1">
        <v>188.30099999999999</v>
      </c>
      <c r="H21" s="1">
        <v>180.58600000000001</v>
      </c>
      <c r="I21" s="14">
        <f t="shared" si="4"/>
        <v>0.98275718126109668</v>
      </c>
      <c r="O21" s="1">
        <f t="shared" si="7"/>
        <v>3.6999999999999988</v>
      </c>
      <c r="P21" s="1">
        <v>-3.5000000000000003E-2</v>
      </c>
      <c r="Q21" s="1">
        <v>299.67500000000001</v>
      </c>
      <c r="R21" s="1">
        <v>149.886</v>
      </c>
      <c r="S21" s="1">
        <v>149.78899999999999</v>
      </c>
      <c r="T21" s="1">
        <v>187.99</v>
      </c>
      <c r="U21" s="1">
        <v>178.273</v>
      </c>
      <c r="W21" s="1">
        <f t="shared" si="9"/>
        <v>0</v>
      </c>
      <c r="X21" s="14">
        <f t="shared" si="5"/>
        <v>0.81321827383617595</v>
      </c>
      <c r="AB21" s="1">
        <v>0.02</v>
      </c>
      <c r="AC21" s="1">
        <v>353.142</v>
      </c>
      <c r="AD21" s="1">
        <v>180.624</v>
      </c>
      <c r="AE21" s="1">
        <v>172.51900000000001</v>
      </c>
      <c r="AF21" s="1">
        <v>188.30099999999999</v>
      </c>
      <c r="AG21" s="1">
        <v>180.58600000000001</v>
      </c>
      <c r="AI21" s="1">
        <f t="shared" si="8"/>
        <v>3.6999999999999988</v>
      </c>
      <c r="AJ21" s="1">
        <v>-3.5000000000000003E-2</v>
      </c>
      <c r="AK21" s="1">
        <v>295.67500000000001</v>
      </c>
      <c r="AL21" s="1">
        <v>148.31</v>
      </c>
      <c r="AM21" s="1">
        <v>147.36500000000001</v>
      </c>
      <c r="AN21" s="1">
        <v>181.34899999999999</v>
      </c>
      <c r="AO21" s="1">
        <v>177.489</v>
      </c>
    </row>
    <row r="22" spans="1:41" x14ac:dyDescent="0.3">
      <c r="A22" s="1">
        <v>6</v>
      </c>
      <c r="B22" s="1">
        <f t="shared" si="6"/>
        <v>14.2</v>
      </c>
      <c r="C22" s="1">
        <v>-3.6999999999999998E-2</v>
      </c>
      <c r="D22" s="1">
        <v>352.37900000000002</v>
      </c>
      <c r="E22" s="1">
        <v>179.91</v>
      </c>
      <c r="F22" s="1">
        <v>172.46899999999999</v>
      </c>
      <c r="G22" s="1">
        <v>188.57599999999999</v>
      </c>
      <c r="H22" s="1">
        <v>180.816</v>
      </c>
      <c r="I22" s="14">
        <f t="shared" si="4"/>
        <v>0.98063383221368183</v>
      </c>
      <c r="O22" s="1">
        <f t="shared" si="7"/>
        <v>0.1999999999999984</v>
      </c>
      <c r="P22" s="1">
        <v>-2.5000000000000001E-2</v>
      </c>
      <c r="Q22" s="1">
        <v>299.67500000000001</v>
      </c>
      <c r="R22" s="1">
        <v>149.886</v>
      </c>
      <c r="S22" s="1">
        <v>149.78899999999999</v>
      </c>
      <c r="T22" s="1">
        <v>187.99</v>
      </c>
      <c r="U22" s="1">
        <v>178.273</v>
      </c>
      <c r="W22" s="1">
        <f t="shared" si="9"/>
        <v>0</v>
      </c>
      <c r="X22" s="14">
        <f t="shared" si="5"/>
        <v>0.81321827383617595</v>
      </c>
      <c r="AB22" s="1">
        <v>-3.6999999999999998E-2</v>
      </c>
      <c r="AC22" s="1">
        <v>352.37900000000002</v>
      </c>
      <c r="AD22" s="1">
        <v>179.91</v>
      </c>
      <c r="AE22" s="1">
        <v>172.46899999999999</v>
      </c>
      <c r="AF22" s="1">
        <v>188.57599999999999</v>
      </c>
      <c r="AG22" s="1">
        <v>180.816</v>
      </c>
      <c r="AI22" s="1">
        <f t="shared" si="8"/>
        <v>0.1999999999999984</v>
      </c>
      <c r="AJ22" s="1">
        <v>-2.5000000000000001E-2</v>
      </c>
      <c r="AK22" s="1">
        <v>295.49700000000001</v>
      </c>
      <c r="AL22" s="1">
        <v>148.291</v>
      </c>
      <c r="AM22" s="1">
        <v>147.20500000000001</v>
      </c>
      <c r="AN22" s="1">
        <v>184.06</v>
      </c>
      <c r="AO22" s="1">
        <v>178.1</v>
      </c>
    </row>
    <row r="23" spans="1:41" x14ac:dyDescent="0.3">
      <c r="A23" s="1">
        <v>7</v>
      </c>
      <c r="B23" s="1">
        <f t="shared" si="6"/>
        <v>10.5</v>
      </c>
      <c r="C23" s="1">
        <v>1.4999999999999999E-2</v>
      </c>
      <c r="D23" s="1">
        <v>352.37900000000002</v>
      </c>
      <c r="E23" s="1">
        <v>179.91</v>
      </c>
      <c r="F23" s="1">
        <v>172.46899999999999</v>
      </c>
      <c r="G23" s="1">
        <v>188.57599999999999</v>
      </c>
      <c r="H23" s="1">
        <v>180.816</v>
      </c>
      <c r="I23" s="14">
        <f t="shared" si="4"/>
        <v>0.98063383221368183</v>
      </c>
      <c r="O23" s="1">
        <f t="shared" si="7"/>
        <v>-2.3000000000000016</v>
      </c>
      <c r="P23" s="1">
        <v>3.9E-2</v>
      </c>
      <c r="Q23" s="1">
        <v>299.67500000000001</v>
      </c>
      <c r="R23" s="1">
        <v>149.886</v>
      </c>
      <c r="S23" s="1">
        <v>149.78899999999999</v>
      </c>
      <c r="T23" s="1">
        <v>187.99</v>
      </c>
      <c r="U23" s="1">
        <v>178.273</v>
      </c>
      <c r="W23" s="1">
        <f t="shared" si="9"/>
        <v>0</v>
      </c>
      <c r="X23" s="14">
        <f t="shared" si="5"/>
        <v>0.81321827383617595</v>
      </c>
      <c r="AB23" s="1">
        <v>1.4999999999999999E-2</v>
      </c>
      <c r="AC23" s="1">
        <v>352.51</v>
      </c>
      <c r="AD23" s="1">
        <v>180.18100000000001</v>
      </c>
      <c r="AE23" s="1">
        <v>172.32900000000001</v>
      </c>
      <c r="AF23" s="1">
        <v>188.04900000000001</v>
      </c>
      <c r="AG23" s="1">
        <v>180.321</v>
      </c>
      <c r="AI23" s="1">
        <f t="shared" si="8"/>
        <v>-2.3000000000000016</v>
      </c>
      <c r="AJ23" s="1">
        <v>3.9E-2</v>
      </c>
      <c r="AK23" s="1">
        <v>294.91500000000002</v>
      </c>
      <c r="AL23" s="1">
        <v>148.30799999999999</v>
      </c>
      <c r="AM23" s="1">
        <v>146.607</v>
      </c>
      <c r="AN23" s="1">
        <v>183.85499999999999</v>
      </c>
      <c r="AO23" s="1">
        <v>176.05099999999999</v>
      </c>
    </row>
    <row r="24" spans="1:41" x14ac:dyDescent="0.3">
      <c r="A24" s="1">
        <v>8</v>
      </c>
      <c r="B24" s="1">
        <f t="shared" si="6"/>
        <v>12</v>
      </c>
      <c r="C24" s="1">
        <v>3.5000000000000003E-2</v>
      </c>
      <c r="D24" s="1">
        <v>352.37900000000002</v>
      </c>
      <c r="E24" s="1">
        <v>179.91</v>
      </c>
      <c r="F24" s="1">
        <v>172.46899999999999</v>
      </c>
      <c r="G24" s="1">
        <v>188.57599999999999</v>
      </c>
      <c r="H24" s="1">
        <v>180.816</v>
      </c>
      <c r="I24" s="14">
        <f t="shared" si="4"/>
        <v>0.98063383221368183</v>
      </c>
      <c r="O24" s="1">
        <f t="shared" si="7"/>
        <v>1.5999999999999983</v>
      </c>
      <c r="P24" s="1">
        <v>0.04</v>
      </c>
      <c r="Q24" s="1">
        <v>299.67500000000001</v>
      </c>
      <c r="R24" s="1">
        <v>149.886</v>
      </c>
      <c r="S24" s="1">
        <v>149.78899999999999</v>
      </c>
      <c r="T24" s="1">
        <v>187.99</v>
      </c>
      <c r="U24" s="1">
        <v>178.273</v>
      </c>
      <c r="W24" s="1">
        <f t="shared" si="9"/>
        <v>0</v>
      </c>
      <c r="X24" s="14">
        <f t="shared" si="5"/>
        <v>0.81321827383617595</v>
      </c>
      <c r="AB24" s="1">
        <v>3.5000000000000003E-2</v>
      </c>
      <c r="AC24" s="1">
        <v>352.423</v>
      </c>
      <c r="AD24" s="1">
        <v>179.78800000000001</v>
      </c>
      <c r="AE24" s="1">
        <v>172.63499999999999</v>
      </c>
      <c r="AF24" s="1">
        <v>188.37700000000001</v>
      </c>
      <c r="AG24" s="1">
        <v>180.625</v>
      </c>
      <c r="AI24" s="1">
        <f t="shared" si="8"/>
        <v>1.5999999999999983</v>
      </c>
      <c r="AJ24" s="1">
        <v>0.04</v>
      </c>
      <c r="AK24" s="1">
        <v>295.08699999999999</v>
      </c>
      <c r="AL24" s="1">
        <v>150.32</v>
      </c>
      <c r="AM24" s="1">
        <v>144.767</v>
      </c>
      <c r="AN24" s="1">
        <v>181.53700000000001</v>
      </c>
      <c r="AO24" s="1">
        <v>175.60499999999999</v>
      </c>
    </row>
    <row r="25" spans="1:41" x14ac:dyDescent="0.3">
      <c r="A25" s="1">
        <v>9</v>
      </c>
      <c r="B25" s="1">
        <f t="shared" si="6"/>
        <v>15.5</v>
      </c>
      <c r="C25" s="1">
        <v>-3.5000000000000003E-2</v>
      </c>
      <c r="D25" s="1">
        <v>352.17899999999997</v>
      </c>
      <c r="E25" s="1">
        <v>179.964</v>
      </c>
      <c r="F25" s="1">
        <v>172.215</v>
      </c>
      <c r="G25" s="1">
        <v>188.494</v>
      </c>
      <c r="H25" s="1">
        <v>180.75800000000001</v>
      </c>
      <c r="I25" s="14">
        <f t="shared" si="4"/>
        <v>0.98007725317110894</v>
      </c>
      <c r="O25" s="1">
        <f t="shared" si="7"/>
        <v>5.5999999999999979</v>
      </c>
      <c r="P25" s="1">
        <v>-0.02</v>
      </c>
      <c r="Q25" s="1">
        <v>299.67500000000001</v>
      </c>
      <c r="R25" s="1">
        <v>149.886</v>
      </c>
      <c r="S25" s="1">
        <v>149.78899999999999</v>
      </c>
      <c r="T25" s="1">
        <v>187.99</v>
      </c>
      <c r="U25" s="1">
        <v>178.273</v>
      </c>
      <c r="W25" s="1">
        <f t="shared" si="9"/>
        <v>0</v>
      </c>
      <c r="X25" s="14">
        <f t="shared" si="5"/>
        <v>0.81321827383617595</v>
      </c>
      <c r="AB25" s="1">
        <v>-3.5000000000000003E-2</v>
      </c>
      <c r="AC25" s="1">
        <v>352.17899999999997</v>
      </c>
      <c r="AD25" s="1">
        <v>179.964</v>
      </c>
      <c r="AE25" s="1">
        <v>172.215</v>
      </c>
      <c r="AF25" s="1">
        <v>188.494</v>
      </c>
      <c r="AG25" s="1">
        <v>180.75800000000001</v>
      </c>
      <c r="AI25" s="1">
        <f t="shared" si="8"/>
        <v>5.5999999999999979</v>
      </c>
      <c r="AJ25" s="1">
        <v>-0.02</v>
      </c>
      <c r="AK25" s="1">
        <v>294.57600000000002</v>
      </c>
      <c r="AL25" s="1">
        <v>146.482</v>
      </c>
      <c r="AM25" s="1">
        <v>148.09399999999999</v>
      </c>
      <c r="AN25" s="1">
        <v>184.374</v>
      </c>
      <c r="AO25" s="1">
        <v>178.041</v>
      </c>
    </row>
    <row r="26" spans="1:41" x14ac:dyDescent="0.3">
      <c r="A26" s="1">
        <v>10</v>
      </c>
      <c r="B26" s="1">
        <f t="shared" si="6"/>
        <v>12</v>
      </c>
      <c r="C26" s="1">
        <v>-5.0000000000000001E-3</v>
      </c>
      <c r="D26" s="1">
        <v>351.99</v>
      </c>
      <c r="E26" s="1">
        <v>180.023</v>
      </c>
      <c r="F26" s="1">
        <v>171.96600000000001</v>
      </c>
      <c r="G26" s="1">
        <v>188.14099999999999</v>
      </c>
      <c r="H26" s="1">
        <v>180.41399999999999</v>
      </c>
      <c r="I26" s="14">
        <f t="shared" si="4"/>
        <v>0.97955128597587782</v>
      </c>
      <c r="O26" s="1">
        <f t="shared" si="7"/>
        <v>3.5999999999999979</v>
      </c>
      <c r="P26" s="1">
        <v>-3.5000000000000003E-2</v>
      </c>
      <c r="Q26" s="1">
        <v>299.67500000000001</v>
      </c>
      <c r="R26" s="1">
        <v>149.886</v>
      </c>
      <c r="S26" s="1">
        <v>149.78899999999999</v>
      </c>
      <c r="T26" s="1">
        <v>187.99</v>
      </c>
      <c r="U26" s="1">
        <v>178.273</v>
      </c>
      <c r="W26" s="1">
        <f t="shared" si="9"/>
        <v>0</v>
      </c>
      <c r="X26" s="14">
        <f t="shared" si="5"/>
        <v>0.81321827383617595</v>
      </c>
      <c r="AB26" s="1">
        <v>-5.0000000000000001E-3</v>
      </c>
      <c r="AC26" s="1">
        <v>351.99</v>
      </c>
      <c r="AD26" s="1">
        <v>180.023</v>
      </c>
      <c r="AE26" s="1">
        <v>171.96600000000001</v>
      </c>
      <c r="AF26" s="1">
        <v>188.14099999999999</v>
      </c>
      <c r="AG26" s="1">
        <v>180.41399999999999</v>
      </c>
      <c r="AI26" s="1">
        <f t="shared" si="8"/>
        <v>3.5999999999999979</v>
      </c>
      <c r="AJ26" s="1">
        <v>-3.5000000000000003E-2</v>
      </c>
      <c r="AK26" s="1">
        <v>291.63499999999999</v>
      </c>
      <c r="AL26" s="1">
        <v>144.54499999999999</v>
      </c>
      <c r="AM26" s="1">
        <v>147.09100000000001</v>
      </c>
      <c r="AN26" s="1">
        <v>183.92599999999999</v>
      </c>
      <c r="AO26" s="1">
        <v>177.17099999999999</v>
      </c>
    </row>
    <row r="27" spans="1:41" x14ac:dyDescent="0.3">
      <c r="A27" s="1">
        <v>11</v>
      </c>
      <c r="B27" s="1">
        <f t="shared" si="6"/>
        <v>11.5</v>
      </c>
      <c r="C27" s="1">
        <v>3.5999999999999997E-2</v>
      </c>
      <c r="D27" s="1">
        <v>351.99</v>
      </c>
      <c r="E27" s="1">
        <v>180.023</v>
      </c>
      <c r="F27" s="1">
        <v>171.96600000000001</v>
      </c>
      <c r="G27" s="1">
        <v>188.14099999999999</v>
      </c>
      <c r="H27" s="1">
        <v>180.41399999999999</v>
      </c>
      <c r="I27" s="14">
        <f t="shared" si="4"/>
        <v>0.97955128597587782</v>
      </c>
      <c r="O27" s="1">
        <f t="shared" si="7"/>
        <v>9.9999999999997424E-2</v>
      </c>
      <c r="P27" s="1">
        <v>3.9E-2</v>
      </c>
      <c r="Q27" s="1">
        <v>299.67500000000001</v>
      </c>
      <c r="R27" s="1">
        <v>149.886</v>
      </c>
      <c r="S27" s="1">
        <v>149.78899999999999</v>
      </c>
      <c r="T27" s="1">
        <v>187.99</v>
      </c>
      <c r="U27" s="1">
        <v>178.273</v>
      </c>
      <c r="W27" s="1">
        <f t="shared" si="9"/>
        <v>0</v>
      </c>
      <c r="X27" s="14">
        <f t="shared" si="5"/>
        <v>0.81321827383617595</v>
      </c>
      <c r="AB27" s="1">
        <v>3.5999999999999997E-2</v>
      </c>
      <c r="AC27" s="1">
        <v>352.40199999999999</v>
      </c>
      <c r="AD27" s="1">
        <v>180.096</v>
      </c>
      <c r="AE27" s="1">
        <v>172.30600000000001</v>
      </c>
      <c r="AF27" s="1">
        <v>188.095</v>
      </c>
      <c r="AG27" s="1">
        <v>180.363</v>
      </c>
      <c r="AI27" s="1">
        <f t="shared" si="8"/>
        <v>9.9999999999997424E-2</v>
      </c>
      <c r="AJ27" s="1">
        <v>3.9E-2</v>
      </c>
      <c r="AK27" s="1">
        <v>291.50700000000001</v>
      </c>
      <c r="AL27" s="1">
        <v>147.19900000000001</v>
      </c>
      <c r="AM27" s="1">
        <v>144.30699999999999</v>
      </c>
      <c r="AN27" s="1">
        <v>178.38399999999999</v>
      </c>
      <c r="AO27" s="1">
        <v>175.88800000000001</v>
      </c>
    </row>
    <row r="28" spans="1:41" x14ac:dyDescent="0.3">
      <c r="A28" s="1">
        <v>12</v>
      </c>
      <c r="B28" s="1">
        <f t="shared" si="6"/>
        <v>15.1</v>
      </c>
      <c r="C28" s="1">
        <v>-0.04</v>
      </c>
      <c r="D28" s="1">
        <v>351.99</v>
      </c>
      <c r="E28" s="1">
        <v>180.023</v>
      </c>
      <c r="F28" s="1">
        <v>171.96600000000001</v>
      </c>
      <c r="G28" s="1">
        <v>188.14099999999999</v>
      </c>
      <c r="H28" s="1">
        <v>180.41399999999999</v>
      </c>
      <c r="I28" s="14">
        <f t="shared" si="4"/>
        <v>0.97955128597587782</v>
      </c>
      <c r="O28" s="1">
        <f t="shared" si="7"/>
        <v>3.9999999999999973</v>
      </c>
      <c r="P28" s="1">
        <v>2.9000000000000001E-2</v>
      </c>
      <c r="Q28" s="1">
        <v>299.67500000000001</v>
      </c>
      <c r="R28" s="1">
        <v>149.886</v>
      </c>
      <c r="S28" s="1">
        <v>149.78899999999999</v>
      </c>
      <c r="T28" s="1">
        <v>187.99</v>
      </c>
      <c r="U28" s="1">
        <v>178.273</v>
      </c>
      <c r="W28" s="1">
        <f t="shared" si="9"/>
        <v>0</v>
      </c>
      <c r="X28" s="14">
        <f t="shared" si="5"/>
        <v>0.81321827383617595</v>
      </c>
      <c r="AB28" s="1">
        <v>-0.04</v>
      </c>
      <c r="AC28" s="1">
        <v>352.57900000000001</v>
      </c>
      <c r="AD28" s="1">
        <v>180.126</v>
      </c>
      <c r="AE28" s="1">
        <v>172.452</v>
      </c>
      <c r="AF28" s="1">
        <v>188.36500000000001</v>
      </c>
      <c r="AG28" s="1">
        <v>180.62100000000001</v>
      </c>
      <c r="AI28" s="1">
        <f t="shared" si="8"/>
        <v>3.9999999999999973</v>
      </c>
      <c r="AJ28" s="1">
        <v>2.9000000000000001E-2</v>
      </c>
      <c r="AK28" s="1">
        <v>295.16899999999998</v>
      </c>
      <c r="AL28" s="1">
        <v>148.74600000000001</v>
      </c>
      <c r="AM28" s="1">
        <v>146.423</v>
      </c>
      <c r="AN28" s="1">
        <v>182.48599999999999</v>
      </c>
      <c r="AO28" s="1">
        <v>181.16800000000001</v>
      </c>
    </row>
    <row r="29" spans="1:41" x14ac:dyDescent="0.3">
      <c r="A29" s="1">
        <v>13</v>
      </c>
      <c r="B29" s="1">
        <f t="shared" si="6"/>
        <v>11.1</v>
      </c>
      <c r="C29" s="1">
        <v>0.04</v>
      </c>
      <c r="D29" s="1">
        <v>351.06</v>
      </c>
      <c r="E29" s="1">
        <v>179.31899999999999</v>
      </c>
      <c r="F29" s="1">
        <v>171.74</v>
      </c>
      <c r="G29" s="1">
        <v>189.11099999999999</v>
      </c>
      <c r="H29" s="1">
        <v>181.36500000000001</v>
      </c>
      <c r="I29" s="14">
        <f t="shared" si="4"/>
        <v>0.9769631934279146</v>
      </c>
      <c r="O29" s="1">
        <f t="shared" si="7"/>
        <v>6.8999999999999977</v>
      </c>
      <c r="P29" s="1">
        <v>-2.1000000000000001E-2</v>
      </c>
      <c r="Q29" s="1">
        <v>299.67500000000001</v>
      </c>
      <c r="R29" s="1">
        <v>149.886</v>
      </c>
      <c r="S29" s="1">
        <v>149.78899999999999</v>
      </c>
      <c r="T29" s="1">
        <v>187.99</v>
      </c>
      <c r="U29" s="1">
        <v>178.273</v>
      </c>
      <c r="W29" s="1">
        <f t="shared" si="9"/>
        <v>0</v>
      </c>
      <c r="X29" s="14">
        <f t="shared" si="5"/>
        <v>0.81321827383617595</v>
      </c>
      <c r="AB29" s="1">
        <v>0.04</v>
      </c>
      <c r="AC29" s="1">
        <v>351.06</v>
      </c>
      <c r="AD29" s="1">
        <v>179.31899999999999</v>
      </c>
      <c r="AE29" s="1">
        <v>171.74</v>
      </c>
      <c r="AF29" s="1">
        <v>189.11099999999999</v>
      </c>
      <c r="AG29" s="1">
        <v>181.36500000000001</v>
      </c>
      <c r="AI29" s="1">
        <f t="shared" si="8"/>
        <v>6.8999999999999977</v>
      </c>
      <c r="AJ29" s="1">
        <v>-2.1000000000000001E-2</v>
      </c>
      <c r="AK29" s="1">
        <v>293.55500000000001</v>
      </c>
      <c r="AL29" s="1">
        <v>149.203</v>
      </c>
      <c r="AM29" s="1">
        <v>144.352</v>
      </c>
      <c r="AN29" s="1">
        <v>183.84399999999999</v>
      </c>
      <c r="AO29" s="1">
        <v>177.88499999999999</v>
      </c>
    </row>
    <row r="30" spans="1:41" x14ac:dyDescent="0.3">
      <c r="A30" s="1">
        <v>14</v>
      </c>
      <c r="B30" s="1">
        <f t="shared" si="6"/>
        <v>15.1</v>
      </c>
      <c r="C30" s="1">
        <v>-0.04</v>
      </c>
      <c r="D30" s="1">
        <v>350.74200000000002</v>
      </c>
      <c r="E30" s="1">
        <v>179.07499999999999</v>
      </c>
      <c r="F30" s="1">
        <v>171.667</v>
      </c>
      <c r="G30" s="1">
        <v>188.476</v>
      </c>
      <c r="H30" s="1">
        <v>180.72499999999999</v>
      </c>
      <c r="I30" s="14">
        <f t="shared" si="4"/>
        <v>0.97607823275022398</v>
      </c>
      <c r="O30" s="1">
        <f t="shared" si="7"/>
        <v>4.7999999999999972</v>
      </c>
      <c r="P30" s="1">
        <v>2.5999999999999999E-2</v>
      </c>
      <c r="Q30" s="1">
        <v>299.67500000000001</v>
      </c>
      <c r="R30" s="1">
        <v>149.886</v>
      </c>
      <c r="S30" s="1">
        <v>149.78899999999999</v>
      </c>
      <c r="T30" s="1">
        <v>187.99</v>
      </c>
      <c r="U30" s="1">
        <v>178.273</v>
      </c>
      <c r="W30" s="1">
        <f t="shared" si="9"/>
        <v>0</v>
      </c>
      <c r="X30" s="14">
        <f t="shared" si="5"/>
        <v>0.81321827383617595</v>
      </c>
      <c r="AB30" s="1">
        <v>-0.04</v>
      </c>
      <c r="AC30" s="1">
        <v>350.74200000000002</v>
      </c>
      <c r="AD30" s="1">
        <v>179.07499999999999</v>
      </c>
      <c r="AE30" s="1">
        <v>171.667</v>
      </c>
      <c r="AF30" s="1">
        <v>188.476</v>
      </c>
      <c r="AG30" s="1">
        <v>180.72499999999999</v>
      </c>
      <c r="AI30" s="1">
        <f t="shared" si="8"/>
        <v>4.7999999999999972</v>
      </c>
      <c r="AJ30" s="1">
        <v>2.5999999999999999E-2</v>
      </c>
      <c r="AK30" s="1">
        <v>294.35399999999998</v>
      </c>
      <c r="AL30" s="1">
        <v>150.58199999999999</v>
      </c>
      <c r="AM30" s="1">
        <v>143.77199999999999</v>
      </c>
      <c r="AN30" s="1">
        <v>183.33500000000001</v>
      </c>
      <c r="AO30" s="1">
        <v>177.89400000000001</v>
      </c>
    </row>
    <row r="31" spans="1:41" x14ac:dyDescent="0.3">
      <c r="A31" s="1">
        <v>15</v>
      </c>
      <c r="B31" s="1">
        <f t="shared" si="6"/>
        <v>11.1</v>
      </c>
      <c r="C31" s="1">
        <v>0.04</v>
      </c>
      <c r="D31" s="1">
        <v>350.226</v>
      </c>
      <c r="E31" s="1">
        <v>178.92500000000001</v>
      </c>
      <c r="F31" s="1">
        <v>171.30199999999999</v>
      </c>
      <c r="G31" s="1">
        <v>188.74700000000001</v>
      </c>
      <c r="H31" s="1">
        <v>180.994</v>
      </c>
      <c r="I31" s="14">
        <f t="shared" si="4"/>
        <v>0.97464225882038635</v>
      </c>
      <c r="O31" s="1">
        <f t="shared" si="7"/>
        <v>7.3999999999999968</v>
      </c>
      <c r="P31" s="1">
        <v>-1.6E-2</v>
      </c>
      <c r="Q31" s="1">
        <v>299.67500000000001</v>
      </c>
      <c r="R31" s="1">
        <v>149.886</v>
      </c>
      <c r="S31" s="1">
        <v>149.78899999999999</v>
      </c>
      <c r="T31" s="1">
        <v>187.99</v>
      </c>
      <c r="U31" s="1">
        <v>178.273</v>
      </c>
      <c r="W31" s="1">
        <f t="shared" si="9"/>
        <v>0</v>
      </c>
      <c r="X31" s="14">
        <f t="shared" si="5"/>
        <v>0.81321827383617595</v>
      </c>
      <c r="AB31" s="1">
        <v>0.04</v>
      </c>
      <c r="AC31" s="1">
        <v>350.226</v>
      </c>
      <c r="AD31" s="1">
        <v>178.92500000000001</v>
      </c>
      <c r="AE31" s="1">
        <v>171.30199999999999</v>
      </c>
      <c r="AF31" s="1">
        <v>188.74700000000001</v>
      </c>
      <c r="AG31" s="1">
        <v>180.994</v>
      </c>
      <c r="AI31" s="1">
        <f t="shared" si="8"/>
        <v>7.3999999999999968</v>
      </c>
      <c r="AJ31" s="1">
        <v>-1.6E-2</v>
      </c>
      <c r="AK31" s="1">
        <v>291.96600000000001</v>
      </c>
      <c r="AL31" s="1">
        <v>146.31399999999999</v>
      </c>
      <c r="AM31" s="1">
        <v>145.65199999999999</v>
      </c>
      <c r="AN31" s="1">
        <v>183.614</v>
      </c>
      <c r="AO31" s="1">
        <v>179.51900000000001</v>
      </c>
    </row>
    <row r="32" spans="1:41" x14ac:dyDescent="0.3">
      <c r="A32" s="1">
        <v>16</v>
      </c>
      <c r="B32" s="1">
        <f t="shared" si="6"/>
        <v>15.1</v>
      </c>
      <c r="C32" s="1">
        <v>-3.5000000000000003E-2</v>
      </c>
      <c r="D32" s="1">
        <v>349.95600000000002</v>
      </c>
      <c r="E32" s="1">
        <v>179.31200000000001</v>
      </c>
      <c r="F32" s="1">
        <v>170.64400000000001</v>
      </c>
      <c r="G32" s="1">
        <v>188.964</v>
      </c>
      <c r="H32" s="1">
        <v>181.255</v>
      </c>
      <c r="I32" s="14">
        <f t="shared" si="4"/>
        <v>0.97389087711291322</v>
      </c>
      <c r="O32" s="1">
        <f t="shared" si="7"/>
        <v>5.7999999999999972</v>
      </c>
      <c r="P32" s="1">
        <v>-0.02</v>
      </c>
      <c r="Q32" s="1">
        <v>299.67500000000001</v>
      </c>
      <c r="R32" s="1">
        <v>149.886</v>
      </c>
      <c r="S32" s="1">
        <v>149.78899999999999</v>
      </c>
      <c r="T32" s="1">
        <v>187.99</v>
      </c>
      <c r="U32" s="1">
        <v>178.273</v>
      </c>
      <c r="W32" s="1">
        <f t="shared" si="9"/>
        <v>0</v>
      </c>
      <c r="X32" s="14">
        <f t="shared" si="5"/>
        <v>0.81321827383617595</v>
      </c>
      <c r="AB32" s="1">
        <v>-3.5000000000000003E-2</v>
      </c>
      <c r="AC32" s="1">
        <v>349.95600000000002</v>
      </c>
      <c r="AD32" s="1">
        <v>179.31200000000001</v>
      </c>
      <c r="AE32" s="1">
        <v>170.64400000000001</v>
      </c>
      <c r="AF32" s="1">
        <v>188.964</v>
      </c>
      <c r="AG32" s="1">
        <v>181.255</v>
      </c>
      <c r="AI32" s="1">
        <f t="shared" si="8"/>
        <v>5.7999999999999972</v>
      </c>
      <c r="AJ32" s="1">
        <v>-0.02</v>
      </c>
      <c r="AK32" s="1">
        <v>294.01799999999997</v>
      </c>
      <c r="AL32" s="1">
        <v>149.47399999999999</v>
      </c>
      <c r="AM32" s="1">
        <v>144.54400000000001</v>
      </c>
      <c r="AN32" s="1">
        <v>181.82</v>
      </c>
      <c r="AO32" s="1">
        <v>177.22200000000001</v>
      </c>
    </row>
    <row r="33" spans="1:41" x14ac:dyDescent="0.3">
      <c r="A33" s="1">
        <v>17</v>
      </c>
      <c r="B33" s="1">
        <f t="shared" si="6"/>
        <v>11.6</v>
      </c>
      <c r="C33" s="1">
        <v>0.04</v>
      </c>
      <c r="D33" s="1">
        <v>349.77800000000002</v>
      </c>
      <c r="E33" s="1">
        <v>179.148</v>
      </c>
      <c r="F33" s="1">
        <v>170.63</v>
      </c>
      <c r="G33" s="1">
        <v>189.36500000000001</v>
      </c>
      <c r="H33" s="1">
        <v>181.64400000000001</v>
      </c>
      <c r="I33" s="14">
        <f t="shared" si="4"/>
        <v>0.97339552176502342</v>
      </c>
      <c r="O33" s="1">
        <f t="shared" si="7"/>
        <v>3.7999999999999972</v>
      </c>
      <c r="P33" s="1">
        <v>-2.7E-2</v>
      </c>
      <c r="Q33" s="1">
        <v>299.67500000000001</v>
      </c>
      <c r="R33" s="1">
        <v>149.886</v>
      </c>
      <c r="S33" s="1">
        <v>149.78899999999999</v>
      </c>
      <c r="T33" s="1">
        <v>187.99</v>
      </c>
      <c r="U33" s="1">
        <v>178.273</v>
      </c>
      <c r="W33" s="1">
        <f t="shared" si="9"/>
        <v>0</v>
      </c>
      <c r="X33" s="14">
        <f t="shared" si="5"/>
        <v>0.81321827383617595</v>
      </c>
      <c r="AB33" s="1">
        <v>0.04</v>
      </c>
      <c r="AC33" s="1">
        <v>349.77800000000002</v>
      </c>
      <c r="AD33" s="1">
        <v>179.148</v>
      </c>
      <c r="AE33" s="1">
        <v>170.63</v>
      </c>
      <c r="AF33" s="1">
        <v>189.36500000000001</v>
      </c>
      <c r="AG33" s="1">
        <v>181.64400000000001</v>
      </c>
      <c r="AI33" s="1">
        <f t="shared" si="8"/>
        <v>3.7999999999999972</v>
      </c>
      <c r="AJ33" s="1">
        <v>-2.7E-2</v>
      </c>
      <c r="AK33" s="1">
        <v>294.649</v>
      </c>
      <c r="AL33" s="1">
        <v>149.011</v>
      </c>
      <c r="AM33" s="1">
        <v>145.63800000000001</v>
      </c>
      <c r="AN33" s="1">
        <v>182.727</v>
      </c>
      <c r="AO33" s="1">
        <v>178.512</v>
      </c>
    </row>
    <row r="34" spans="1:41" x14ac:dyDescent="0.3">
      <c r="A34" s="1">
        <v>18</v>
      </c>
      <c r="B34" s="1">
        <f t="shared" si="6"/>
        <v>15.6</v>
      </c>
      <c r="C34" s="1">
        <v>-0.04</v>
      </c>
      <c r="D34" s="1">
        <v>349.49200000000002</v>
      </c>
      <c r="E34" s="1">
        <v>178.815</v>
      </c>
      <c r="F34" s="1">
        <v>170.67599999999999</v>
      </c>
      <c r="G34" s="1">
        <v>188.96199999999999</v>
      </c>
      <c r="H34" s="1">
        <v>181.24199999999999</v>
      </c>
      <c r="I34" s="14">
        <f t="shared" si="4"/>
        <v>0.9725996137341445</v>
      </c>
      <c r="O34" s="1">
        <f t="shared" si="7"/>
        <v>1.099999999999997</v>
      </c>
      <c r="P34" s="1">
        <v>-1.4E-2</v>
      </c>
      <c r="Q34" s="1">
        <v>299.67500000000001</v>
      </c>
      <c r="R34" s="1">
        <v>149.886</v>
      </c>
      <c r="S34" s="1">
        <v>149.78899999999999</v>
      </c>
      <c r="T34" s="1">
        <v>187.99</v>
      </c>
      <c r="U34" s="1">
        <v>178.273</v>
      </c>
      <c r="W34" s="1">
        <f t="shared" si="9"/>
        <v>0</v>
      </c>
      <c r="X34" s="14">
        <f t="shared" si="5"/>
        <v>0.81321827383617595</v>
      </c>
      <c r="AB34" s="1">
        <v>-0.04</v>
      </c>
      <c r="AC34" s="1">
        <v>349.49200000000002</v>
      </c>
      <c r="AD34" s="1">
        <v>178.815</v>
      </c>
      <c r="AE34" s="1">
        <v>170.67599999999999</v>
      </c>
      <c r="AF34" s="1">
        <v>188.96199999999999</v>
      </c>
      <c r="AG34" s="1">
        <v>181.24199999999999</v>
      </c>
      <c r="AI34" s="1">
        <f t="shared" si="8"/>
        <v>1.099999999999997</v>
      </c>
      <c r="AJ34" s="1">
        <v>-1.4E-2</v>
      </c>
      <c r="AK34" s="1">
        <v>294.93400000000003</v>
      </c>
      <c r="AL34" s="1">
        <v>149.26499999999999</v>
      </c>
      <c r="AM34" s="1">
        <v>145.66900000000001</v>
      </c>
      <c r="AN34" s="1">
        <v>181.797</v>
      </c>
      <c r="AO34" s="1">
        <v>178.37</v>
      </c>
    </row>
    <row r="35" spans="1:41" x14ac:dyDescent="0.3">
      <c r="A35" s="1">
        <v>19</v>
      </c>
      <c r="B35" s="1">
        <f t="shared" si="6"/>
        <v>11.6</v>
      </c>
      <c r="C35" s="1">
        <v>3.5000000000000003E-2</v>
      </c>
      <c r="D35" s="1">
        <v>349.41699999999997</v>
      </c>
      <c r="E35" s="1">
        <v>178.935</v>
      </c>
      <c r="F35" s="1">
        <v>170.482</v>
      </c>
      <c r="G35" s="1">
        <v>189.40799999999999</v>
      </c>
      <c r="H35" s="1">
        <v>181.68899999999999</v>
      </c>
      <c r="I35" s="14">
        <f t="shared" si="4"/>
        <v>0.97239089659317957</v>
      </c>
      <c r="O35" s="1">
        <f t="shared" si="7"/>
        <v>-0.30000000000000315</v>
      </c>
      <c r="P35" s="1">
        <v>-0.04</v>
      </c>
      <c r="Q35" s="1">
        <v>299.67500000000001</v>
      </c>
      <c r="R35" s="1">
        <v>149.886</v>
      </c>
      <c r="S35" s="1">
        <v>149.78899999999999</v>
      </c>
      <c r="T35" s="1">
        <v>187.99</v>
      </c>
      <c r="U35" s="1">
        <v>178.273</v>
      </c>
      <c r="W35" s="1">
        <f t="shared" si="9"/>
        <v>0</v>
      </c>
      <c r="X35" s="14">
        <f t="shared" si="5"/>
        <v>0.81321827383617595</v>
      </c>
      <c r="AB35" s="1">
        <v>3.5000000000000003E-2</v>
      </c>
      <c r="AC35" s="1">
        <v>349.41699999999997</v>
      </c>
      <c r="AD35" s="1">
        <v>178.935</v>
      </c>
      <c r="AE35" s="1">
        <v>170.482</v>
      </c>
      <c r="AF35" s="1">
        <v>189.40799999999999</v>
      </c>
      <c r="AG35" s="1">
        <v>181.68899999999999</v>
      </c>
      <c r="AI35" s="1">
        <f t="shared" si="8"/>
        <v>-0.30000000000000315</v>
      </c>
      <c r="AJ35" s="1">
        <v>-0.04</v>
      </c>
      <c r="AK35" s="1">
        <v>292.83699999999999</v>
      </c>
      <c r="AL35" s="1">
        <v>147.23599999999999</v>
      </c>
      <c r="AM35" s="1">
        <v>145.601</v>
      </c>
      <c r="AN35" s="1">
        <v>180.875</v>
      </c>
      <c r="AO35" s="1">
        <v>178.018</v>
      </c>
    </row>
    <row r="36" spans="1:41" x14ac:dyDescent="0.3">
      <c r="A36" s="1">
        <v>20</v>
      </c>
      <c r="B36" s="1">
        <f t="shared" si="6"/>
        <v>15.1</v>
      </c>
      <c r="C36" s="1">
        <v>-0.03</v>
      </c>
      <c r="D36" s="1">
        <v>348.62599999999998</v>
      </c>
      <c r="E36" s="1">
        <v>178.36099999999999</v>
      </c>
      <c r="F36" s="1">
        <v>170.26499999999999</v>
      </c>
      <c r="G36" s="1">
        <v>189.23099999999999</v>
      </c>
      <c r="H36" s="1">
        <v>181.499</v>
      </c>
      <c r="I36" s="14">
        <f t="shared" si="4"/>
        <v>0.97018962647980445</v>
      </c>
      <c r="O36" s="1">
        <f t="shared" si="7"/>
        <v>-4.3000000000000034</v>
      </c>
      <c r="P36" s="1">
        <v>-1.4E-2</v>
      </c>
      <c r="Q36" s="1">
        <v>298.83600000000001</v>
      </c>
      <c r="R36" s="1">
        <v>148.48099999999999</v>
      </c>
      <c r="S36" s="1">
        <v>150.35499999999999</v>
      </c>
      <c r="T36" s="1">
        <v>183.24700000000001</v>
      </c>
      <c r="U36" s="1">
        <v>179.26</v>
      </c>
      <c r="W36" s="1">
        <f t="shared" si="9"/>
        <v>0</v>
      </c>
      <c r="X36" s="14">
        <f t="shared" si="5"/>
        <v>0.8109415068994994</v>
      </c>
      <c r="AB36" s="1">
        <v>-0.03</v>
      </c>
      <c r="AC36" s="1">
        <v>348.62599999999998</v>
      </c>
      <c r="AD36" s="1">
        <v>178.36099999999999</v>
      </c>
      <c r="AE36" s="1">
        <v>170.26499999999999</v>
      </c>
      <c r="AF36" s="1">
        <v>189.23099999999999</v>
      </c>
      <c r="AG36" s="1">
        <v>181.499</v>
      </c>
      <c r="AI36" s="1">
        <f t="shared" si="8"/>
        <v>-4.3000000000000034</v>
      </c>
      <c r="AJ36" s="1">
        <v>-1.4E-2</v>
      </c>
      <c r="AK36" s="1">
        <v>288.846</v>
      </c>
      <c r="AL36" s="1">
        <v>147.48599999999999</v>
      </c>
      <c r="AM36" s="1">
        <v>141.36000000000001</v>
      </c>
      <c r="AN36" s="1">
        <v>178.839</v>
      </c>
      <c r="AO36" s="1">
        <v>177.27</v>
      </c>
    </row>
    <row r="37" spans="1:41" x14ac:dyDescent="0.3">
      <c r="A37" s="1">
        <v>21</v>
      </c>
      <c r="B37" s="1">
        <f t="shared" si="6"/>
        <v>12.1</v>
      </c>
      <c r="C37" s="1">
        <v>0.04</v>
      </c>
      <c r="D37" s="1">
        <v>348.29300000000001</v>
      </c>
      <c r="E37" s="1">
        <v>178.15299999999999</v>
      </c>
      <c r="F37" s="1">
        <v>170.14</v>
      </c>
      <c r="G37" s="1">
        <v>189.798</v>
      </c>
      <c r="H37" s="1">
        <v>182.072</v>
      </c>
      <c r="I37" s="14">
        <f t="shared" si="4"/>
        <v>0.96926292237392087</v>
      </c>
      <c r="O37" s="1">
        <f t="shared" si="7"/>
        <v>-5.7000000000000037</v>
      </c>
      <c r="P37" s="1">
        <v>-2.9000000000000001E-2</v>
      </c>
      <c r="Q37" s="1">
        <v>298.83600000000001</v>
      </c>
      <c r="R37" s="1">
        <v>148.48099999999999</v>
      </c>
      <c r="S37" s="1">
        <v>150.35499999999999</v>
      </c>
      <c r="T37" s="1">
        <v>183.24700000000001</v>
      </c>
      <c r="U37" s="1">
        <v>179.26</v>
      </c>
      <c r="W37" s="1">
        <f t="shared" si="9"/>
        <v>0</v>
      </c>
      <c r="X37" s="14">
        <f t="shared" si="5"/>
        <v>0.8109415068994994</v>
      </c>
      <c r="AB37" s="1">
        <v>0.04</v>
      </c>
      <c r="AC37" s="1">
        <v>348.29300000000001</v>
      </c>
      <c r="AD37" s="1">
        <v>178.15299999999999</v>
      </c>
      <c r="AE37" s="1">
        <v>170.14</v>
      </c>
      <c r="AF37" s="1">
        <v>189.798</v>
      </c>
      <c r="AG37" s="1">
        <v>182.072</v>
      </c>
      <c r="AI37" s="1">
        <f t="shared" si="8"/>
        <v>-5.7000000000000037</v>
      </c>
      <c r="AJ37" s="1">
        <v>-2.9000000000000001E-2</v>
      </c>
      <c r="AK37" s="1">
        <v>290.88200000000001</v>
      </c>
      <c r="AL37" s="1">
        <v>147.57599999999999</v>
      </c>
      <c r="AM37" s="1">
        <v>143.30600000000001</v>
      </c>
      <c r="AN37" s="1">
        <v>183.958</v>
      </c>
      <c r="AO37" s="1">
        <v>179.982</v>
      </c>
    </row>
    <row r="38" spans="1:41" x14ac:dyDescent="0.3">
      <c r="A38" s="1">
        <v>22</v>
      </c>
      <c r="B38" s="1">
        <f t="shared" si="6"/>
        <v>16.100000000000001</v>
      </c>
      <c r="C38" s="1">
        <v>-0.04</v>
      </c>
      <c r="D38" s="1">
        <v>347.88499999999999</v>
      </c>
      <c r="E38" s="1">
        <v>178.024</v>
      </c>
      <c r="F38" s="1">
        <v>169.86</v>
      </c>
      <c r="G38" s="1">
        <v>189.374</v>
      </c>
      <c r="H38" s="1">
        <v>181.65299999999999</v>
      </c>
      <c r="I38" s="14">
        <f t="shared" si="4"/>
        <v>0.96812750112707247</v>
      </c>
      <c r="O38" s="1">
        <f t="shared" si="7"/>
        <v>-8.600000000000005</v>
      </c>
      <c r="P38" s="1">
        <v>0.04</v>
      </c>
      <c r="Q38" s="1">
        <v>298.83600000000001</v>
      </c>
      <c r="R38" s="1">
        <v>148.48099999999999</v>
      </c>
      <c r="S38" s="1">
        <v>150.35499999999999</v>
      </c>
      <c r="T38" s="1">
        <v>183.24700000000001</v>
      </c>
      <c r="U38" s="1">
        <v>179.26</v>
      </c>
      <c r="W38" s="1">
        <f t="shared" si="9"/>
        <v>0</v>
      </c>
      <c r="X38" s="14">
        <f t="shared" si="5"/>
        <v>0.8109415068994994</v>
      </c>
      <c r="AB38" s="1">
        <v>-0.04</v>
      </c>
      <c r="AC38" s="1">
        <v>347.88499999999999</v>
      </c>
      <c r="AD38" s="1">
        <v>178.024</v>
      </c>
      <c r="AE38" s="1">
        <v>169.86</v>
      </c>
      <c r="AF38" s="1">
        <v>189.374</v>
      </c>
      <c r="AG38" s="1">
        <v>181.65299999999999</v>
      </c>
      <c r="AI38" s="1">
        <f t="shared" si="8"/>
        <v>-8.600000000000005</v>
      </c>
      <c r="AJ38" s="1">
        <v>0.04</v>
      </c>
      <c r="AK38" s="1">
        <v>292.72000000000003</v>
      </c>
      <c r="AL38" s="1">
        <v>149.346</v>
      </c>
      <c r="AM38" s="1">
        <v>143.374</v>
      </c>
      <c r="AN38" s="1">
        <v>182.48500000000001</v>
      </c>
      <c r="AO38" s="1">
        <v>176.845</v>
      </c>
    </row>
    <row r="39" spans="1:41" x14ac:dyDescent="0.3">
      <c r="A39" s="1">
        <v>23</v>
      </c>
      <c r="B39" s="1">
        <f t="shared" si="6"/>
        <v>12.100000000000001</v>
      </c>
      <c r="C39" s="1">
        <v>3.5000000000000003E-2</v>
      </c>
      <c r="D39" s="1">
        <v>347.322</v>
      </c>
      <c r="E39" s="1">
        <v>177.68299999999999</v>
      </c>
      <c r="F39" s="1">
        <v>169.63900000000001</v>
      </c>
      <c r="G39" s="1">
        <v>189.78700000000001</v>
      </c>
      <c r="H39" s="1">
        <v>182.05600000000001</v>
      </c>
      <c r="I39" s="14">
        <f t="shared" si="4"/>
        <v>0.96656073112223029</v>
      </c>
      <c r="O39" s="1">
        <f t="shared" si="7"/>
        <v>-4.600000000000005</v>
      </c>
      <c r="P39" s="1">
        <v>1.4E-2</v>
      </c>
      <c r="Q39" s="1">
        <v>298.83600000000001</v>
      </c>
      <c r="R39" s="1">
        <v>148.48099999999999</v>
      </c>
      <c r="S39" s="1">
        <v>150.35499999999999</v>
      </c>
      <c r="T39" s="1">
        <v>183.24700000000001</v>
      </c>
      <c r="U39" s="1">
        <v>179.26</v>
      </c>
      <c r="W39" s="1">
        <f t="shared" si="9"/>
        <v>0</v>
      </c>
      <c r="X39" s="14">
        <f t="shared" si="5"/>
        <v>0.8109415068994994</v>
      </c>
      <c r="AB39" s="1">
        <v>3.5000000000000003E-2</v>
      </c>
      <c r="AC39" s="1">
        <v>347.322</v>
      </c>
      <c r="AD39" s="1">
        <v>177.68299999999999</v>
      </c>
      <c r="AE39" s="1">
        <v>169.63900000000001</v>
      </c>
      <c r="AF39" s="1">
        <v>189.78700000000001</v>
      </c>
      <c r="AG39" s="1">
        <v>182.05600000000001</v>
      </c>
      <c r="AI39" s="1">
        <f t="shared" si="8"/>
        <v>-4.600000000000005</v>
      </c>
      <c r="AJ39" s="1">
        <v>1.4E-2</v>
      </c>
      <c r="AK39" s="1">
        <v>292.57600000000002</v>
      </c>
      <c r="AL39" s="1">
        <v>146.709</v>
      </c>
      <c r="AM39" s="1">
        <v>145.86600000000001</v>
      </c>
      <c r="AN39" s="1">
        <v>183.38300000000001</v>
      </c>
      <c r="AO39" s="1">
        <v>179.602</v>
      </c>
    </row>
    <row r="40" spans="1:41" x14ac:dyDescent="0.3">
      <c r="A40" s="1">
        <v>24</v>
      </c>
      <c r="B40" s="1">
        <f t="shared" si="6"/>
        <v>15.600000000000001</v>
      </c>
      <c r="C40" s="1">
        <v>-0.04</v>
      </c>
      <c r="D40" s="1">
        <v>347.322</v>
      </c>
      <c r="E40" s="1">
        <v>177.68299999999999</v>
      </c>
      <c r="F40" s="1">
        <v>169.63900000000001</v>
      </c>
      <c r="G40" s="1">
        <v>189.78700000000001</v>
      </c>
      <c r="H40" s="1">
        <v>182.05600000000001</v>
      </c>
      <c r="I40" s="14">
        <f t="shared" si="4"/>
        <v>0.96656073112223029</v>
      </c>
      <c r="O40" s="1">
        <f t="shared" si="7"/>
        <v>-3.2000000000000046</v>
      </c>
      <c r="P40" s="1">
        <v>2.3E-2</v>
      </c>
      <c r="Q40" s="1">
        <v>298.83600000000001</v>
      </c>
      <c r="R40" s="1">
        <v>148.48099999999999</v>
      </c>
      <c r="S40" s="1">
        <v>150.35499999999999</v>
      </c>
      <c r="T40" s="1">
        <v>183.24700000000001</v>
      </c>
      <c r="U40" s="1">
        <v>179.26</v>
      </c>
      <c r="W40" s="1">
        <f t="shared" si="9"/>
        <v>0</v>
      </c>
      <c r="X40" s="14">
        <f t="shared" si="5"/>
        <v>0.8109415068994994</v>
      </c>
      <c r="AB40" s="1">
        <v>-0.04</v>
      </c>
      <c r="AC40" s="1">
        <v>347.55</v>
      </c>
      <c r="AD40" s="1">
        <v>177.52099999999999</v>
      </c>
      <c r="AE40" s="1">
        <v>170.02799999999999</v>
      </c>
      <c r="AF40" s="1">
        <v>190.13</v>
      </c>
      <c r="AG40" s="1">
        <v>182.39500000000001</v>
      </c>
      <c r="AI40" s="1">
        <f t="shared" si="8"/>
        <v>-3.2000000000000046</v>
      </c>
      <c r="AJ40" s="1">
        <v>2.3E-2</v>
      </c>
      <c r="AK40" s="1">
        <v>292.39299999999997</v>
      </c>
      <c r="AL40" s="1">
        <v>147.23599999999999</v>
      </c>
      <c r="AM40" s="1">
        <v>145.15700000000001</v>
      </c>
      <c r="AN40" s="1">
        <v>186.14099999999999</v>
      </c>
      <c r="AO40" s="1">
        <v>180.24100000000001</v>
      </c>
    </row>
    <row r="41" spans="1:41" x14ac:dyDescent="0.3">
      <c r="A41" s="1">
        <v>25</v>
      </c>
      <c r="B41" s="1">
        <f t="shared" si="6"/>
        <v>11.600000000000001</v>
      </c>
      <c r="C41" s="1">
        <v>3.5000000000000003E-2</v>
      </c>
      <c r="D41" s="1">
        <v>346.81</v>
      </c>
      <c r="E41" s="1">
        <v>177.23400000000001</v>
      </c>
      <c r="F41" s="1">
        <v>169.57499999999999</v>
      </c>
      <c r="G41" s="1">
        <v>189.79400000000001</v>
      </c>
      <c r="H41" s="1">
        <v>182.054</v>
      </c>
      <c r="I41" s="14">
        <f t="shared" si="4"/>
        <v>0.96513588877324408</v>
      </c>
      <c r="O41" s="1">
        <f t="shared" si="7"/>
        <v>-0.9000000000000048</v>
      </c>
      <c r="P41" s="1">
        <v>2.9000000000000001E-2</v>
      </c>
      <c r="Q41" s="1">
        <v>298.83600000000001</v>
      </c>
      <c r="R41" s="1">
        <v>148.48099999999999</v>
      </c>
      <c r="S41" s="1">
        <v>150.35499999999999</v>
      </c>
      <c r="T41" s="1">
        <v>183.24700000000001</v>
      </c>
      <c r="U41" s="1">
        <v>179.26</v>
      </c>
      <c r="W41" s="1">
        <f t="shared" si="9"/>
        <v>0</v>
      </c>
      <c r="X41" s="14">
        <f t="shared" si="5"/>
        <v>0.8109415068994994</v>
      </c>
      <c r="AB41" s="1">
        <v>3.5000000000000003E-2</v>
      </c>
      <c r="AC41" s="1">
        <v>346.81</v>
      </c>
      <c r="AD41" s="1">
        <v>177.23400000000001</v>
      </c>
      <c r="AE41" s="1">
        <v>169.57499999999999</v>
      </c>
      <c r="AF41" s="1">
        <v>189.79400000000001</v>
      </c>
      <c r="AG41" s="1">
        <v>182.054</v>
      </c>
      <c r="AI41" s="1">
        <f t="shared" si="8"/>
        <v>-0.9000000000000048</v>
      </c>
      <c r="AJ41" s="1">
        <v>2.9000000000000001E-2</v>
      </c>
      <c r="AK41" s="1">
        <v>291.92200000000003</v>
      </c>
      <c r="AL41" s="1">
        <v>147.82900000000001</v>
      </c>
      <c r="AM41" s="1">
        <v>144.09200000000001</v>
      </c>
      <c r="AN41" s="1">
        <v>184.27199999999999</v>
      </c>
      <c r="AO41" s="1">
        <v>180.53700000000001</v>
      </c>
    </row>
    <row r="42" spans="1:41" x14ac:dyDescent="0.3">
      <c r="A42" s="1">
        <v>26</v>
      </c>
      <c r="B42" s="1">
        <f t="shared" si="6"/>
        <v>15.100000000000001</v>
      </c>
      <c r="C42" s="1">
        <v>3.0000000000000001E-3</v>
      </c>
      <c r="D42" s="1">
        <v>345.52199999999999</v>
      </c>
      <c r="E42" s="1">
        <v>176.98099999999999</v>
      </c>
      <c r="F42" s="1">
        <v>168.541</v>
      </c>
      <c r="G42" s="1">
        <v>190.26</v>
      </c>
      <c r="H42" s="1">
        <v>182.53399999999999</v>
      </c>
      <c r="I42" s="14">
        <f t="shared" si="4"/>
        <v>0.96155151973907571</v>
      </c>
      <c r="O42" s="1">
        <f t="shared" si="7"/>
        <v>1.9999999999999956</v>
      </c>
      <c r="P42" s="1">
        <v>2.4E-2</v>
      </c>
      <c r="Q42" s="1">
        <v>298.83600000000001</v>
      </c>
      <c r="R42" s="1">
        <v>148.48099999999999</v>
      </c>
      <c r="S42" s="1">
        <v>150.35499999999999</v>
      </c>
      <c r="T42" s="1">
        <v>183.24700000000001</v>
      </c>
      <c r="U42" s="1">
        <v>179.26</v>
      </c>
      <c r="W42" s="1">
        <f t="shared" si="9"/>
        <v>0</v>
      </c>
      <c r="X42" s="14">
        <f t="shared" si="5"/>
        <v>0.8109415068994994</v>
      </c>
      <c r="AB42" s="1">
        <v>3.0000000000000001E-3</v>
      </c>
      <c r="AC42" s="1">
        <v>345.52199999999999</v>
      </c>
      <c r="AD42" s="1">
        <v>176.98099999999999</v>
      </c>
      <c r="AE42" s="1">
        <v>168.541</v>
      </c>
      <c r="AF42" s="1">
        <v>190.26</v>
      </c>
      <c r="AG42" s="1">
        <v>182.53399999999999</v>
      </c>
      <c r="AI42" s="1">
        <f t="shared" si="8"/>
        <v>1.9999999999999956</v>
      </c>
      <c r="AJ42" s="1">
        <v>2.4E-2</v>
      </c>
      <c r="AK42" s="1">
        <v>291.98099999999999</v>
      </c>
      <c r="AL42" s="1">
        <v>146.87299999999999</v>
      </c>
      <c r="AM42" s="1">
        <v>145.10900000000001</v>
      </c>
      <c r="AN42" s="1">
        <v>185.85</v>
      </c>
      <c r="AO42" s="1">
        <v>180.90700000000001</v>
      </c>
    </row>
    <row r="43" spans="1:41" x14ac:dyDescent="0.3">
      <c r="A43" s="1">
        <v>27</v>
      </c>
      <c r="B43" s="1">
        <f t="shared" si="6"/>
        <v>15.400000000000002</v>
      </c>
      <c r="C43" s="1">
        <v>-2.9000000000000001E-2</v>
      </c>
      <c r="D43" s="1">
        <v>345.52199999999999</v>
      </c>
      <c r="E43" s="1">
        <v>176.98099999999999</v>
      </c>
      <c r="F43" s="1">
        <v>168.541</v>
      </c>
      <c r="G43" s="1">
        <v>190.26</v>
      </c>
      <c r="H43" s="1">
        <v>182.53399999999999</v>
      </c>
      <c r="I43" s="14">
        <f t="shared" si="4"/>
        <v>0.96155151973907571</v>
      </c>
      <c r="O43" s="1">
        <f t="shared" si="7"/>
        <v>4.399999999999995</v>
      </c>
      <c r="P43" s="1">
        <v>2.4E-2</v>
      </c>
      <c r="Q43" s="1">
        <v>298.83600000000001</v>
      </c>
      <c r="R43" s="1">
        <v>148.48099999999999</v>
      </c>
      <c r="S43" s="1">
        <v>150.35499999999999</v>
      </c>
      <c r="T43" s="1">
        <v>183.24700000000001</v>
      </c>
      <c r="U43" s="1">
        <v>179.26</v>
      </c>
      <c r="W43" s="1">
        <f t="shared" si="9"/>
        <v>0</v>
      </c>
      <c r="X43" s="14">
        <f t="shared" si="5"/>
        <v>0.8109415068994994</v>
      </c>
      <c r="AB43" s="1">
        <v>-2.9000000000000001E-2</v>
      </c>
      <c r="AC43" s="1">
        <v>346.24</v>
      </c>
      <c r="AD43" s="1">
        <v>176.88399999999999</v>
      </c>
      <c r="AE43" s="1">
        <v>169.357</v>
      </c>
      <c r="AF43" s="1">
        <v>189.739</v>
      </c>
      <c r="AG43" s="1">
        <v>181.995</v>
      </c>
      <c r="AI43" s="1">
        <f t="shared" si="8"/>
        <v>4.399999999999995</v>
      </c>
      <c r="AJ43" s="1">
        <v>2.4E-2</v>
      </c>
      <c r="AK43" s="1">
        <v>291.64400000000001</v>
      </c>
      <c r="AL43" s="1">
        <v>147.999</v>
      </c>
      <c r="AM43" s="1">
        <v>143.64500000000001</v>
      </c>
      <c r="AN43" s="1">
        <v>182.85</v>
      </c>
      <c r="AO43" s="1">
        <v>178.05799999999999</v>
      </c>
    </row>
    <row r="44" spans="1:41" x14ac:dyDescent="0.3">
      <c r="A44" s="1">
        <v>28</v>
      </c>
      <c r="B44" s="1">
        <f t="shared" si="6"/>
        <v>12.500000000000002</v>
      </c>
      <c r="C44" s="1">
        <v>-8.9999999999999993E-3</v>
      </c>
      <c r="D44" s="1">
        <v>345.52199999999999</v>
      </c>
      <c r="E44" s="1">
        <v>176.98099999999999</v>
      </c>
      <c r="F44" s="1">
        <v>168.541</v>
      </c>
      <c r="G44" s="1">
        <v>190.26</v>
      </c>
      <c r="H44" s="1">
        <v>182.53399999999999</v>
      </c>
      <c r="I44" s="14">
        <f t="shared" si="4"/>
        <v>0.96155151973907571</v>
      </c>
      <c r="O44" s="1">
        <f t="shared" si="7"/>
        <v>6.7999999999999954</v>
      </c>
      <c r="P44" s="1">
        <v>-2.1999999999999999E-2</v>
      </c>
      <c r="Q44" s="1">
        <v>297.75299999999999</v>
      </c>
      <c r="R44" s="1">
        <v>148.667</v>
      </c>
      <c r="S44" s="1">
        <v>149.08600000000001</v>
      </c>
      <c r="T44" s="1">
        <v>184.45500000000001</v>
      </c>
      <c r="U44" s="1">
        <v>181.453</v>
      </c>
      <c r="W44" s="1">
        <f t="shared" si="9"/>
        <v>0</v>
      </c>
      <c r="X44" s="14">
        <f t="shared" si="5"/>
        <v>0.80800260512069033</v>
      </c>
      <c r="AB44" s="1">
        <v>-8.9999999999999993E-3</v>
      </c>
      <c r="AC44" s="1">
        <v>346.24299999999999</v>
      </c>
      <c r="AD44" s="1">
        <v>176.89099999999999</v>
      </c>
      <c r="AE44" s="1">
        <v>169.35300000000001</v>
      </c>
      <c r="AF44" s="1">
        <v>190.084</v>
      </c>
      <c r="AG44" s="1">
        <v>182.33099999999999</v>
      </c>
      <c r="AI44" s="1">
        <f t="shared" si="8"/>
        <v>6.7999999999999954</v>
      </c>
      <c r="AJ44" s="1">
        <v>-2.1999999999999999E-2</v>
      </c>
      <c r="AK44" s="1">
        <v>291.64499999999998</v>
      </c>
      <c r="AL44" s="1">
        <v>147.964</v>
      </c>
      <c r="AM44" s="1">
        <v>143.68100000000001</v>
      </c>
      <c r="AN44" s="1">
        <v>181.80699999999999</v>
      </c>
      <c r="AO44" s="1">
        <v>178.32599999999999</v>
      </c>
    </row>
    <row r="45" spans="1:41" x14ac:dyDescent="0.3">
      <c r="A45" s="1">
        <v>29</v>
      </c>
      <c r="B45" s="1">
        <f t="shared" si="6"/>
        <v>11.600000000000001</v>
      </c>
      <c r="C45" s="1">
        <v>3.9E-2</v>
      </c>
      <c r="D45" s="1">
        <v>345.52199999999999</v>
      </c>
      <c r="E45" s="1">
        <v>176.98099999999999</v>
      </c>
      <c r="F45" s="1">
        <v>168.541</v>
      </c>
      <c r="G45" s="1">
        <v>190.26</v>
      </c>
      <c r="H45" s="1">
        <v>182.53399999999999</v>
      </c>
      <c r="I45" s="14">
        <f t="shared" si="4"/>
        <v>0.96155151973907571</v>
      </c>
      <c r="O45" s="1">
        <f t="shared" si="7"/>
        <v>4.5999999999999961</v>
      </c>
      <c r="P45" s="1">
        <v>3.2000000000000001E-2</v>
      </c>
      <c r="Q45" s="1">
        <v>297.74799999999999</v>
      </c>
      <c r="R45" s="1">
        <v>148.32499999999999</v>
      </c>
      <c r="S45" s="1">
        <v>149.423</v>
      </c>
      <c r="T45" s="1">
        <v>184.364</v>
      </c>
      <c r="U45" s="1">
        <v>181.69</v>
      </c>
      <c r="W45" s="1">
        <f t="shared" si="9"/>
        <v>0</v>
      </c>
      <c r="X45" s="14">
        <f t="shared" si="5"/>
        <v>0.80798903678376144</v>
      </c>
      <c r="AB45" s="1">
        <v>3.9E-2</v>
      </c>
      <c r="AC45" s="1">
        <v>345.678</v>
      </c>
      <c r="AD45" s="1">
        <v>176.64599999999999</v>
      </c>
      <c r="AE45" s="1">
        <v>169.03100000000001</v>
      </c>
      <c r="AF45" s="1">
        <v>190.17400000000001</v>
      </c>
      <c r="AG45" s="1">
        <v>182.43199999999999</v>
      </c>
      <c r="AI45" s="1">
        <f t="shared" si="8"/>
        <v>4.5999999999999961</v>
      </c>
      <c r="AJ45" s="1">
        <v>3.2000000000000001E-2</v>
      </c>
      <c r="AK45" s="1">
        <v>290.36399999999998</v>
      </c>
      <c r="AL45" s="1">
        <v>147.57300000000001</v>
      </c>
      <c r="AM45" s="1">
        <v>142.791</v>
      </c>
      <c r="AN45" s="1">
        <v>182.238</v>
      </c>
      <c r="AO45" s="1">
        <v>178.745</v>
      </c>
    </row>
    <row r="46" spans="1:41" x14ac:dyDescent="0.3">
      <c r="A46" s="1">
        <v>30</v>
      </c>
      <c r="B46" s="1">
        <f t="shared" si="6"/>
        <v>15.500000000000002</v>
      </c>
      <c r="C46" s="1">
        <v>3.9E-2</v>
      </c>
      <c r="D46" s="1">
        <v>345.52199999999999</v>
      </c>
      <c r="E46" s="1">
        <v>176.98099999999999</v>
      </c>
      <c r="F46" s="1">
        <v>168.541</v>
      </c>
      <c r="G46" s="1">
        <v>190.26</v>
      </c>
      <c r="H46" s="1">
        <v>182.53399999999999</v>
      </c>
      <c r="I46" s="14">
        <f t="shared" si="4"/>
        <v>0.96155151973907571</v>
      </c>
      <c r="O46" s="1">
        <f t="shared" si="7"/>
        <v>7.7999999999999963</v>
      </c>
      <c r="P46" s="1">
        <v>-1.7000000000000001E-2</v>
      </c>
      <c r="Q46" s="1">
        <v>297.02300000000002</v>
      </c>
      <c r="R46" s="1">
        <v>147.44999999999999</v>
      </c>
      <c r="S46" s="1">
        <v>149.57300000000001</v>
      </c>
      <c r="T46" s="1">
        <v>184.59</v>
      </c>
      <c r="U46" s="1">
        <v>182.06800000000001</v>
      </c>
      <c r="W46" s="1">
        <f t="shared" si="9"/>
        <v>0</v>
      </c>
      <c r="X46" s="14">
        <f t="shared" si="5"/>
        <v>0.80602162792906484</v>
      </c>
      <c r="AB46" s="1">
        <v>3.9E-2</v>
      </c>
      <c r="AC46" s="1">
        <v>345.99700000000001</v>
      </c>
      <c r="AD46" s="1">
        <v>177.17099999999999</v>
      </c>
      <c r="AE46" s="1">
        <v>168.82599999999999</v>
      </c>
      <c r="AF46" s="1">
        <v>190.53</v>
      </c>
      <c r="AG46" s="1">
        <v>182.80600000000001</v>
      </c>
      <c r="AI46" s="1">
        <f t="shared" si="8"/>
        <v>7.7999999999999963</v>
      </c>
      <c r="AJ46" s="1">
        <v>-1.7000000000000001E-2</v>
      </c>
      <c r="AK46" s="1">
        <v>288.97300000000001</v>
      </c>
      <c r="AL46" s="1">
        <v>146.97</v>
      </c>
      <c r="AM46" s="1">
        <v>142.00299999999999</v>
      </c>
      <c r="AN46" s="1">
        <v>181.017</v>
      </c>
      <c r="AO46" s="1">
        <v>178.94200000000001</v>
      </c>
    </row>
    <row r="47" spans="1:41" x14ac:dyDescent="0.3">
      <c r="A47" s="1">
        <v>31</v>
      </c>
      <c r="B47" s="1">
        <f t="shared" si="6"/>
        <v>19.400000000000002</v>
      </c>
      <c r="C47" s="1">
        <v>-8.0000000000000002E-3</v>
      </c>
      <c r="D47" s="1">
        <v>345.52199999999999</v>
      </c>
      <c r="E47" s="1">
        <v>176.98099999999999</v>
      </c>
      <c r="F47" s="1">
        <v>168.541</v>
      </c>
      <c r="G47" s="1">
        <v>190.26</v>
      </c>
      <c r="H47" s="1">
        <v>182.53399999999999</v>
      </c>
      <c r="I47" s="14">
        <f t="shared" si="4"/>
        <v>0.96155151973907571</v>
      </c>
      <c r="O47" s="1">
        <f t="shared" si="7"/>
        <v>6.0999999999999961</v>
      </c>
      <c r="P47" s="1">
        <v>2.3E-2</v>
      </c>
      <c r="Q47" s="1">
        <v>296.70299999999997</v>
      </c>
      <c r="R47" s="1">
        <v>147.923</v>
      </c>
      <c r="S47" s="1">
        <v>148.78</v>
      </c>
      <c r="T47" s="1">
        <v>185.33699999999999</v>
      </c>
      <c r="U47" s="1">
        <v>181.15899999999999</v>
      </c>
      <c r="W47" s="1">
        <f t="shared" si="9"/>
        <v>0</v>
      </c>
      <c r="X47" s="14">
        <f t="shared" si="5"/>
        <v>0.80515325436561236</v>
      </c>
      <c r="AB47" s="1">
        <v>-8.0000000000000002E-3</v>
      </c>
      <c r="AC47" s="1">
        <v>345.93599999999998</v>
      </c>
      <c r="AD47" s="1">
        <v>176.72900000000001</v>
      </c>
      <c r="AE47" s="1">
        <v>169.20699999999999</v>
      </c>
      <c r="AF47" s="1">
        <v>190.221</v>
      </c>
      <c r="AG47" s="1">
        <v>182.477</v>
      </c>
      <c r="AI47" s="1">
        <f t="shared" si="8"/>
        <v>6.0999999999999961</v>
      </c>
      <c r="AJ47" s="1">
        <v>2.3E-2</v>
      </c>
      <c r="AK47" s="1">
        <v>289.654</v>
      </c>
      <c r="AL47" s="1">
        <v>147.90700000000001</v>
      </c>
      <c r="AM47" s="1">
        <v>141.74700000000001</v>
      </c>
      <c r="AN47" s="1">
        <v>181.77699999999999</v>
      </c>
      <c r="AO47" s="1">
        <v>178.10499999999999</v>
      </c>
    </row>
    <row r="48" spans="1:41" x14ac:dyDescent="0.3">
      <c r="A48" s="1">
        <v>32</v>
      </c>
      <c r="B48" s="1">
        <f t="shared" si="6"/>
        <v>18.600000000000001</v>
      </c>
      <c r="C48" s="1">
        <v>-2.8000000000000001E-2</v>
      </c>
      <c r="D48" s="1">
        <v>345.52199999999999</v>
      </c>
      <c r="E48" s="1">
        <v>176.98099999999999</v>
      </c>
      <c r="F48" s="1">
        <v>168.541</v>
      </c>
      <c r="G48" s="1">
        <v>190.26</v>
      </c>
      <c r="H48" s="1">
        <v>182.53399999999999</v>
      </c>
      <c r="I48" s="14">
        <f t="shared" si="4"/>
        <v>0.96155151973907571</v>
      </c>
      <c r="O48" s="1">
        <f t="shared" si="7"/>
        <v>8.399999999999995</v>
      </c>
      <c r="P48" s="1">
        <v>2.7E-2</v>
      </c>
      <c r="Q48" s="1">
        <v>296.70299999999997</v>
      </c>
      <c r="R48" s="1">
        <v>147.923</v>
      </c>
      <c r="S48" s="1">
        <v>148.78</v>
      </c>
      <c r="T48" s="1">
        <v>185.33699999999999</v>
      </c>
      <c r="U48" s="1">
        <v>181.15899999999999</v>
      </c>
      <c r="W48" s="1">
        <f t="shared" si="9"/>
        <v>0</v>
      </c>
      <c r="X48" s="14">
        <f t="shared" si="5"/>
        <v>0.80515325436561236</v>
      </c>
      <c r="AB48" s="1">
        <v>-2.8000000000000001E-2</v>
      </c>
      <c r="AC48" s="1">
        <v>346.11399999999998</v>
      </c>
      <c r="AD48" s="1">
        <v>177.09100000000001</v>
      </c>
      <c r="AE48" s="1">
        <v>169.024</v>
      </c>
      <c r="AF48" s="1">
        <v>190.14099999999999</v>
      </c>
      <c r="AG48" s="1">
        <v>182.40299999999999</v>
      </c>
      <c r="AI48" s="1">
        <f t="shared" si="8"/>
        <v>8.399999999999995</v>
      </c>
      <c r="AJ48" s="1">
        <v>2.7E-2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</row>
    <row r="49" spans="1:41" x14ac:dyDescent="0.3">
      <c r="A49" s="1">
        <v>33</v>
      </c>
      <c r="B49" s="1">
        <f t="shared" si="6"/>
        <v>15.8</v>
      </c>
      <c r="C49" s="1">
        <v>0.03</v>
      </c>
      <c r="D49" s="1">
        <v>345.52199999999999</v>
      </c>
      <c r="E49" s="1">
        <v>176.98099999999999</v>
      </c>
      <c r="F49" s="1">
        <v>168.541</v>
      </c>
      <c r="G49" s="1">
        <v>190.26</v>
      </c>
      <c r="H49" s="1">
        <v>182.53399999999999</v>
      </c>
      <c r="I49" s="14">
        <f t="shared" si="4"/>
        <v>0.96155151973907571</v>
      </c>
      <c r="O49" s="1">
        <f t="shared" si="7"/>
        <v>11.099999999999994</v>
      </c>
      <c r="P49" s="1">
        <v>3.2000000000000001E-2</v>
      </c>
      <c r="Q49" s="1">
        <v>296.65499999999997</v>
      </c>
      <c r="R49" s="1">
        <v>148.09</v>
      </c>
      <c r="S49" s="1">
        <v>148.565</v>
      </c>
      <c r="T49" s="1">
        <v>187.43700000000001</v>
      </c>
      <c r="U49" s="1">
        <v>180.428</v>
      </c>
      <c r="W49" s="1">
        <f t="shared" si="9"/>
        <v>0</v>
      </c>
      <c r="X49" s="14">
        <f t="shared" si="5"/>
        <v>0.80502299833109447</v>
      </c>
      <c r="AB49" s="1">
        <v>0.03</v>
      </c>
      <c r="AC49" s="1">
        <v>345.93599999999998</v>
      </c>
      <c r="AD49" s="1">
        <v>177.161</v>
      </c>
      <c r="AE49" s="1">
        <v>168.77500000000001</v>
      </c>
      <c r="AF49" s="1">
        <v>190.20699999999999</v>
      </c>
      <c r="AG49" s="1">
        <v>182.48</v>
      </c>
      <c r="AI49" s="1">
        <f t="shared" si="8"/>
        <v>11.099999999999994</v>
      </c>
      <c r="AJ49" s="1">
        <v>3.2000000000000001E-2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</row>
    <row r="50" spans="1:41" x14ac:dyDescent="0.3">
      <c r="A50" s="1">
        <v>34</v>
      </c>
      <c r="B50" s="1">
        <f t="shared" si="6"/>
        <v>18.8</v>
      </c>
      <c r="C50" s="1">
        <v>-3.2000000000000001E-2</v>
      </c>
      <c r="D50" s="1">
        <v>345.399</v>
      </c>
      <c r="E50" s="1">
        <v>176.92400000000001</v>
      </c>
      <c r="F50" s="1">
        <v>168.476</v>
      </c>
      <c r="G50" s="1">
        <v>190.298</v>
      </c>
      <c r="H50" s="1">
        <v>182.572</v>
      </c>
      <c r="I50" s="14">
        <f t="shared" si="4"/>
        <v>0.96120922362789341</v>
      </c>
      <c r="O50" s="1">
        <f t="shared" si="7"/>
        <v>14.299999999999994</v>
      </c>
      <c r="P50" s="1">
        <v>2.5999999999999999E-2</v>
      </c>
      <c r="Q50" s="1">
        <v>296.488</v>
      </c>
      <c r="R50" s="1">
        <v>147.93299999999999</v>
      </c>
      <c r="S50" s="1">
        <v>148.55500000000001</v>
      </c>
      <c r="T50" s="1">
        <v>187.43700000000001</v>
      </c>
      <c r="U50" s="1">
        <v>180.428</v>
      </c>
      <c r="W50" s="1">
        <f t="shared" si="9"/>
        <v>0</v>
      </c>
      <c r="X50" s="14">
        <f t="shared" si="5"/>
        <v>0.80456981587766785</v>
      </c>
      <c r="AB50" s="1">
        <v>-3.2000000000000001E-2</v>
      </c>
      <c r="AC50" s="1">
        <v>345.399</v>
      </c>
      <c r="AD50" s="1">
        <v>176.92400000000001</v>
      </c>
      <c r="AE50" s="1">
        <v>168.476</v>
      </c>
      <c r="AF50" s="1">
        <v>190.298</v>
      </c>
      <c r="AG50" s="1">
        <v>182.572</v>
      </c>
      <c r="AI50" s="1">
        <f t="shared" si="8"/>
        <v>14.299999999999994</v>
      </c>
      <c r="AJ50" s="1">
        <v>2.5999999999999999E-2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</row>
    <row r="51" spans="1:41" x14ac:dyDescent="0.3">
      <c r="A51" s="1">
        <v>35</v>
      </c>
      <c r="B51" s="1">
        <f t="shared" si="6"/>
        <v>15.600000000000001</v>
      </c>
      <c r="C51" s="1">
        <v>0.04</v>
      </c>
      <c r="D51" s="1">
        <v>345.33800000000002</v>
      </c>
      <c r="E51" s="1">
        <v>176.899</v>
      </c>
      <c r="F51" s="1">
        <v>168.43899999999999</v>
      </c>
      <c r="G51" s="1">
        <v>190.32</v>
      </c>
      <c r="H51" s="1">
        <v>182.595</v>
      </c>
      <c r="I51" s="14">
        <f t="shared" si="4"/>
        <v>0.96103946701990883</v>
      </c>
      <c r="J51" s="12">
        <f>D51/D16-1</f>
        <v>-3.8960532980091167E-2</v>
      </c>
      <c r="K51" s="12">
        <f>E51/G16-1</f>
        <v>-3.6172345781255166E-2</v>
      </c>
      <c r="L51" s="12">
        <f>F51/H16-1</f>
        <v>-4.1865994687114383E-2</v>
      </c>
      <c r="O51" s="1">
        <f t="shared" si="7"/>
        <v>16.899999999999995</v>
      </c>
      <c r="P51" s="1">
        <v>2.7E-2</v>
      </c>
      <c r="Q51" s="1">
        <v>296.488</v>
      </c>
      <c r="R51" s="1">
        <v>147.93299999999999</v>
      </c>
      <c r="S51" s="1">
        <v>148.55500000000001</v>
      </c>
      <c r="T51" s="1">
        <v>187.43700000000001</v>
      </c>
      <c r="U51" s="1">
        <v>180.428</v>
      </c>
      <c r="W51" s="1">
        <f t="shared" si="9"/>
        <v>0</v>
      </c>
      <c r="X51" s="14">
        <f t="shared" si="5"/>
        <v>0.80456981587766785</v>
      </c>
      <c r="AB51" s="1">
        <v>0.04</v>
      </c>
      <c r="AC51" s="1">
        <v>345.33800000000002</v>
      </c>
      <c r="AD51" s="1">
        <v>176.899</v>
      </c>
      <c r="AE51" s="1">
        <v>168.43899999999999</v>
      </c>
      <c r="AF51" s="1">
        <v>190.32</v>
      </c>
      <c r="AG51" s="1">
        <v>182.595</v>
      </c>
      <c r="AI51" s="1">
        <f t="shared" si="8"/>
        <v>16.899999999999995</v>
      </c>
      <c r="AJ51" s="1">
        <v>2.7E-2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</row>
    <row r="52" spans="1:41" x14ac:dyDescent="0.3">
      <c r="A52" s="1">
        <v>36</v>
      </c>
      <c r="B52" s="1">
        <f t="shared" si="6"/>
        <v>19.600000000000001</v>
      </c>
      <c r="O52" s="1">
        <f t="shared" si="7"/>
        <v>19.599999999999994</v>
      </c>
      <c r="X52" s="14"/>
    </row>
    <row r="56" spans="1:41" ht="14.5" thickBot="1" x14ac:dyDescent="0.35"/>
    <row r="57" spans="1:41" ht="14.5" thickTop="1" x14ac:dyDescent="0.3">
      <c r="A57" s="47" t="s">
        <v>0</v>
      </c>
      <c r="B57" s="3" t="s">
        <v>1</v>
      </c>
      <c r="C57" s="3" t="s">
        <v>2</v>
      </c>
      <c r="D57" s="3" t="s">
        <v>3</v>
      </c>
      <c r="E57" s="47" t="s">
        <v>4</v>
      </c>
      <c r="F57" s="47" t="s">
        <v>0</v>
      </c>
      <c r="G57" s="3" t="s">
        <v>1</v>
      </c>
      <c r="H57" s="3" t="s">
        <v>2</v>
      </c>
      <c r="I57" s="3" t="s">
        <v>3</v>
      </c>
      <c r="J57" s="47" t="s">
        <v>4</v>
      </c>
      <c r="N57" s="47" t="s">
        <v>0</v>
      </c>
      <c r="O57" s="3" t="s">
        <v>1</v>
      </c>
      <c r="P57" s="3" t="s">
        <v>2</v>
      </c>
      <c r="Q57" s="3" t="s">
        <v>3</v>
      </c>
      <c r="R57" s="47" t="s">
        <v>4</v>
      </c>
      <c r="S57" s="47" t="s">
        <v>0</v>
      </c>
      <c r="T57" s="3" t="s">
        <v>1</v>
      </c>
      <c r="U57" s="3" t="s">
        <v>2</v>
      </c>
      <c r="V57" s="3" t="s">
        <v>3</v>
      </c>
      <c r="W57" s="47" t="s">
        <v>4</v>
      </c>
    </row>
    <row r="58" spans="1:41" ht="14.5" thickBot="1" x14ac:dyDescent="0.35">
      <c r="A58" s="48"/>
      <c r="B58" s="4" t="s">
        <v>5</v>
      </c>
      <c r="C58" s="4" t="s">
        <v>5</v>
      </c>
      <c r="D58" s="4" t="s">
        <v>5</v>
      </c>
      <c r="E58" s="48"/>
      <c r="F58" s="48"/>
      <c r="G58" s="4" t="s">
        <v>5</v>
      </c>
      <c r="H58" s="4" t="s">
        <v>5</v>
      </c>
      <c r="I58" s="4" t="s">
        <v>5</v>
      </c>
      <c r="J58" s="48"/>
      <c r="N58" s="48"/>
      <c r="O58" s="4" t="s">
        <v>5</v>
      </c>
      <c r="P58" s="4" t="s">
        <v>5</v>
      </c>
      <c r="Q58" s="4" t="s">
        <v>5</v>
      </c>
      <c r="R58" s="48"/>
      <c r="S58" s="48"/>
      <c r="T58" s="4" t="s">
        <v>5</v>
      </c>
      <c r="U58" s="4" t="s">
        <v>5</v>
      </c>
      <c r="V58" s="4" t="s">
        <v>5</v>
      </c>
      <c r="W58" s="48"/>
    </row>
    <row r="59" spans="1:41" x14ac:dyDescent="0.3">
      <c r="A59" s="18">
        <v>0</v>
      </c>
      <c r="B59" s="6">
        <f>E16</f>
        <v>183.53800000000001</v>
      </c>
      <c r="C59" s="6">
        <f>F16</f>
        <v>175.79900000000001</v>
      </c>
      <c r="D59" s="6">
        <f>D16</f>
        <v>359.33800000000002</v>
      </c>
      <c r="E59" s="6">
        <f>D59/$B$4</f>
        <v>1</v>
      </c>
      <c r="F59" s="18">
        <v>18</v>
      </c>
      <c r="G59" s="6">
        <f>E34</f>
        <v>178.815</v>
      </c>
      <c r="H59" s="6">
        <f>F34</f>
        <v>170.67599999999999</v>
      </c>
      <c r="I59" s="6">
        <f>D34</f>
        <v>349.49200000000002</v>
      </c>
      <c r="J59" s="6">
        <f>I59/$B$4</f>
        <v>0.9725996137341445</v>
      </c>
      <c r="N59" s="18">
        <v>0</v>
      </c>
      <c r="O59" s="6">
        <f>R16</f>
        <v>173.096</v>
      </c>
      <c r="P59" s="6">
        <f>S16</f>
        <v>167.41</v>
      </c>
      <c r="Q59" s="6">
        <f>Q16</f>
        <v>340.50599999999997</v>
      </c>
      <c r="R59" s="6">
        <f>Q59/$O$4</f>
        <v>0.92402002686530704</v>
      </c>
      <c r="S59" s="18">
        <v>18</v>
      </c>
      <c r="T59" s="6">
        <f>R34</f>
        <v>149.886</v>
      </c>
      <c r="U59" s="6">
        <f>S34</f>
        <v>149.78899999999999</v>
      </c>
      <c r="V59" s="6">
        <f>Q34</f>
        <v>299.67500000000001</v>
      </c>
      <c r="W59" s="6">
        <f>V59/$O$4</f>
        <v>0.81321827383617595</v>
      </c>
    </row>
    <row r="60" spans="1:41" x14ac:dyDescent="0.3">
      <c r="A60" s="18">
        <v>1</v>
      </c>
      <c r="B60" s="6">
        <f t="shared" ref="B60:C60" si="10">E17</f>
        <v>181.80799999999999</v>
      </c>
      <c r="C60" s="6">
        <f t="shared" si="10"/>
        <v>174.08699999999999</v>
      </c>
      <c r="D60" s="6">
        <f t="shared" ref="D60:D76" si="11">D17</f>
        <v>355.89499999999998</v>
      </c>
      <c r="E60" s="6">
        <f t="shared" ref="E60:E76" si="12">D60/$B$4</f>
        <v>0.99041849178211028</v>
      </c>
      <c r="F60" s="18">
        <v>19</v>
      </c>
      <c r="G60" s="6">
        <f t="shared" ref="G60:H60" si="13">E35</f>
        <v>178.935</v>
      </c>
      <c r="H60" s="6">
        <f t="shared" si="13"/>
        <v>170.482</v>
      </c>
      <c r="I60" s="6">
        <f t="shared" ref="I60:I76" si="14">D35</f>
        <v>349.41699999999997</v>
      </c>
      <c r="J60" s="6">
        <f t="shared" ref="J60:J76" si="15">I60/$B$4</f>
        <v>0.97239089659317957</v>
      </c>
      <c r="N60" s="18">
        <v>1</v>
      </c>
      <c r="O60" s="6">
        <f t="shared" ref="O60:P60" si="16">R17</f>
        <v>156.708</v>
      </c>
      <c r="P60" s="6">
        <f t="shared" si="16"/>
        <v>145.33799999999999</v>
      </c>
      <c r="Q60" s="6">
        <f t="shared" ref="Q60:Q76" si="17">Q17</f>
        <v>302.04700000000003</v>
      </c>
      <c r="R60" s="6">
        <f t="shared" ref="R60:R76" si="18">Q60/$O$4</f>
        <v>0.81965509287526639</v>
      </c>
      <c r="S60" s="18">
        <v>19</v>
      </c>
      <c r="T60" s="6">
        <f t="shared" ref="T60:T76" si="19">R35</f>
        <v>149.886</v>
      </c>
      <c r="U60" s="6">
        <f t="shared" ref="U60:U76" si="20">S35</f>
        <v>149.78899999999999</v>
      </c>
      <c r="V60" s="6">
        <f t="shared" ref="V60:V76" si="21">Q35</f>
        <v>299.67500000000001</v>
      </c>
      <c r="W60" s="6">
        <f t="shared" ref="W60:W76" si="22">V60/$O$4</f>
        <v>0.81321827383617595</v>
      </c>
    </row>
    <row r="61" spans="1:41" x14ac:dyDescent="0.3">
      <c r="A61" s="18">
        <v>2</v>
      </c>
      <c r="B61" s="6">
        <f t="shared" ref="B61:C61" si="23">E18</f>
        <v>181.476</v>
      </c>
      <c r="C61" s="6">
        <f t="shared" si="23"/>
        <v>173.76499999999999</v>
      </c>
      <c r="D61" s="6">
        <f t="shared" si="11"/>
        <v>355.24099999999999</v>
      </c>
      <c r="E61" s="6">
        <f t="shared" si="12"/>
        <v>0.98859847831289749</v>
      </c>
      <c r="F61" s="18">
        <v>20</v>
      </c>
      <c r="G61" s="6">
        <f t="shared" ref="G61:H61" si="24">E36</f>
        <v>178.36099999999999</v>
      </c>
      <c r="H61" s="6">
        <f t="shared" si="24"/>
        <v>170.26499999999999</v>
      </c>
      <c r="I61" s="6">
        <f t="shared" si="14"/>
        <v>348.62599999999998</v>
      </c>
      <c r="J61" s="6">
        <f t="shared" si="15"/>
        <v>0.97018962647980445</v>
      </c>
      <c r="N61" s="18">
        <v>2</v>
      </c>
      <c r="O61" s="6">
        <f t="shared" ref="O61:P61" si="25">R18</f>
        <v>153.21100000000001</v>
      </c>
      <c r="P61" s="6">
        <f t="shared" si="25"/>
        <v>146.60400000000001</v>
      </c>
      <c r="Q61" s="6">
        <f t="shared" si="17"/>
        <v>299.815</v>
      </c>
      <c r="R61" s="6">
        <f t="shared" si="18"/>
        <v>0.81359818727018629</v>
      </c>
      <c r="S61" s="18">
        <v>20</v>
      </c>
      <c r="T61" s="6">
        <f t="shared" si="19"/>
        <v>148.48099999999999</v>
      </c>
      <c r="U61" s="6">
        <f t="shared" si="20"/>
        <v>150.35499999999999</v>
      </c>
      <c r="V61" s="6">
        <f t="shared" si="21"/>
        <v>298.83600000000001</v>
      </c>
      <c r="W61" s="6">
        <f t="shared" si="22"/>
        <v>0.8109415068994994</v>
      </c>
    </row>
    <row r="62" spans="1:41" x14ac:dyDescent="0.3">
      <c r="A62" s="18">
        <v>3</v>
      </c>
      <c r="B62" s="6">
        <f t="shared" ref="B62:C62" si="26">E19</f>
        <v>180.017</v>
      </c>
      <c r="C62" s="6">
        <f t="shared" si="26"/>
        <v>173.40799999999999</v>
      </c>
      <c r="D62" s="6">
        <f t="shared" si="11"/>
        <v>353.42500000000001</v>
      </c>
      <c r="E62" s="6">
        <f t="shared" si="12"/>
        <v>0.98354474060633723</v>
      </c>
      <c r="F62" s="18">
        <v>21</v>
      </c>
      <c r="G62" s="6">
        <f t="shared" ref="G62:H62" si="27">E37</f>
        <v>178.15299999999999</v>
      </c>
      <c r="H62" s="6">
        <f t="shared" si="27"/>
        <v>170.14</v>
      </c>
      <c r="I62" s="6">
        <f t="shared" si="14"/>
        <v>348.29300000000001</v>
      </c>
      <c r="J62" s="6">
        <f t="shared" si="15"/>
        <v>0.96926292237392087</v>
      </c>
      <c r="N62" s="18">
        <v>3</v>
      </c>
      <c r="O62" s="6">
        <f t="shared" ref="O62:P62" si="28">R19</f>
        <v>153.21100000000001</v>
      </c>
      <c r="P62" s="6">
        <f t="shared" si="28"/>
        <v>146.60400000000001</v>
      </c>
      <c r="Q62" s="6">
        <f t="shared" si="17"/>
        <v>299.815</v>
      </c>
      <c r="R62" s="6">
        <f t="shared" si="18"/>
        <v>0.81359818727018629</v>
      </c>
      <c r="S62" s="18">
        <v>21</v>
      </c>
      <c r="T62" s="6">
        <f t="shared" si="19"/>
        <v>148.48099999999999</v>
      </c>
      <c r="U62" s="6">
        <f t="shared" si="20"/>
        <v>150.35499999999999</v>
      </c>
      <c r="V62" s="6">
        <f t="shared" si="21"/>
        <v>298.83600000000001</v>
      </c>
      <c r="W62" s="6">
        <f t="shared" si="22"/>
        <v>0.8109415068994994</v>
      </c>
    </row>
    <row r="63" spans="1:41" x14ac:dyDescent="0.3">
      <c r="A63" s="18">
        <v>4</v>
      </c>
      <c r="B63" s="6">
        <f t="shared" ref="B63:C63" si="29">E20</f>
        <v>180.81299999999999</v>
      </c>
      <c r="C63" s="6">
        <f t="shared" si="29"/>
        <v>172.351</v>
      </c>
      <c r="D63" s="6">
        <f t="shared" si="11"/>
        <v>353.16399999999999</v>
      </c>
      <c r="E63" s="6">
        <f t="shared" si="12"/>
        <v>0.98281840495577966</v>
      </c>
      <c r="F63" s="18">
        <v>22</v>
      </c>
      <c r="G63" s="6">
        <f t="shared" ref="G63:H63" si="30">E38</f>
        <v>178.024</v>
      </c>
      <c r="H63" s="6">
        <f t="shared" si="30"/>
        <v>169.86</v>
      </c>
      <c r="I63" s="6">
        <f t="shared" si="14"/>
        <v>347.88499999999999</v>
      </c>
      <c r="J63" s="6">
        <f t="shared" si="15"/>
        <v>0.96812750112707247</v>
      </c>
      <c r="N63" s="18">
        <v>4</v>
      </c>
      <c r="O63" s="6">
        <f t="shared" ref="O63:P63" si="31">R20</f>
        <v>149.886</v>
      </c>
      <c r="P63" s="6">
        <f t="shared" si="31"/>
        <v>149.78899999999999</v>
      </c>
      <c r="Q63" s="6">
        <f t="shared" si="17"/>
        <v>299.67500000000001</v>
      </c>
      <c r="R63" s="6">
        <f t="shared" si="18"/>
        <v>0.81321827383617595</v>
      </c>
      <c r="S63" s="18">
        <v>22</v>
      </c>
      <c r="T63" s="6">
        <f t="shared" si="19"/>
        <v>148.48099999999999</v>
      </c>
      <c r="U63" s="6">
        <f t="shared" si="20"/>
        <v>150.35499999999999</v>
      </c>
      <c r="V63" s="6">
        <f t="shared" si="21"/>
        <v>298.83600000000001</v>
      </c>
      <c r="W63" s="6">
        <f t="shared" si="22"/>
        <v>0.8109415068994994</v>
      </c>
    </row>
    <row r="64" spans="1:41" x14ac:dyDescent="0.3">
      <c r="A64" s="18">
        <v>5</v>
      </c>
      <c r="B64" s="6">
        <f t="shared" ref="B64:C64" si="32">E21</f>
        <v>180.624</v>
      </c>
      <c r="C64" s="6">
        <f t="shared" si="32"/>
        <v>172.51900000000001</v>
      </c>
      <c r="D64" s="6">
        <f t="shared" si="11"/>
        <v>353.142</v>
      </c>
      <c r="E64" s="6">
        <f t="shared" si="12"/>
        <v>0.98275718126109668</v>
      </c>
      <c r="F64" s="18">
        <v>23</v>
      </c>
      <c r="G64" s="6">
        <f t="shared" ref="G64:H64" si="33">E39</f>
        <v>177.68299999999999</v>
      </c>
      <c r="H64" s="6">
        <f t="shared" si="33"/>
        <v>169.63900000000001</v>
      </c>
      <c r="I64" s="6">
        <f t="shared" si="14"/>
        <v>347.322</v>
      </c>
      <c r="J64" s="6">
        <f t="shared" si="15"/>
        <v>0.96656073112223029</v>
      </c>
      <c r="N64" s="18">
        <v>5</v>
      </c>
      <c r="O64" s="6">
        <f t="shared" ref="O64:P64" si="34">R21</f>
        <v>149.886</v>
      </c>
      <c r="P64" s="6">
        <f t="shared" si="34"/>
        <v>149.78899999999999</v>
      </c>
      <c r="Q64" s="6">
        <f t="shared" si="17"/>
        <v>299.67500000000001</v>
      </c>
      <c r="R64" s="6">
        <f t="shared" si="18"/>
        <v>0.81321827383617595</v>
      </c>
      <c r="S64" s="18">
        <v>23</v>
      </c>
      <c r="T64" s="6">
        <f t="shared" si="19"/>
        <v>148.48099999999999</v>
      </c>
      <c r="U64" s="6">
        <f t="shared" si="20"/>
        <v>150.35499999999999</v>
      </c>
      <c r="V64" s="6">
        <f t="shared" si="21"/>
        <v>298.83600000000001</v>
      </c>
      <c r="W64" s="6">
        <f t="shared" si="22"/>
        <v>0.8109415068994994</v>
      </c>
    </row>
    <row r="65" spans="1:23" x14ac:dyDescent="0.3">
      <c r="A65" s="18">
        <v>6</v>
      </c>
      <c r="B65" s="6">
        <f t="shared" ref="B65:C65" si="35">E22</f>
        <v>179.91</v>
      </c>
      <c r="C65" s="6">
        <f t="shared" si="35"/>
        <v>172.46899999999999</v>
      </c>
      <c r="D65" s="6">
        <f t="shared" si="11"/>
        <v>352.37900000000002</v>
      </c>
      <c r="E65" s="6">
        <f t="shared" si="12"/>
        <v>0.98063383221368183</v>
      </c>
      <c r="F65" s="18">
        <v>24</v>
      </c>
      <c r="G65" s="6">
        <f t="shared" ref="G65:H65" si="36">E40</f>
        <v>177.68299999999999</v>
      </c>
      <c r="H65" s="6">
        <f t="shared" si="36"/>
        <v>169.63900000000001</v>
      </c>
      <c r="I65" s="6">
        <f t="shared" si="14"/>
        <v>347.322</v>
      </c>
      <c r="J65" s="6">
        <f t="shared" si="15"/>
        <v>0.96656073112223029</v>
      </c>
      <c r="N65" s="18">
        <v>6</v>
      </c>
      <c r="O65" s="6">
        <f t="shared" ref="O65:P65" si="37">R22</f>
        <v>149.886</v>
      </c>
      <c r="P65" s="6">
        <f t="shared" si="37"/>
        <v>149.78899999999999</v>
      </c>
      <c r="Q65" s="6">
        <f t="shared" si="17"/>
        <v>299.67500000000001</v>
      </c>
      <c r="R65" s="6">
        <f t="shared" si="18"/>
        <v>0.81321827383617595</v>
      </c>
      <c r="S65" s="18">
        <v>24</v>
      </c>
      <c r="T65" s="6">
        <f t="shared" si="19"/>
        <v>148.48099999999999</v>
      </c>
      <c r="U65" s="6">
        <f t="shared" si="20"/>
        <v>150.35499999999999</v>
      </c>
      <c r="V65" s="6">
        <f t="shared" si="21"/>
        <v>298.83600000000001</v>
      </c>
      <c r="W65" s="6">
        <f t="shared" si="22"/>
        <v>0.8109415068994994</v>
      </c>
    </row>
    <row r="66" spans="1:23" x14ac:dyDescent="0.3">
      <c r="A66" s="18">
        <v>7</v>
      </c>
      <c r="B66" s="6">
        <f t="shared" ref="B66:C66" si="38">E23</f>
        <v>179.91</v>
      </c>
      <c r="C66" s="6">
        <f t="shared" si="38"/>
        <v>172.46899999999999</v>
      </c>
      <c r="D66" s="6">
        <f t="shared" si="11"/>
        <v>352.37900000000002</v>
      </c>
      <c r="E66" s="6">
        <f t="shared" si="12"/>
        <v>0.98063383221368183</v>
      </c>
      <c r="F66" s="18">
        <v>25</v>
      </c>
      <c r="G66" s="6">
        <f t="shared" ref="G66:H66" si="39">E41</f>
        <v>177.23400000000001</v>
      </c>
      <c r="H66" s="6">
        <f t="shared" si="39"/>
        <v>169.57499999999999</v>
      </c>
      <c r="I66" s="6">
        <f t="shared" si="14"/>
        <v>346.81</v>
      </c>
      <c r="J66" s="6">
        <f t="shared" si="15"/>
        <v>0.96513588877324408</v>
      </c>
      <c r="N66" s="18">
        <v>7</v>
      </c>
      <c r="O66" s="6">
        <f t="shared" ref="O66:P66" si="40">R23</f>
        <v>149.886</v>
      </c>
      <c r="P66" s="6">
        <f t="shared" si="40"/>
        <v>149.78899999999999</v>
      </c>
      <c r="Q66" s="6">
        <f t="shared" si="17"/>
        <v>299.67500000000001</v>
      </c>
      <c r="R66" s="6">
        <f t="shared" si="18"/>
        <v>0.81321827383617595</v>
      </c>
      <c r="S66" s="18">
        <v>25</v>
      </c>
      <c r="T66" s="6">
        <f t="shared" si="19"/>
        <v>148.48099999999999</v>
      </c>
      <c r="U66" s="6">
        <f t="shared" si="20"/>
        <v>150.35499999999999</v>
      </c>
      <c r="V66" s="6">
        <f t="shared" si="21"/>
        <v>298.83600000000001</v>
      </c>
      <c r="W66" s="6">
        <f t="shared" si="22"/>
        <v>0.8109415068994994</v>
      </c>
    </row>
    <row r="67" spans="1:23" x14ac:dyDescent="0.3">
      <c r="A67" s="18">
        <v>8</v>
      </c>
      <c r="B67" s="6">
        <f t="shared" ref="B67:C67" si="41">E24</f>
        <v>179.91</v>
      </c>
      <c r="C67" s="6">
        <f t="shared" si="41"/>
        <v>172.46899999999999</v>
      </c>
      <c r="D67" s="6">
        <f t="shared" si="11"/>
        <v>352.37900000000002</v>
      </c>
      <c r="E67" s="6">
        <f t="shared" si="12"/>
        <v>0.98063383221368183</v>
      </c>
      <c r="F67" s="18">
        <v>26</v>
      </c>
      <c r="G67" s="6">
        <f t="shared" ref="G67:H67" si="42">E42</f>
        <v>176.98099999999999</v>
      </c>
      <c r="H67" s="6">
        <f t="shared" si="42"/>
        <v>168.541</v>
      </c>
      <c r="I67" s="6">
        <f t="shared" si="14"/>
        <v>345.52199999999999</v>
      </c>
      <c r="J67" s="6">
        <f t="shared" si="15"/>
        <v>0.96155151973907571</v>
      </c>
      <c r="N67" s="18">
        <v>8</v>
      </c>
      <c r="O67" s="6">
        <f t="shared" ref="O67:P67" si="43">R24</f>
        <v>149.886</v>
      </c>
      <c r="P67" s="6">
        <f t="shared" si="43"/>
        <v>149.78899999999999</v>
      </c>
      <c r="Q67" s="6">
        <f t="shared" si="17"/>
        <v>299.67500000000001</v>
      </c>
      <c r="R67" s="6">
        <f t="shared" si="18"/>
        <v>0.81321827383617595</v>
      </c>
      <c r="S67" s="18">
        <v>26</v>
      </c>
      <c r="T67" s="6">
        <f t="shared" si="19"/>
        <v>148.48099999999999</v>
      </c>
      <c r="U67" s="6">
        <f t="shared" si="20"/>
        <v>150.35499999999999</v>
      </c>
      <c r="V67" s="6">
        <f t="shared" si="21"/>
        <v>298.83600000000001</v>
      </c>
      <c r="W67" s="6">
        <f t="shared" si="22"/>
        <v>0.8109415068994994</v>
      </c>
    </row>
    <row r="68" spans="1:23" x14ac:dyDescent="0.3">
      <c r="A68" s="18">
        <v>9</v>
      </c>
      <c r="B68" s="6">
        <f t="shared" ref="B68:C68" si="44">E25</f>
        <v>179.964</v>
      </c>
      <c r="C68" s="6">
        <f t="shared" si="44"/>
        <v>172.215</v>
      </c>
      <c r="D68" s="6">
        <f t="shared" si="11"/>
        <v>352.17899999999997</v>
      </c>
      <c r="E68" s="6">
        <f t="shared" si="12"/>
        <v>0.98007725317110894</v>
      </c>
      <c r="F68" s="18">
        <v>27</v>
      </c>
      <c r="G68" s="6">
        <f t="shared" ref="G68:H68" si="45">E43</f>
        <v>176.98099999999999</v>
      </c>
      <c r="H68" s="6">
        <f t="shared" si="45"/>
        <v>168.541</v>
      </c>
      <c r="I68" s="6">
        <f t="shared" si="14"/>
        <v>345.52199999999999</v>
      </c>
      <c r="J68" s="6">
        <f t="shared" si="15"/>
        <v>0.96155151973907571</v>
      </c>
      <c r="N68" s="18">
        <v>9</v>
      </c>
      <c r="O68" s="6">
        <f t="shared" ref="O68:P68" si="46">R25</f>
        <v>149.886</v>
      </c>
      <c r="P68" s="6">
        <f t="shared" si="46"/>
        <v>149.78899999999999</v>
      </c>
      <c r="Q68" s="6">
        <f t="shared" si="17"/>
        <v>299.67500000000001</v>
      </c>
      <c r="R68" s="6">
        <f t="shared" si="18"/>
        <v>0.81321827383617595</v>
      </c>
      <c r="S68" s="18">
        <v>27</v>
      </c>
      <c r="T68" s="6">
        <f t="shared" si="19"/>
        <v>148.48099999999999</v>
      </c>
      <c r="U68" s="6">
        <f t="shared" si="20"/>
        <v>150.35499999999999</v>
      </c>
      <c r="V68" s="6">
        <f t="shared" si="21"/>
        <v>298.83600000000001</v>
      </c>
      <c r="W68" s="6">
        <f t="shared" si="22"/>
        <v>0.8109415068994994</v>
      </c>
    </row>
    <row r="69" spans="1:23" x14ac:dyDescent="0.3">
      <c r="A69" s="18">
        <v>10</v>
      </c>
      <c r="B69" s="6">
        <f t="shared" ref="B69:C69" si="47">E26</f>
        <v>180.023</v>
      </c>
      <c r="C69" s="6">
        <f t="shared" si="47"/>
        <v>171.96600000000001</v>
      </c>
      <c r="D69" s="6">
        <f t="shared" si="11"/>
        <v>351.99</v>
      </c>
      <c r="E69" s="6">
        <f t="shared" si="12"/>
        <v>0.97955128597587782</v>
      </c>
      <c r="F69" s="18">
        <v>28</v>
      </c>
      <c r="G69" s="6">
        <f t="shared" ref="G69:H69" si="48">E44</f>
        <v>176.98099999999999</v>
      </c>
      <c r="H69" s="6">
        <f t="shared" si="48"/>
        <v>168.541</v>
      </c>
      <c r="I69" s="6">
        <f t="shared" si="14"/>
        <v>345.52199999999999</v>
      </c>
      <c r="J69" s="6">
        <f t="shared" si="15"/>
        <v>0.96155151973907571</v>
      </c>
      <c r="N69" s="18">
        <v>10</v>
      </c>
      <c r="O69" s="6">
        <f t="shared" ref="O69:P69" si="49">R26</f>
        <v>149.886</v>
      </c>
      <c r="P69" s="6">
        <f t="shared" si="49"/>
        <v>149.78899999999999</v>
      </c>
      <c r="Q69" s="6">
        <f t="shared" si="17"/>
        <v>299.67500000000001</v>
      </c>
      <c r="R69" s="6">
        <f t="shared" si="18"/>
        <v>0.81321827383617595</v>
      </c>
      <c r="S69" s="18">
        <v>28</v>
      </c>
      <c r="T69" s="6">
        <f t="shared" si="19"/>
        <v>148.667</v>
      </c>
      <c r="U69" s="6">
        <f t="shared" si="20"/>
        <v>149.08600000000001</v>
      </c>
      <c r="V69" s="6">
        <f t="shared" si="21"/>
        <v>297.75299999999999</v>
      </c>
      <c r="W69" s="6">
        <f t="shared" si="22"/>
        <v>0.80800260512069033</v>
      </c>
    </row>
    <row r="70" spans="1:23" x14ac:dyDescent="0.3">
      <c r="A70" s="18">
        <v>11</v>
      </c>
      <c r="B70" s="6">
        <f t="shared" ref="B70:C70" si="50">E27</f>
        <v>180.023</v>
      </c>
      <c r="C70" s="6">
        <f t="shared" si="50"/>
        <v>171.96600000000001</v>
      </c>
      <c r="D70" s="6">
        <f t="shared" si="11"/>
        <v>351.99</v>
      </c>
      <c r="E70" s="6">
        <f t="shared" si="12"/>
        <v>0.97955128597587782</v>
      </c>
      <c r="F70" s="18">
        <v>29</v>
      </c>
      <c r="G70" s="6">
        <f t="shared" ref="G70:H70" si="51">E45</f>
        <v>176.98099999999999</v>
      </c>
      <c r="H70" s="6">
        <f t="shared" si="51"/>
        <v>168.541</v>
      </c>
      <c r="I70" s="6">
        <f t="shared" si="14"/>
        <v>345.52199999999999</v>
      </c>
      <c r="J70" s="6">
        <f t="shared" si="15"/>
        <v>0.96155151973907571</v>
      </c>
      <c r="N70" s="18">
        <v>11</v>
      </c>
      <c r="O70" s="6">
        <f t="shared" ref="O70:P70" si="52">R27</f>
        <v>149.886</v>
      </c>
      <c r="P70" s="6">
        <f t="shared" si="52"/>
        <v>149.78899999999999</v>
      </c>
      <c r="Q70" s="6">
        <f t="shared" si="17"/>
        <v>299.67500000000001</v>
      </c>
      <c r="R70" s="6">
        <f t="shared" si="18"/>
        <v>0.81321827383617595</v>
      </c>
      <c r="S70" s="18">
        <v>29</v>
      </c>
      <c r="T70" s="6">
        <f t="shared" si="19"/>
        <v>148.32499999999999</v>
      </c>
      <c r="U70" s="6">
        <f t="shared" si="20"/>
        <v>149.423</v>
      </c>
      <c r="V70" s="6">
        <f t="shared" si="21"/>
        <v>297.74799999999999</v>
      </c>
      <c r="W70" s="6">
        <f t="shared" si="22"/>
        <v>0.80798903678376144</v>
      </c>
    </row>
    <row r="71" spans="1:23" x14ac:dyDescent="0.3">
      <c r="A71" s="18">
        <v>12</v>
      </c>
      <c r="B71" s="6">
        <f t="shared" ref="B71:C71" si="53">E28</f>
        <v>180.023</v>
      </c>
      <c r="C71" s="6">
        <f t="shared" si="53"/>
        <v>171.96600000000001</v>
      </c>
      <c r="D71" s="6">
        <f t="shared" si="11"/>
        <v>351.99</v>
      </c>
      <c r="E71" s="6">
        <f t="shared" si="12"/>
        <v>0.97955128597587782</v>
      </c>
      <c r="F71" s="18">
        <v>30</v>
      </c>
      <c r="G71" s="6">
        <f t="shared" ref="G71:H71" si="54">E46</f>
        <v>176.98099999999999</v>
      </c>
      <c r="H71" s="6">
        <f t="shared" si="54"/>
        <v>168.541</v>
      </c>
      <c r="I71" s="6">
        <f t="shared" si="14"/>
        <v>345.52199999999999</v>
      </c>
      <c r="J71" s="6">
        <f t="shared" si="15"/>
        <v>0.96155151973907571</v>
      </c>
      <c r="N71" s="18">
        <v>12</v>
      </c>
      <c r="O71" s="6">
        <f t="shared" ref="O71:P71" si="55">R28</f>
        <v>149.886</v>
      </c>
      <c r="P71" s="6">
        <f t="shared" si="55"/>
        <v>149.78899999999999</v>
      </c>
      <c r="Q71" s="6">
        <f t="shared" si="17"/>
        <v>299.67500000000001</v>
      </c>
      <c r="R71" s="6">
        <f t="shared" si="18"/>
        <v>0.81321827383617595</v>
      </c>
      <c r="S71" s="18">
        <v>30</v>
      </c>
      <c r="T71" s="6">
        <f t="shared" si="19"/>
        <v>147.44999999999999</v>
      </c>
      <c r="U71" s="6">
        <f t="shared" si="20"/>
        <v>149.57300000000001</v>
      </c>
      <c r="V71" s="6">
        <f t="shared" si="21"/>
        <v>297.02300000000002</v>
      </c>
      <c r="W71" s="6">
        <f t="shared" si="22"/>
        <v>0.80602162792906484</v>
      </c>
    </row>
    <row r="72" spans="1:23" x14ac:dyDescent="0.3">
      <c r="A72" s="18">
        <v>13</v>
      </c>
      <c r="B72" s="6">
        <f t="shared" ref="B72:C72" si="56">E29</f>
        <v>179.31899999999999</v>
      </c>
      <c r="C72" s="6">
        <f t="shared" si="56"/>
        <v>171.74</v>
      </c>
      <c r="D72" s="6">
        <f t="shared" si="11"/>
        <v>351.06</v>
      </c>
      <c r="E72" s="6">
        <f t="shared" si="12"/>
        <v>0.9769631934279146</v>
      </c>
      <c r="F72" s="18">
        <v>31</v>
      </c>
      <c r="G72" s="6">
        <f t="shared" ref="G72:H72" si="57">E47</f>
        <v>176.98099999999999</v>
      </c>
      <c r="H72" s="6">
        <f t="shared" si="57"/>
        <v>168.541</v>
      </c>
      <c r="I72" s="6">
        <f t="shared" si="14"/>
        <v>345.52199999999999</v>
      </c>
      <c r="J72" s="6">
        <f t="shared" si="15"/>
        <v>0.96155151973907571</v>
      </c>
      <c r="N72" s="18">
        <v>13</v>
      </c>
      <c r="O72" s="6">
        <f t="shared" ref="O72:P72" si="58">R29</f>
        <v>149.886</v>
      </c>
      <c r="P72" s="6">
        <f t="shared" si="58"/>
        <v>149.78899999999999</v>
      </c>
      <c r="Q72" s="6">
        <f t="shared" si="17"/>
        <v>299.67500000000001</v>
      </c>
      <c r="R72" s="6">
        <f t="shared" si="18"/>
        <v>0.81321827383617595</v>
      </c>
      <c r="S72" s="18">
        <v>31</v>
      </c>
      <c r="T72" s="6">
        <f t="shared" si="19"/>
        <v>147.923</v>
      </c>
      <c r="U72" s="6">
        <f t="shared" si="20"/>
        <v>148.78</v>
      </c>
      <c r="V72" s="6">
        <f t="shared" si="21"/>
        <v>296.70299999999997</v>
      </c>
      <c r="W72" s="6">
        <f t="shared" si="22"/>
        <v>0.80515325436561236</v>
      </c>
    </row>
    <row r="73" spans="1:23" x14ac:dyDescent="0.3">
      <c r="A73" s="18">
        <v>14</v>
      </c>
      <c r="B73" s="6">
        <f t="shared" ref="B73:C73" si="59">E30</f>
        <v>179.07499999999999</v>
      </c>
      <c r="C73" s="6">
        <f t="shared" si="59"/>
        <v>171.667</v>
      </c>
      <c r="D73" s="6">
        <f t="shared" si="11"/>
        <v>350.74200000000002</v>
      </c>
      <c r="E73" s="6">
        <f t="shared" si="12"/>
        <v>0.97607823275022398</v>
      </c>
      <c r="F73" s="18">
        <v>32</v>
      </c>
      <c r="G73" s="6">
        <f t="shared" ref="G73:H73" si="60">E48</f>
        <v>176.98099999999999</v>
      </c>
      <c r="H73" s="6">
        <f t="shared" si="60"/>
        <v>168.541</v>
      </c>
      <c r="I73" s="6">
        <f t="shared" si="14"/>
        <v>345.52199999999999</v>
      </c>
      <c r="J73" s="6">
        <f t="shared" si="15"/>
        <v>0.96155151973907571</v>
      </c>
      <c r="N73" s="18">
        <v>14</v>
      </c>
      <c r="O73" s="6">
        <f t="shared" ref="O73:P73" si="61">R30</f>
        <v>149.886</v>
      </c>
      <c r="P73" s="6">
        <f t="shared" si="61"/>
        <v>149.78899999999999</v>
      </c>
      <c r="Q73" s="6">
        <f t="shared" si="17"/>
        <v>299.67500000000001</v>
      </c>
      <c r="R73" s="6">
        <f t="shared" si="18"/>
        <v>0.81321827383617595</v>
      </c>
      <c r="S73" s="18">
        <v>32</v>
      </c>
      <c r="T73" s="6">
        <f t="shared" si="19"/>
        <v>147.923</v>
      </c>
      <c r="U73" s="6">
        <f t="shared" si="20"/>
        <v>148.78</v>
      </c>
      <c r="V73" s="6">
        <f t="shared" si="21"/>
        <v>296.70299999999997</v>
      </c>
      <c r="W73" s="6">
        <f t="shared" si="22"/>
        <v>0.80515325436561236</v>
      </c>
    </row>
    <row r="74" spans="1:23" x14ac:dyDescent="0.3">
      <c r="A74" s="18">
        <v>15</v>
      </c>
      <c r="B74" s="6">
        <f t="shared" ref="B74:C74" si="62">E31</f>
        <v>178.92500000000001</v>
      </c>
      <c r="C74" s="6">
        <f t="shared" si="62"/>
        <v>171.30199999999999</v>
      </c>
      <c r="D74" s="6">
        <f t="shared" si="11"/>
        <v>350.226</v>
      </c>
      <c r="E74" s="6">
        <f t="shared" si="12"/>
        <v>0.97464225882038635</v>
      </c>
      <c r="F74" s="18">
        <v>33</v>
      </c>
      <c r="G74" s="6">
        <f t="shared" ref="G74:H74" si="63">E49</f>
        <v>176.98099999999999</v>
      </c>
      <c r="H74" s="6">
        <f t="shared" si="63"/>
        <v>168.541</v>
      </c>
      <c r="I74" s="6">
        <f t="shared" si="14"/>
        <v>345.52199999999999</v>
      </c>
      <c r="J74" s="6">
        <f t="shared" si="15"/>
        <v>0.96155151973907571</v>
      </c>
      <c r="N74" s="18">
        <v>15</v>
      </c>
      <c r="O74" s="6">
        <f t="shared" ref="O74:P74" si="64">R31</f>
        <v>149.886</v>
      </c>
      <c r="P74" s="6">
        <f t="shared" si="64"/>
        <v>149.78899999999999</v>
      </c>
      <c r="Q74" s="6">
        <f t="shared" si="17"/>
        <v>299.67500000000001</v>
      </c>
      <c r="R74" s="6">
        <f t="shared" si="18"/>
        <v>0.81321827383617595</v>
      </c>
      <c r="S74" s="18">
        <v>33</v>
      </c>
      <c r="T74" s="6">
        <f t="shared" si="19"/>
        <v>148.09</v>
      </c>
      <c r="U74" s="6">
        <f t="shared" si="20"/>
        <v>148.565</v>
      </c>
      <c r="V74" s="6">
        <f t="shared" si="21"/>
        <v>296.65499999999997</v>
      </c>
      <c r="W74" s="6">
        <f t="shared" si="22"/>
        <v>0.80502299833109447</v>
      </c>
    </row>
    <row r="75" spans="1:23" x14ac:dyDescent="0.3">
      <c r="A75" s="18">
        <v>16</v>
      </c>
      <c r="B75" s="6">
        <f t="shared" ref="B75:C75" si="65">E32</f>
        <v>179.31200000000001</v>
      </c>
      <c r="C75" s="6">
        <f t="shared" si="65"/>
        <v>170.64400000000001</v>
      </c>
      <c r="D75" s="6">
        <f t="shared" si="11"/>
        <v>349.95600000000002</v>
      </c>
      <c r="E75" s="6">
        <f t="shared" si="12"/>
        <v>0.97389087711291322</v>
      </c>
      <c r="F75" s="18">
        <v>34</v>
      </c>
      <c r="G75" s="6">
        <f t="shared" ref="G75:H75" si="66">E50</f>
        <v>176.92400000000001</v>
      </c>
      <c r="H75" s="6">
        <f t="shared" si="66"/>
        <v>168.476</v>
      </c>
      <c r="I75" s="6">
        <f t="shared" si="14"/>
        <v>345.399</v>
      </c>
      <c r="J75" s="6">
        <f t="shared" si="15"/>
        <v>0.96120922362789341</v>
      </c>
      <c r="N75" s="18">
        <v>16</v>
      </c>
      <c r="O75" s="6">
        <f t="shared" ref="O75:P75" si="67">R32</f>
        <v>149.886</v>
      </c>
      <c r="P75" s="6">
        <f t="shared" si="67"/>
        <v>149.78899999999999</v>
      </c>
      <c r="Q75" s="6">
        <f t="shared" si="17"/>
        <v>299.67500000000001</v>
      </c>
      <c r="R75" s="6">
        <f t="shared" si="18"/>
        <v>0.81321827383617595</v>
      </c>
      <c r="S75" s="18">
        <v>34</v>
      </c>
      <c r="T75" s="6">
        <f t="shared" si="19"/>
        <v>147.93299999999999</v>
      </c>
      <c r="U75" s="6">
        <f t="shared" si="20"/>
        <v>148.55500000000001</v>
      </c>
      <c r="V75" s="6">
        <f t="shared" si="21"/>
        <v>296.488</v>
      </c>
      <c r="W75" s="6">
        <f t="shared" si="22"/>
        <v>0.80456981587766785</v>
      </c>
    </row>
    <row r="76" spans="1:23" ht="14.5" thickBot="1" x14ac:dyDescent="0.35">
      <c r="A76" s="19">
        <v>17</v>
      </c>
      <c r="B76" s="6">
        <f t="shared" ref="B76:C76" si="68">E33</f>
        <v>179.148</v>
      </c>
      <c r="C76" s="6">
        <f t="shared" si="68"/>
        <v>170.63</v>
      </c>
      <c r="D76" s="6">
        <f t="shared" si="11"/>
        <v>349.77800000000002</v>
      </c>
      <c r="E76" s="6">
        <f t="shared" si="12"/>
        <v>0.97339552176502342</v>
      </c>
      <c r="F76" s="19">
        <v>35</v>
      </c>
      <c r="G76" s="6">
        <f t="shared" ref="G76:H76" si="69">E51</f>
        <v>176.899</v>
      </c>
      <c r="H76" s="6">
        <f t="shared" si="69"/>
        <v>168.43899999999999</v>
      </c>
      <c r="I76" s="6">
        <f t="shared" si="14"/>
        <v>345.33800000000002</v>
      </c>
      <c r="J76" s="6">
        <f t="shared" si="15"/>
        <v>0.96103946701990883</v>
      </c>
      <c r="N76" s="19">
        <v>17</v>
      </c>
      <c r="O76" s="6">
        <f t="shared" ref="O76:P76" si="70">R33</f>
        <v>149.886</v>
      </c>
      <c r="P76" s="6">
        <f t="shared" si="70"/>
        <v>149.78899999999999</v>
      </c>
      <c r="Q76" s="6">
        <f t="shared" si="17"/>
        <v>299.67500000000001</v>
      </c>
      <c r="R76" s="6">
        <f t="shared" si="18"/>
        <v>0.81321827383617595</v>
      </c>
      <c r="S76" s="19">
        <v>35</v>
      </c>
      <c r="T76" s="6">
        <f t="shared" si="19"/>
        <v>147.93299999999999</v>
      </c>
      <c r="U76" s="6">
        <f t="shared" si="20"/>
        <v>148.55500000000001</v>
      </c>
      <c r="V76" s="6">
        <f t="shared" si="21"/>
        <v>296.488</v>
      </c>
      <c r="W76" s="6">
        <f t="shared" si="22"/>
        <v>0.80456981587766785</v>
      </c>
    </row>
    <row r="77" spans="1:23" ht="14.5" thickTop="1" x14ac:dyDescent="0.3"/>
  </sheetData>
  <mergeCells count="12">
    <mergeCell ref="S57:S58"/>
    <mergeCell ref="W57:W58"/>
    <mergeCell ref="P1:P2"/>
    <mergeCell ref="T1:T2"/>
    <mergeCell ref="A57:A58"/>
    <mergeCell ref="E57:E58"/>
    <mergeCell ref="J57:J58"/>
    <mergeCell ref="N57:N58"/>
    <mergeCell ref="R57:R58"/>
    <mergeCell ref="F57:F58"/>
    <mergeCell ref="C1:C2"/>
    <mergeCell ref="G1:G2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39"/>
  <sheetViews>
    <sheetView zoomScale="10" zoomScaleNormal="10" workbookViewId="0">
      <selection activeCell="O13" sqref="O13"/>
    </sheetView>
  </sheetViews>
  <sheetFormatPr defaultColWidth="9" defaultRowHeight="14" x14ac:dyDescent="0.3"/>
  <cols>
    <col min="3" max="3" width="9" style="1"/>
  </cols>
  <sheetData>
    <row r="2" spans="1:19" x14ac:dyDescent="0.3">
      <c r="A2" t="s">
        <v>17</v>
      </c>
      <c r="D2" t="s">
        <v>45</v>
      </c>
      <c r="E2" t="s">
        <v>27</v>
      </c>
      <c r="F2" t="s">
        <v>44</v>
      </c>
      <c r="M2" s="1">
        <v>519</v>
      </c>
      <c r="P2">
        <v>531</v>
      </c>
      <c r="S2">
        <v>625</v>
      </c>
    </row>
    <row r="3" spans="1:19" x14ac:dyDescent="0.3">
      <c r="A3">
        <f>100*B3</f>
        <v>0</v>
      </c>
      <c r="B3">
        <v>0</v>
      </c>
      <c r="D3" s="1">
        <v>16.2</v>
      </c>
      <c r="E3" s="9">
        <f>(D$39-D$3)*(A3-A$3)/(A$39-A$3)+D$3</f>
        <v>16.2</v>
      </c>
      <c r="F3">
        <v>16.2</v>
      </c>
      <c r="G3">
        <f t="shared" ref="G3:G38" si="0">(D4-D3)/100</f>
        <v>3.0000000000001136E-4</v>
      </c>
      <c r="H3">
        <f t="shared" ref="H3:H38" si="1">(E4-E3)/100</f>
        <v>9.4444444444445001E-4</v>
      </c>
      <c r="I3">
        <f t="shared" ref="I3:I38" si="2">(F4-F3)/100</f>
        <v>-0.04</v>
      </c>
      <c r="L3">
        <v>16.2</v>
      </c>
      <c r="M3" s="1">
        <v>16.2</v>
      </c>
      <c r="S3">
        <v>16.2</v>
      </c>
    </row>
    <row r="4" spans="1:19" x14ac:dyDescent="0.3">
      <c r="A4">
        <f>100*B4</f>
        <v>100</v>
      </c>
      <c r="B4">
        <v>1</v>
      </c>
      <c r="D4" s="1">
        <v>16.23</v>
      </c>
      <c r="E4" s="9">
        <f t="shared" ref="E4:E39" si="3">(D$39-D$3)*(A4-A$3)/(A$39-A$3)+D$3</f>
        <v>16.294444444444444</v>
      </c>
      <c r="F4">
        <v>12.2</v>
      </c>
      <c r="G4">
        <f t="shared" si="0"/>
        <v>5.4265954533004998E-3</v>
      </c>
      <c r="H4">
        <f t="shared" si="1"/>
        <v>9.4444444444445001E-4</v>
      </c>
      <c r="I4">
        <f t="shared" si="2"/>
        <v>0.04</v>
      </c>
      <c r="L4">
        <v>12.7</v>
      </c>
      <c r="M4" s="1">
        <v>12.2</v>
      </c>
      <c r="S4">
        <v>12.7</v>
      </c>
    </row>
    <row r="5" spans="1:19" x14ac:dyDescent="0.3">
      <c r="A5">
        <f t="shared" ref="A5:A39" si="4">100*B5</f>
        <v>200</v>
      </c>
      <c r="B5">
        <v>2</v>
      </c>
      <c r="D5" s="1">
        <v>16.77265954533005</v>
      </c>
      <c r="E5" s="9">
        <f t="shared" si="3"/>
        <v>16.388888888888889</v>
      </c>
      <c r="F5">
        <v>16.2</v>
      </c>
      <c r="G5">
        <f t="shared" si="0"/>
        <v>3.1564247936735866E-3</v>
      </c>
      <c r="H5">
        <f t="shared" si="1"/>
        <v>9.4444444444445001E-4</v>
      </c>
      <c r="I5">
        <f t="shared" si="2"/>
        <v>-0.04</v>
      </c>
      <c r="L5">
        <v>8.6999999999999993</v>
      </c>
      <c r="M5" s="1">
        <v>9.1999999999999993</v>
      </c>
      <c r="S5">
        <v>16.7</v>
      </c>
    </row>
    <row r="6" spans="1:19" x14ac:dyDescent="0.3">
      <c r="A6">
        <f t="shared" si="4"/>
        <v>300</v>
      </c>
      <c r="B6">
        <v>3</v>
      </c>
      <c r="D6" s="1">
        <v>17.088302024697409</v>
      </c>
      <c r="E6" s="9">
        <f t="shared" si="3"/>
        <v>16.483333333333334</v>
      </c>
      <c r="F6">
        <v>12.2</v>
      </c>
      <c r="G6">
        <f t="shared" si="0"/>
        <v>4.2100333910486043E-3</v>
      </c>
      <c r="H6">
        <f t="shared" si="1"/>
        <v>9.4444444444441444E-4</v>
      </c>
      <c r="I6">
        <f t="shared" si="2"/>
        <v>0.04</v>
      </c>
      <c r="L6">
        <v>4.7</v>
      </c>
      <c r="M6" s="1">
        <v>5.8999999999999986</v>
      </c>
      <c r="S6">
        <v>12.7</v>
      </c>
    </row>
    <row r="7" spans="1:19" x14ac:dyDescent="0.3">
      <c r="A7">
        <f t="shared" si="4"/>
        <v>400</v>
      </c>
      <c r="B7">
        <v>4</v>
      </c>
      <c r="D7" s="1">
        <v>17.50930536380227</v>
      </c>
      <c r="E7" s="9">
        <f t="shared" si="3"/>
        <v>16.577777777777776</v>
      </c>
      <c r="F7">
        <v>16.2</v>
      </c>
      <c r="G7">
        <f t="shared" si="0"/>
        <v>4.6671704551383185E-3</v>
      </c>
      <c r="H7">
        <f t="shared" si="1"/>
        <v>9.4444444444445001E-4</v>
      </c>
      <c r="I7">
        <f t="shared" si="2"/>
        <v>-0.04</v>
      </c>
      <c r="L7">
        <v>1.2</v>
      </c>
      <c r="M7" s="1">
        <v>9.7999999999999989</v>
      </c>
      <c r="S7">
        <v>16</v>
      </c>
    </row>
    <row r="8" spans="1:19" x14ac:dyDescent="0.3">
      <c r="A8">
        <f t="shared" si="4"/>
        <v>500</v>
      </c>
      <c r="B8">
        <v>5</v>
      </c>
      <c r="D8" s="1">
        <v>17.976022409316101</v>
      </c>
      <c r="E8" s="9">
        <f t="shared" si="3"/>
        <v>16.672222222222221</v>
      </c>
      <c r="F8">
        <v>12.2</v>
      </c>
      <c r="G8">
        <f t="shared" si="0"/>
        <v>4.0535000017939997E-3</v>
      </c>
      <c r="H8">
        <f t="shared" si="1"/>
        <v>9.4444444444445001E-4</v>
      </c>
      <c r="I8">
        <f t="shared" si="2"/>
        <v>0.02</v>
      </c>
      <c r="L8">
        <v>3.7</v>
      </c>
      <c r="M8" s="1">
        <v>6.7999999999999989</v>
      </c>
      <c r="S8">
        <v>13.5</v>
      </c>
    </row>
    <row r="9" spans="1:19" x14ac:dyDescent="0.3">
      <c r="A9">
        <f t="shared" si="4"/>
        <v>600</v>
      </c>
      <c r="B9">
        <v>6</v>
      </c>
      <c r="D9" s="1">
        <v>18.381372409495501</v>
      </c>
      <c r="E9" s="9">
        <f t="shared" si="3"/>
        <v>16.766666666666666</v>
      </c>
      <c r="F9">
        <v>14.2</v>
      </c>
      <c r="G9">
        <f t="shared" si="0"/>
        <v>3.1350863267642025E-3</v>
      </c>
      <c r="H9">
        <f t="shared" si="1"/>
        <v>9.4444444444445001E-4</v>
      </c>
      <c r="I9">
        <f t="shared" si="2"/>
        <v>-3.6999999999999991E-2</v>
      </c>
      <c r="L9">
        <v>0.2</v>
      </c>
      <c r="M9" s="1">
        <v>10.1</v>
      </c>
      <c r="S9">
        <v>17</v>
      </c>
    </row>
    <row r="10" spans="1:19" x14ac:dyDescent="0.3">
      <c r="A10">
        <f t="shared" si="4"/>
        <v>700</v>
      </c>
      <c r="B10">
        <v>7</v>
      </c>
      <c r="D10" s="1">
        <v>18.694881042171922</v>
      </c>
      <c r="E10" s="9">
        <f t="shared" si="3"/>
        <v>16.861111111111111</v>
      </c>
      <c r="F10">
        <v>10.5</v>
      </c>
      <c r="G10">
        <f t="shared" si="0"/>
        <v>4.8745658772026699E-3</v>
      </c>
      <c r="H10">
        <f t="shared" si="1"/>
        <v>9.4444444444445001E-4</v>
      </c>
      <c r="I10">
        <f t="shared" si="2"/>
        <v>1.4999999999999999E-2</v>
      </c>
      <c r="L10">
        <v>-2.2999999999999998</v>
      </c>
      <c r="M10" s="1">
        <v>7.6</v>
      </c>
      <c r="S10">
        <v>13.5</v>
      </c>
    </row>
    <row r="11" spans="1:19" x14ac:dyDescent="0.3">
      <c r="A11">
        <f t="shared" si="4"/>
        <v>800</v>
      </c>
      <c r="B11">
        <v>8</v>
      </c>
      <c r="D11" s="1">
        <v>19.182337629892189</v>
      </c>
      <c r="E11" s="9">
        <f t="shared" si="3"/>
        <v>16.955555555555556</v>
      </c>
      <c r="F11">
        <v>12</v>
      </c>
      <c r="G11">
        <f t="shared" si="0"/>
        <v>5.2687689180966049E-3</v>
      </c>
      <c r="H11">
        <f t="shared" si="1"/>
        <v>9.4444444444445001E-4</v>
      </c>
      <c r="I11">
        <f t="shared" si="2"/>
        <v>3.5000000000000003E-2</v>
      </c>
      <c r="L11">
        <v>1.6</v>
      </c>
      <c r="M11" s="1">
        <v>10.6</v>
      </c>
      <c r="S11">
        <v>17</v>
      </c>
    </row>
    <row r="12" spans="1:19" x14ac:dyDescent="0.3">
      <c r="A12">
        <f t="shared" si="4"/>
        <v>900</v>
      </c>
      <c r="B12">
        <v>9</v>
      </c>
      <c r="D12" s="1">
        <v>19.709214521701849</v>
      </c>
      <c r="E12" s="9">
        <f t="shared" si="3"/>
        <v>17.05</v>
      </c>
      <c r="F12">
        <v>15.5</v>
      </c>
      <c r="G12">
        <f t="shared" si="0"/>
        <v>6.6018499186293053E-3</v>
      </c>
      <c r="H12">
        <f t="shared" si="1"/>
        <v>9.4444444444445001E-4</v>
      </c>
      <c r="I12">
        <f t="shared" si="2"/>
        <v>-3.5000000000000003E-2</v>
      </c>
      <c r="L12">
        <v>5.6</v>
      </c>
      <c r="M12" s="1">
        <v>6.6</v>
      </c>
      <c r="S12">
        <v>16.899999999999999</v>
      </c>
    </row>
    <row r="13" spans="1:19" x14ac:dyDescent="0.3">
      <c r="A13">
        <f t="shared" si="4"/>
        <v>1000</v>
      </c>
      <c r="B13">
        <v>10</v>
      </c>
      <c r="D13" s="1">
        <v>20.36939951356478</v>
      </c>
      <c r="E13" s="9">
        <f t="shared" si="3"/>
        <v>17.144444444444446</v>
      </c>
      <c r="F13">
        <v>12</v>
      </c>
      <c r="G13">
        <f t="shared" si="0"/>
        <v>8.1584136141702145E-3</v>
      </c>
      <c r="H13">
        <f t="shared" si="1"/>
        <v>9.4444444444441444E-4</v>
      </c>
      <c r="I13">
        <f t="shared" si="2"/>
        <v>-5.0000000000000001E-3</v>
      </c>
      <c r="L13">
        <v>3.6</v>
      </c>
      <c r="M13" s="1">
        <v>10.5</v>
      </c>
      <c r="S13">
        <v>19.799999999999997</v>
      </c>
    </row>
    <row r="14" spans="1:19" x14ac:dyDescent="0.3">
      <c r="A14">
        <f t="shared" si="4"/>
        <v>1100</v>
      </c>
      <c r="B14">
        <v>11</v>
      </c>
      <c r="D14" s="1">
        <v>21.185240874981801</v>
      </c>
      <c r="E14" s="9">
        <f t="shared" si="3"/>
        <v>17.238888888888887</v>
      </c>
      <c r="F14">
        <v>11.5</v>
      </c>
      <c r="G14">
        <f t="shared" si="0"/>
        <v>7.5304288233079934E-3</v>
      </c>
      <c r="H14">
        <f t="shared" si="1"/>
        <v>9.4444444444445001E-4</v>
      </c>
      <c r="I14">
        <f t="shared" si="2"/>
        <v>3.5999999999999997E-2</v>
      </c>
      <c r="L14">
        <v>0.1</v>
      </c>
      <c r="M14" s="1">
        <v>6.5</v>
      </c>
      <c r="S14">
        <v>16.199999999999996</v>
      </c>
    </row>
    <row r="15" spans="1:19" x14ac:dyDescent="0.3">
      <c r="A15">
        <f t="shared" si="4"/>
        <v>1200</v>
      </c>
      <c r="B15">
        <v>12</v>
      </c>
      <c r="D15" s="1">
        <v>21.9382837573126</v>
      </c>
      <c r="E15" s="9">
        <f t="shared" si="3"/>
        <v>17.333333333333332</v>
      </c>
      <c r="F15">
        <v>15.1</v>
      </c>
      <c r="G15">
        <f t="shared" si="0"/>
        <v>8.6177151062316066E-3</v>
      </c>
      <c r="H15">
        <f t="shared" si="1"/>
        <v>9.4444444444445001E-4</v>
      </c>
      <c r="I15">
        <f t="shared" si="2"/>
        <v>-0.04</v>
      </c>
      <c r="L15">
        <v>4</v>
      </c>
      <c r="M15" s="1">
        <v>9</v>
      </c>
      <c r="S15">
        <v>19.799999999999997</v>
      </c>
    </row>
    <row r="16" spans="1:19" x14ac:dyDescent="0.3">
      <c r="A16">
        <f t="shared" si="4"/>
        <v>1300</v>
      </c>
      <c r="B16">
        <v>13</v>
      </c>
      <c r="D16" s="1">
        <v>22.800055267935761</v>
      </c>
      <c r="E16" s="9">
        <f t="shared" si="3"/>
        <v>17.427777777777777</v>
      </c>
      <c r="F16">
        <v>11.1</v>
      </c>
      <c r="G16">
        <f t="shared" si="0"/>
        <v>4.220688052249599E-3</v>
      </c>
      <c r="H16">
        <f t="shared" si="1"/>
        <v>9.4444444444445001E-4</v>
      </c>
      <c r="I16">
        <f t="shared" si="2"/>
        <v>0.04</v>
      </c>
      <c r="L16">
        <v>6.9</v>
      </c>
      <c r="M16" s="1">
        <v>5.5</v>
      </c>
      <c r="S16">
        <v>16.799999999999997</v>
      </c>
    </row>
    <row r="17" spans="1:19" x14ac:dyDescent="0.3">
      <c r="A17">
        <f t="shared" si="4"/>
        <v>1400</v>
      </c>
      <c r="B17">
        <v>14</v>
      </c>
      <c r="D17" s="1">
        <v>23.222124073160721</v>
      </c>
      <c r="E17" s="9">
        <f t="shared" si="3"/>
        <v>17.522222222222222</v>
      </c>
      <c r="F17">
        <v>15.1</v>
      </c>
      <c r="G17">
        <f t="shared" si="0"/>
        <v>-1.0342997302399226E-3</v>
      </c>
      <c r="H17">
        <f t="shared" si="1"/>
        <v>9.4444444444445001E-4</v>
      </c>
      <c r="I17">
        <f t="shared" si="2"/>
        <v>-0.04</v>
      </c>
      <c r="L17">
        <v>4.8</v>
      </c>
      <c r="M17" s="1">
        <v>5.5</v>
      </c>
      <c r="S17">
        <v>20.499999999999996</v>
      </c>
    </row>
    <row r="18" spans="1:19" x14ac:dyDescent="0.3">
      <c r="A18">
        <f t="shared" si="4"/>
        <v>1500</v>
      </c>
      <c r="B18">
        <v>15</v>
      </c>
      <c r="D18" s="1">
        <v>23.118694100136729</v>
      </c>
      <c r="E18" s="9">
        <f t="shared" si="3"/>
        <v>17.616666666666667</v>
      </c>
      <c r="F18">
        <v>11.1</v>
      </c>
      <c r="G18">
        <f t="shared" si="0"/>
        <v>-6.1743806733279881E-3</v>
      </c>
      <c r="H18">
        <f t="shared" si="1"/>
        <v>9.4444444444445001E-4</v>
      </c>
      <c r="I18">
        <f t="shared" si="2"/>
        <v>0.04</v>
      </c>
      <c r="L18">
        <v>7.4</v>
      </c>
      <c r="M18" s="1">
        <v>8.6999999999999993</v>
      </c>
      <c r="S18">
        <v>18.399999999999995</v>
      </c>
    </row>
    <row r="19" spans="1:19" x14ac:dyDescent="0.3">
      <c r="A19">
        <f t="shared" si="4"/>
        <v>1600</v>
      </c>
      <c r="B19">
        <v>16</v>
      </c>
      <c r="D19" s="1">
        <v>22.50125603280393</v>
      </c>
      <c r="E19" s="9">
        <f t="shared" si="3"/>
        <v>17.711111111111112</v>
      </c>
      <c r="F19">
        <v>15.1</v>
      </c>
      <c r="G19">
        <f t="shared" si="0"/>
        <v>-8.1621479556713075E-3</v>
      </c>
      <c r="H19">
        <f t="shared" si="1"/>
        <v>9.4444444444445001E-4</v>
      </c>
      <c r="I19">
        <f t="shared" si="2"/>
        <v>-3.5000000000000003E-2</v>
      </c>
      <c r="L19">
        <v>5.8</v>
      </c>
      <c r="M19" s="1">
        <v>5.8999999999999986</v>
      </c>
      <c r="S19">
        <v>21.899999999999995</v>
      </c>
    </row>
    <row r="20" spans="1:19" x14ac:dyDescent="0.3">
      <c r="A20">
        <f t="shared" si="4"/>
        <v>1700</v>
      </c>
      <c r="B20">
        <v>17</v>
      </c>
      <c r="D20" s="1">
        <v>21.685041237236799</v>
      </c>
      <c r="E20" s="9">
        <f t="shared" si="3"/>
        <v>17.805555555555557</v>
      </c>
      <c r="F20">
        <v>11.6</v>
      </c>
      <c r="G20">
        <f t="shared" si="0"/>
        <v>-7.7112925787226772E-3</v>
      </c>
      <c r="H20">
        <f t="shared" si="1"/>
        <v>9.4444444444441444E-4</v>
      </c>
      <c r="I20">
        <f t="shared" si="2"/>
        <v>0.04</v>
      </c>
      <c r="L20">
        <v>3.8</v>
      </c>
      <c r="M20" s="1">
        <v>4.2999999999999989</v>
      </c>
      <c r="S20">
        <v>17.899999999999995</v>
      </c>
    </row>
    <row r="21" spans="1:19" x14ac:dyDescent="0.3">
      <c r="A21">
        <f t="shared" si="4"/>
        <v>1800</v>
      </c>
      <c r="B21">
        <v>18</v>
      </c>
      <c r="D21" s="1">
        <v>20.913911979364531</v>
      </c>
      <c r="E21" s="9">
        <f t="shared" si="3"/>
        <v>17.899999999999999</v>
      </c>
      <c r="F21">
        <v>15.6</v>
      </c>
      <c r="G21">
        <f t="shared" si="0"/>
        <v>-7.6159454023181188E-3</v>
      </c>
      <c r="H21">
        <f t="shared" si="1"/>
        <v>9.4444444444445001E-4</v>
      </c>
      <c r="I21">
        <f t="shared" si="2"/>
        <v>-0.04</v>
      </c>
      <c r="L21">
        <v>1.1000000000000001</v>
      </c>
      <c r="M21" s="1">
        <v>8.1999999999999993</v>
      </c>
      <c r="S21">
        <v>21.099999999999994</v>
      </c>
    </row>
    <row r="22" spans="1:19" x14ac:dyDescent="0.3">
      <c r="A22">
        <f t="shared" si="4"/>
        <v>1900</v>
      </c>
      <c r="B22">
        <v>19</v>
      </c>
      <c r="D22" s="1">
        <v>20.15231743913272</v>
      </c>
      <c r="E22" s="9">
        <f t="shared" si="3"/>
        <v>17.994444444444444</v>
      </c>
      <c r="F22">
        <v>11.6</v>
      </c>
      <c r="G22">
        <f t="shared" si="0"/>
        <v>-6.3787232849981026E-3</v>
      </c>
      <c r="H22">
        <f t="shared" si="1"/>
        <v>9.4444444444445001E-4</v>
      </c>
      <c r="I22">
        <f t="shared" si="2"/>
        <v>3.5000000000000003E-2</v>
      </c>
      <c r="L22">
        <v>-0.3</v>
      </c>
      <c r="M22" s="1">
        <v>4.1999999999999993</v>
      </c>
      <c r="S22">
        <v>17.599999999999994</v>
      </c>
    </row>
    <row r="23" spans="1:19" x14ac:dyDescent="0.3">
      <c r="A23">
        <f t="shared" si="4"/>
        <v>2000</v>
      </c>
      <c r="B23">
        <v>20</v>
      </c>
      <c r="D23" s="1">
        <v>19.514445110632909</v>
      </c>
      <c r="E23" s="9">
        <f t="shared" si="3"/>
        <v>18.088888888888889</v>
      </c>
      <c r="F23">
        <v>15.1</v>
      </c>
      <c r="G23">
        <f t="shared" si="0"/>
        <v>-3.0639994776326062E-3</v>
      </c>
      <c r="H23">
        <f t="shared" si="1"/>
        <v>9.4444444444445001E-4</v>
      </c>
      <c r="I23">
        <f t="shared" si="2"/>
        <v>-0.03</v>
      </c>
      <c r="L23">
        <v>-4.3</v>
      </c>
      <c r="M23" s="1">
        <v>8.1999999999999993</v>
      </c>
      <c r="S23">
        <v>20.499999999999993</v>
      </c>
    </row>
    <row r="24" spans="1:19" x14ac:dyDescent="0.3">
      <c r="A24">
        <f t="shared" si="4"/>
        <v>2100</v>
      </c>
      <c r="B24">
        <v>21</v>
      </c>
      <c r="D24" s="1">
        <v>19.208045162869649</v>
      </c>
      <c r="E24" s="9">
        <f t="shared" si="3"/>
        <v>18.183333333333334</v>
      </c>
      <c r="F24">
        <v>12.1</v>
      </c>
      <c r="G24">
        <f t="shared" si="0"/>
        <v>-4.495677339786752E-4</v>
      </c>
      <c r="H24">
        <f t="shared" si="1"/>
        <v>9.4444444444445001E-4</v>
      </c>
      <c r="I24">
        <f t="shared" si="2"/>
        <v>4.0000000000000015E-2</v>
      </c>
      <c r="L24">
        <v>-5.7</v>
      </c>
      <c r="M24" s="1">
        <v>4.1999999999999993</v>
      </c>
      <c r="S24">
        <v>16.499999999999993</v>
      </c>
    </row>
    <row r="25" spans="1:19" x14ac:dyDescent="0.3">
      <c r="A25">
        <f t="shared" si="4"/>
        <v>2200</v>
      </c>
      <c r="B25">
        <v>22</v>
      </c>
      <c r="D25" s="1">
        <v>19.163088389471781</v>
      </c>
      <c r="E25" s="9">
        <f t="shared" si="3"/>
        <v>18.277777777777779</v>
      </c>
      <c r="F25">
        <v>16.100000000000001</v>
      </c>
      <c r="G25">
        <f t="shared" si="0"/>
        <v>4.0577644321529863E-3</v>
      </c>
      <c r="H25">
        <f t="shared" si="1"/>
        <v>9.4444444444445001E-4</v>
      </c>
      <c r="I25">
        <f t="shared" si="2"/>
        <v>-0.04</v>
      </c>
      <c r="L25">
        <v>-8.6</v>
      </c>
      <c r="M25" s="1">
        <v>7.7999999999999989</v>
      </c>
      <c r="S25">
        <v>20.499999999999993</v>
      </c>
    </row>
    <row r="26" spans="1:19" x14ac:dyDescent="0.3">
      <c r="A26">
        <f t="shared" si="4"/>
        <v>2300</v>
      </c>
      <c r="B26">
        <v>23</v>
      </c>
      <c r="D26" s="1">
        <v>19.56886483268708</v>
      </c>
      <c r="E26" s="9">
        <f t="shared" si="3"/>
        <v>18.372222222222224</v>
      </c>
      <c r="F26">
        <v>12.100000000000001</v>
      </c>
      <c r="G26">
        <f t="shared" si="0"/>
        <v>8.4804874515369017E-3</v>
      </c>
      <c r="H26">
        <f t="shared" si="1"/>
        <v>9.4444444444445001E-4</v>
      </c>
      <c r="I26">
        <f t="shared" si="2"/>
        <v>3.5000000000000003E-2</v>
      </c>
      <c r="L26">
        <v>-4.5999999999999996</v>
      </c>
      <c r="M26" s="1">
        <v>3.7999999999999989</v>
      </c>
      <c r="S26">
        <v>16.499999999999993</v>
      </c>
    </row>
    <row r="27" spans="1:19" x14ac:dyDescent="0.3">
      <c r="A27">
        <f t="shared" si="4"/>
        <v>2400</v>
      </c>
      <c r="B27">
        <v>24</v>
      </c>
      <c r="D27" s="1">
        <v>20.41691357784077</v>
      </c>
      <c r="E27" s="9">
        <f t="shared" si="3"/>
        <v>18.466666666666669</v>
      </c>
      <c r="F27">
        <v>15.600000000000001</v>
      </c>
      <c r="G27">
        <f t="shared" si="0"/>
        <v>1.1432690771066199E-2</v>
      </c>
      <c r="H27">
        <f t="shared" si="1"/>
        <v>9.4444444444441444E-4</v>
      </c>
      <c r="I27">
        <f t="shared" si="2"/>
        <v>-0.04</v>
      </c>
      <c r="L27">
        <v>-3.2</v>
      </c>
      <c r="M27" s="1">
        <v>6.6</v>
      </c>
      <c r="S27">
        <v>18.999999999999993</v>
      </c>
    </row>
    <row r="28" spans="1:19" x14ac:dyDescent="0.3">
      <c r="A28">
        <f t="shared" si="4"/>
        <v>2500</v>
      </c>
      <c r="B28">
        <v>25</v>
      </c>
      <c r="D28" s="1">
        <v>21.56018265494739</v>
      </c>
      <c r="E28" s="9">
        <f t="shared" si="3"/>
        <v>18.56111111111111</v>
      </c>
      <c r="F28">
        <v>11.600000000000001</v>
      </c>
      <c r="G28">
        <f t="shared" si="0"/>
        <v>8.5278179138397903E-3</v>
      </c>
      <c r="H28">
        <f t="shared" si="1"/>
        <v>9.4444444444445001E-4</v>
      </c>
      <c r="I28">
        <f t="shared" si="2"/>
        <v>3.5000000000000003E-2</v>
      </c>
      <c r="L28">
        <v>-0.9</v>
      </c>
      <c r="M28" s="1">
        <v>2.5999999999999996</v>
      </c>
      <c r="S28">
        <v>15.299999999999994</v>
      </c>
    </row>
    <row r="29" spans="1:19" x14ac:dyDescent="0.3">
      <c r="A29">
        <f t="shared" si="4"/>
        <v>2600</v>
      </c>
      <c r="B29">
        <v>26</v>
      </c>
      <c r="D29" s="1">
        <v>22.412964446331369</v>
      </c>
      <c r="E29" s="9">
        <f t="shared" si="3"/>
        <v>18.655555555555555</v>
      </c>
      <c r="F29">
        <v>15.100000000000001</v>
      </c>
      <c r="G29">
        <f t="shared" si="0"/>
        <v>8.0046256194093238E-3</v>
      </c>
      <c r="H29">
        <f t="shared" si="1"/>
        <v>9.4444444444445001E-4</v>
      </c>
      <c r="I29">
        <f t="shared" si="2"/>
        <v>3.000000000000007E-3</v>
      </c>
      <c r="L29">
        <v>2</v>
      </c>
      <c r="M29" s="1">
        <v>5.6</v>
      </c>
      <c r="S29">
        <v>18.799999999999994</v>
      </c>
    </row>
    <row r="30" spans="1:19" x14ac:dyDescent="0.3">
      <c r="A30">
        <f t="shared" si="4"/>
        <v>2700</v>
      </c>
      <c r="B30">
        <v>27</v>
      </c>
      <c r="D30" s="1">
        <v>23.213427008272301</v>
      </c>
      <c r="E30" s="9">
        <f t="shared" si="3"/>
        <v>18.75</v>
      </c>
      <c r="F30">
        <v>15.400000000000002</v>
      </c>
      <c r="G30">
        <f t="shared" si="0"/>
        <v>7.8815938122691869E-3</v>
      </c>
      <c r="H30">
        <f t="shared" si="1"/>
        <v>9.4444444444445001E-4</v>
      </c>
      <c r="I30">
        <f t="shared" si="2"/>
        <v>-2.9000000000000005E-2</v>
      </c>
      <c r="L30">
        <v>4.4000000000000004</v>
      </c>
      <c r="M30" s="1">
        <v>9.5</v>
      </c>
      <c r="S30">
        <v>16.799999999999994</v>
      </c>
    </row>
    <row r="31" spans="1:19" x14ac:dyDescent="0.3">
      <c r="A31">
        <f t="shared" si="4"/>
        <v>2800</v>
      </c>
      <c r="B31">
        <v>28</v>
      </c>
      <c r="D31" s="1">
        <v>24.00158638949922</v>
      </c>
      <c r="E31" s="9">
        <f t="shared" si="3"/>
        <v>18.844444444444445</v>
      </c>
      <c r="F31">
        <v>12.500000000000002</v>
      </c>
      <c r="G31">
        <f t="shared" si="0"/>
        <v>3.0072485097537081E-3</v>
      </c>
      <c r="H31">
        <f t="shared" si="1"/>
        <v>9.4444444444445001E-4</v>
      </c>
      <c r="I31">
        <f t="shared" si="2"/>
        <v>-9.0000000000000028E-3</v>
      </c>
      <c r="L31">
        <v>6.8</v>
      </c>
      <c r="M31" s="1">
        <v>8</v>
      </c>
      <c r="S31">
        <v>20.799999999999994</v>
      </c>
    </row>
    <row r="32" spans="1:19" x14ac:dyDescent="0.3">
      <c r="A32">
        <f t="shared" si="4"/>
        <v>2900</v>
      </c>
      <c r="B32">
        <v>29</v>
      </c>
      <c r="D32" s="1">
        <v>24.302311240474591</v>
      </c>
      <c r="E32" s="9">
        <f t="shared" si="3"/>
        <v>18.93888888888889</v>
      </c>
      <c r="F32">
        <v>11.600000000000001</v>
      </c>
      <c r="G32">
        <f t="shared" si="0"/>
        <v>-3.0231124047459092E-3</v>
      </c>
      <c r="H32">
        <f t="shared" si="1"/>
        <v>9.4444444444445001E-4</v>
      </c>
      <c r="I32">
        <f t="shared" si="2"/>
        <v>3.9000000000000007E-2</v>
      </c>
      <c r="L32">
        <v>4.5999999999999996</v>
      </c>
      <c r="M32" s="1">
        <v>11.9</v>
      </c>
      <c r="S32">
        <v>17.899999999999991</v>
      </c>
    </row>
    <row r="33" spans="1:19" x14ac:dyDescent="0.3">
      <c r="A33">
        <f t="shared" si="4"/>
        <v>3000</v>
      </c>
      <c r="B33">
        <v>30</v>
      </c>
      <c r="D33" s="1">
        <v>24</v>
      </c>
      <c r="E33" s="9">
        <f t="shared" si="3"/>
        <v>19.033333333333335</v>
      </c>
      <c r="F33">
        <v>15.500000000000002</v>
      </c>
      <c r="G33">
        <f t="shared" si="0"/>
        <v>-4.5564951882793988E-3</v>
      </c>
      <c r="H33">
        <f t="shared" si="1"/>
        <v>9.4444444444445001E-4</v>
      </c>
      <c r="I33">
        <f t="shared" si="2"/>
        <v>3.9000000000000007E-2</v>
      </c>
      <c r="L33">
        <v>7.8</v>
      </c>
      <c r="M33" s="1">
        <v>14.9</v>
      </c>
      <c r="S33">
        <v>21.899999999999991</v>
      </c>
    </row>
    <row r="34" spans="1:19" x14ac:dyDescent="0.3">
      <c r="A34">
        <f t="shared" si="4"/>
        <v>3100</v>
      </c>
      <c r="B34">
        <v>31</v>
      </c>
      <c r="D34" s="1">
        <v>23.54435048117206</v>
      </c>
      <c r="E34" s="9">
        <f t="shared" si="3"/>
        <v>19.12777777777778</v>
      </c>
      <c r="F34">
        <v>19.400000000000002</v>
      </c>
      <c r="G34">
        <f t="shared" si="0"/>
        <v>-7.5262390609228905E-3</v>
      </c>
      <c r="H34">
        <f t="shared" si="1"/>
        <v>9.4444444444445001E-4</v>
      </c>
      <c r="I34">
        <f t="shared" si="2"/>
        <v>-8.0000000000000071E-3</v>
      </c>
      <c r="L34">
        <v>6.1</v>
      </c>
      <c r="M34" s="1">
        <v>11.4</v>
      </c>
      <c r="S34">
        <v>18.899999999999991</v>
      </c>
    </row>
    <row r="35" spans="1:19" x14ac:dyDescent="0.3">
      <c r="A35">
        <f t="shared" si="4"/>
        <v>3200</v>
      </c>
      <c r="B35">
        <v>32</v>
      </c>
      <c r="D35" s="1">
        <v>22.791726575079771</v>
      </c>
      <c r="E35" s="9">
        <f t="shared" si="3"/>
        <v>19.222222222222225</v>
      </c>
      <c r="F35">
        <v>18.600000000000001</v>
      </c>
      <c r="G35">
        <f t="shared" si="0"/>
        <v>-7.8469220880111115E-3</v>
      </c>
      <c r="H35">
        <f t="shared" si="1"/>
        <v>9.4444444444441444E-4</v>
      </c>
      <c r="I35">
        <f t="shared" si="2"/>
        <v>-2.8000000000000008E-2</v>
      </c>
      <c r="L35">
        <v>8.4</v>
      </c>
      <c r="M35" s="1">
        <v>7.4</v>
      </c>
      <c r="S35">
        <v>16.199999999999992</v>
      </c>
    </row>
    <row r="36" spans="1:19" x14ac:dyDescent="0.3">
      <c r="A36">
        <f t="shared" si="4"/>
        <v>3300</v>
      </c>
      <c r="B36">
        <v>33</v>
      </c>
      <c r="D36" s="1">
        <v>22.00703436627866</v>
      </c>
      <c r="E36" s="9">
        <f t="shared" si="3"/>
        <v>19.316666666666666</v>
      </c>
      <c r="F36">
        <v>15.8</v>
      </c>
      <c r="G36">
        <f t="shared" si="0"/>
        <v>-6.4297848828097056E-3</v>
      </c>
      <c r="H36">
        <f t="shared" si="1"/>
        <v>9.4444444444445001E-4</v>
      </c>
      <c r="I36">
        <f t="shared" si="2"/>
        <v>0.03</v>
      </c>
      <c r="L36">
        <v>11.1</v>
      </c>
      <c r="M36" s="1">
        <v>9.9</v>
      </c>
      <c r="R36" s="10"/>
      <c r="S36">
        <v>19.999999999999993</v>
      </c>
    </row>
    <row r="37" spans="1:19" x14ac:dyDescent="0.3">
      <c r="A37">
        <f t="shared" si="4"/>
        <v>3400</v>
      </c>
      <c r="B37">
        <v>34</v>
      </c>
      <c r="D37" s="1">
        <v>21.364055877997689</v>
      </c>
      <c r="E37" s="9">
        <f t="shared" si="3"/>
        <v>19.411111111111111</v>
      </c>
      <c r="F37">
        <v>18.8</v>
      </c>
      <c r="G37">
        <f t="shared" si="0"/>
        <v>-9.4959599102367783E-3</v>
      </c>
      <c r="H37">
        <f t="shared" si="1"/>
        <v>9.4444444444445001E-4</v>
      </c>
      <c r="I37">
        <f t="shared" si="2"/>
        <v>-3.1999999999999994E-2</v>
      </c>
      <c r="L37">
        <v>14.3</v>
      </c>
      <c r="M37" s="1">
        <v>13.9</v>
      </c>
      <c r="S37">
        <v>16.699999999999992</v>
      </c>
    </row>
    <row r="38" spans="1:19" x14ac:dyDescent="0.3">
      <c r="A38">
        <f t="shared" si="4"/>
        <v>3500</v>
      </c>
      <c r="B38">
        <v>35</v>
      </c>
      <c r="D38" s="1">
        <v>20.414459886974011</v>
      </c>
      <c r="E38" s="9">
        <f t="shared" si="3"/>
        <v>19.505555555555556</v>
      </c>
      <c r="F38">
        <v>15.600000000000001</v>
      </c>
      <c r="G38">
        <f t="shared" si="0"/>
        <v>-8.1445988697401005E-3</v>
      </c>
      <c r="H38">
        <f t="shared" si="1"/>
        <v>9.4444444444445001E-4</v>
      </c>
      <c r="I38">
        <f t="shared" si="2"/>
        <v>0.04</v>
      </c>
      <c r="L38">
        <v>16.899999999999999</v>
      </c>
      <c r="M38" s="1">
        <v>15.6</v>
      </c>
      <c r="S38">
        <v>20.699999999999992</v>
      </c>
    </row>
    <row r="39" spans="1:19" x14ac:dyDescent="0.3">
      <c r="A39">
        <f t="shared" si="4"/>
        <v>3600</v>
      </c>
      <c r="B39">
        <v>36</v>
      </c>
      <c r="D39" s="1">
        <v>19.600000000000001</v>
      </c>
      <c r="E39" s="9">
        <f t="shared" si="3"/>
        <v>19.600000000000001</v>
      </c>
      <c r="F39">
        <v>19.600000000000001</v>
      </c>
      <c r="L39">
        <v>19.600000000000001</v>
      </c>
      <c r="M39" s="1">
        <v>19.600000000000001</v>
      </c>
      <c r="S39">
        <v>19.599999999999991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603"/>
  <sheetViews>
    <sheetView topLeftCell="A28" zoomScaleNormal="100" workbookViewId="0">
      <selection activeCell="R35" sqref="R35"/>
    </sheetView>
  </sheetViews>
  <sheetFormatPr defaultRowHeight="14" x14ac:dyDescent="0.3"/>
  <sheetData>
    <row r="1" spans="1:11" x14ac:dyDescent="0.3">
      <c r="E1" t="s">
        <v>158</v>
      </c>
      <c r="F1" t="s">
        <v>159</v>
      </c>
    </row>
    <row r="2" spans="1:11" x14ac:dyDescent="0.3">
      <c r="A2">
        <v>0</v>
      </c>
      <c r="C2" t="s">
        <v>152</v>
      </c>
      <c r="D2" t="s">
        <v>153</v>
      </c>
      <c r="E2" s="1" t="s">
        <v>83</v>
      </c>
      <c r="F2" s="1" t="s">
        <v>80</v>
      </c>
      <c r="G2" s="1" t="s">
        <v>81</v>
      </c>
      <c r="H2" s="1" t="s">
        <v>84</v>
      </c>
    </row>
    <row r="3" spans="1:11" x14ac:dyDescent="0.3">
      <c r="A3">
        <v>0</v>
      </c>
      <c r="B3">
        <v>0</v>
      </c>
      <c r="C3" s="1">
        <v>16.2</v>
      </c>
      <c r="D3" s="9">
        <v>16.2</v>
      </c>
      <c r="E3" s="1">
        <v>16.2</v>
      </c>
      <c r="F3" s="1">
        <v>16.2</v>
      </c>
      <c r="G3" s="1">
        <v>16.2</v>
      </c>
      <c r="H3" s="1">
        <v>16.2</v>
      </c>
      <c r="J3">
        <v>16.2</v>
      </c>
      <c r="K3">
        <v>16.2</v>
      </c>
    </row>
    <row r="4" spans="1:11" x14ac:dyDescent="0.3">
      <c r="A4" t="e">
        <f>#REF!</f>
        <v>#REF!</v>
      </c>
      <c r="B4">
        <v>50</v>
      </c>
      <c r="C4" s="1">
        <v>16.18994431578869</v>
      </c>
      <c r="D4" s="9">
        <v>16.247222222222309</v>
      </c>
      <c r="E4" s="1">
        <v>14.351699999999999</v>
      </c>
      <c r="F4" s="1">
        <v>14.229200000000001</v>
      </c>
      <c r="G4" s="1">
        <v>15.604200000000001</v>
      </c>
      <c r="H4" s="1">
        <v>14.3339</v>
      </c>
      <c r="J4">
        <v>14.302899999999999</v>
      </c>
      <c r="K4">
        <v>14.2014</v>
      </c>
    </row>
    <row r="5" spans="1:11" x14ac:dyDescent="0.3">
      <c r="A5" t="e">
        <f>#REF!</f>
        <v>#REF!</v>
      </c>
      <c r="B5">
        <v>100</v>
      </c>
      <c r="C5" s="1">
        <v>16.23</v>
      </c>
      <c r="D5" s="9">
        <v>16.294444444444618</v>
      </c>
      <c r="E5" s="1">
        <v>12.5289</v>
      </c>
      <c r="F5" s="1">
        <v>12.291600000000001</v>
      </c>
      <c r="G5" s="1">
        <v>15.0671</v>
      </c>
      <c r="H5" s="1">
        <v>12.458399999999999</v>
      </c>
      <c r="J5">
        <v>12.444800000000001</v>
      </c>
      <c r="K5">
        <v>12.214399999999999</v>
      </c>
    </row>
    <row r="6" spans="1:11" x14ac:dyDescent="0.3">
      <c r="A6" t="e">
        <f>#REF!</f>
        <v>#REF!</v>
      </c>
      <c r="B6">
        <v>150</v>
      </c>
      <c r="C6" s="1">
        <v>16.438526330591301</v>
      </c>
      <c r="D6" s="9">
        <v>16.341666666666928</v>
      </c>
      <c r="E6" s="1">
        <v>10.742800000000001</v>
      </c>
      <c r="F6" s="1">
        <v>10.4109</v>
      </c>
      <c r="G6" s="1">
        <v>14.603300000000001</v>
      </c>
      <c r="H6" s="1">
        <v>10.572800000000001</v>
      </c>
      <c r="J6">
        <v>10.6402</v>
      </c>
      <c r="K6">
        <v>10.262700000000001</v>
      </c>
    </row>
    <row r="7" spans="1:11" x14ac:dyDescent="0.3">
      <c r="A7" t="e">
        <f>#REF!</f>
        <v>#REF!</v>
      </c>
      <c r="B7">
        <v>200</v>
      </c>
      <c r="C7" s="1">
        <v>16.77265954533005</v>
      </c>
      <c r="D7" s="9">
        <v>16.388888888889237</v>
      </c>
      <c r="E7" s="1">
        <v>9.0143199999999997</v>
      </c>
      <c r="F7" s="1">
        <v>8.6364300000000007</v>
      </c>
      <c r="G7" s="1">
        <v>14.230499999999999</v>
      </c>
      <c r="H7" s="1">
        <v>8.6780100000000004</v>
      </c>
      <c r="J7">
        <v>8.9112399999999994</v>
      </c>
      <c r="K7">
        <v>8.4004300000000001</v>
      </c>
    </row>
    <row r="8" spans="1:11" x14ac:dyDescent="0.3">
      <c r="A8" t="e">
        <f>#REF!</f>
        <v>#REF!</v>
      </c>
      <c r="B8">
        <v>250</v>
      </c>
      <c r="C8" s="1">
        <v>16.87</v>
      </c>
      <c r="D8" s="9">
        <v>16.436111111111547</v>
      </c>
      <c r="E8" s="1">
        <v>7.3833500000000001</v>
      </c>
      <c r="F8" s="1">
        <v>7.0837199999999996</v>
      </c>
      <c r="G8" s="1">
        <v>13.9549</v>
      </c>
      <c r="H8" s="1">
        <v>6.7841199999999997</v>
      </c>
      <c r="J8">
        <v>7.2862299999999998</v>
      </c>
      <c r="K8">
        <v>6.7530099999999997</v>
      </c>
    </row>
    <row r="9" spans="1:11" x14ac:dyDescent="0.3">
      <c r="A9" t="e">
        <f>#REF!</f>
        <v>#REF!</v>
      </c>
      <c r="B9">
        <v>300</v>
      </c>
      <c r="C9" s="1">
        <v>17.088302024697409</v>
      </c>
      <c r="D9" s="9">
        <v>16.483333333333857</v>
      </c>
      <c r="E9" s="1">
        <v>6.0104300000000004</v>
      </c>
      <c r="F9" s="1">
        <v>6.2052100000000001</v>
      </c>
      <c r="G9" s="1">
        <v>13.808</v>
      </c>
      <c r="H9" s="1">
        <v>5.0497899999999998</v>
      </c>
      <c r="J9">
        <v>5.8813399999999998</v>
      </c>
      <c r="K9">
        <v>5.8852000000000002</v>
      </c>
    </row>
    <row r="10" spans="1:11" x14ac:dyDescent="0.3">
      <c r="A10" t="e">
        <f>#REF!</f>
        <v>#REF!</v>
      </c>
      <c r="B10">
        <v>350</v>
      </c>
      <c r="C10" s="1">
        <v>17.3</v>
      </c>
      <c r="D10" s="9">
        <v>16.530555555556166</v>
      </c>
      <c r="E10" s="1">
        <v>5.12974</v>
      </c>
      <c r="F10" s="1">
        <v>6.3958399999999997</v>
      </c>
      <c r="G10" s="1">
        <v>13.9817</v>
      </c>
      <c r="H10" s="1">
        <v>3.8360300000000001</v>
      </c>
      <c r="J10">
        <v>4.8945400000000001</v>
      </c>
      <c r="K10">
        <v>6.3327799999999996</v>
      </c>
    </row>
    <row r="11" spans="1:11" x14ac:dyDescent="0.3">
      <c r="A11" t="e">
        <f>#REF!</f>
        <v>#REF!</v>
      </c>
      <c r="B11">
        <v>400</v>
      </c>
      <c r="C11" s="1">
        <v>17.50930536380227</v>
      </c>
      <c r="D11" s="9">
        <v>16.577777777778476</v>
      </c>
      <c r="E11" s="1">
        <v>4.5312099999999997</v>
      </c>
      <c r="F11" s="1">
        <v>6.6953699999999996</v>
      </c>
      <c r="G11" s="1">
        <v>14.0703</v>
      </c>
      <c r="H11" s="1">
        <v>2.9913799999999999</v>
      </c>
      <c r="J11">
        <v>4.3396800000000004</v>
      </c>
      <c r="K11">
        <v>6.94841</v>
      </c>
    </row>
    <row r="12" spans="1:11" x14ac:dyDescent="0.3">
      <c r="A12" t="e">
        <f>#REF!</f>
        <v>#REF!</v>
      </c>
      <c r="B12">
        <v>450</v>
      </c>
      <c r="C12" s="1">
        <v>17.81924715610285</v>
      </c>
      <c r="D12" s="9">
        <v>16.625000000000785</v>
      </c>
      <c r="E12" s="1">
        <v>4.1387900000000002</v>
      </c>
      <c r="F12" s="1">
        <v>6.69252</v>
      </c>
      <c r="G12" s="1">
        <v>13.875400000000001</v>
      </c>
      <c r="H12" s="1">
        <v>2.4762900000000001</v>
      </c>
      <c r="J12">
        <v>4.2114799999999999</v>
      </c>
      <c r="K12">
        <v>7.0601099999999999</v>
      </c>
    </row>
    <row r="13" spans="1:11" x14ac:dyDescent="0.3">
      <c r="A13" t="e">
        <f>#REF!</f>
        <v>#REF!</v>
      </c>
      <c r="B13">
        <v>500</v>
      </c>
      <c r="C13" s="1">
        <v>17.976022409316101</v>
      </c>
      <c r="D13" s="9">
        <v>16.672222222223095</v>
      </c>
      <c r="E13" s="1">
        <v>3.6769599999999998</v>
      </c>
      <c r="F13" s="1">
        <v>6.2894600000000001</v>
      </c>
      <c r="G13" s="1">
        <v>13.533300000000001</v>
      </c>
      <c r="H13" s="1">
        <v>2.0125600000000001</v>
      </c>
      <c r="J13">
        <v>3.9630800000000002</v>
      </c>
      <c r="K13">
        <v>6.6008500000000003</v>
      </c>
    </row>
    <row r="14" spans="1:11" x14ac:dyDescent="0.3">
      <c r="A14" t="e">
        <f>#REF!</f>
        <v>#REF!</v>
      </c>
      <c r="B14">
        <v>550</v>
      </c>
      <c r="C14" s="1">
        <v>18.167629384157461</v>
      </c>
      <c r="D14" s="9">
        <v>16.719444444445404</v>
      </c>
      <c r="E14" s="1">
        <v>2.90429</v>
      </c>
      <c r="F14" s="1">
        <v>5.4830800000000002</v>
      </c>
      <c r="G14" s="1">
        <v>13.2037</v>
      </c>
      <c r="H14" s="1">
        <v>1.3443799999999999</v>
      </c>
      <c r="J14">
        <v>3.0945900000000002</v>
      </c>
      <c r="K14">
        <v>5.6555200000000001</v>
      </c>
    </row>
    <row r="15" spans="1:11" x14ac:dyDescent="0.3">
      <c r="A15" t="e">
        <f>#REF!</f>
        <v>#REF!</v>
      </c>
      <c r="B15">
        <v>600</v>
      </c>
      <c r="C15" s="1">
        <v>18.381372409495501</v>
      </c>
      <c r="D15" s="9">
        <v>16.766666666667714</v>
      </c>
      <c r="E15" s="1">
        <v>1.9820500000000001</v>
      </c>
      <c r="F15" s="1">
        <v>4.46441</v>
      </c>
      <c r="G15" s="1">
        <v>12.840199999999999</v>
      </c>
      <c r="H15" s="1">
        <v>0.61383699999999997</v>
      </c>
      <c r="J15">
        <v>1.8998900000000001</v>
      </c>
      <c r="K15">
        <v>4.4386900000000002</v>
      </c>
    </row>
    <row r="16" spans="1:11" x14ac:dyDescent="0.3">
      <c r="A16" t="e">
        <f>#REF!</f>
        <v>#REF!</v>
      </c>
      <c r="B16">
        <v>650</v>
      </c>
      <c r="C16" s="1">
        <v>18.510000000000002</v>
      </c>
      <c r="D16" s="9">
        <v>16.813888888890023</v>
      </c>
      <c r="E16" s="1">
        <v>1.1716200000000001</v>
      </c>
      <c r="F16" s="1">
        <v>3.4748100000000002</v>
      </c>
      <c r="G16" s="1">
        <v>12.4092</v>
      </c>
      <c r="H16" s="1">
        <v>7.7245499999999995E-2</v>
      </c>
      <c r="J16">
        <v>0.85293300000000005</v>
      </c>
      <c r="K16">
        <v>3.2317800000000001</v>
      </c>
    </row>
    <row r="17" spans="1:11" x14ac:dyDescent="0.3">
      <c r="A17" t="e">
        <f>#REF!</f>
        <v>#REF!</v>
      </c>
      <c r="B17">
        <v>700</v>
      </c>
      <c r="C17" s="1">
        <v>18.694881042171922</v>
      </c>
      <c r="D17" s="9">
        <v>16.861111111112333</v>
      </c>
      <c r="E17" s="1">
        <v>0.69922099999999998</v>
      </c>
      <c r="F17" s="1">
        <v>2.7267199999999998</v>
      </c>
      <c r="G17" s="1">
        <v>12.1327</v>
      </c>
      <c r="H17" s="1">
        <v>2.5266799999999999E-2</v>
      </c>
      <c r="J17">
        <v>0.33293099999999998</v>
      </c>
      <c r="K17">
        <v>2.43302</v>
      </c>
    </row>
    <row r="18" spans="1:11" x14ac:dyDescent="0.3">
      <c r="A18" t="e">
        <f>#REF!</f>
        <v>#REF!</v>
      </c>
      <c r="B18">
        <v>750</v>
      </c>
      <c r="C18" s="1">
        <v>18.820132298207739</v>
      </c>
      <c r="D18" s="9">
        <v>16.908333333334642</v>
      </c>
      <c r="E18" s="1">
        <v>0.69397200000000003</v>
      </c>
      <c r="F18" s="1">
        <v>2.3372899999999999</v>
      </c>
      <c r="G18" s="1">
        <v>12.220599999999999</v>
      </c>
      <c r="H18" s="1">
        <v>0.64049900000000004</v>
      </c>
      <c r="J18">
        <v>0.52685400000000004</v>
      </c>
      <c r="K18">
        <v>2.2687200000000001</v>
      </c>
    </row>
    <row r="19" spans="1:11" x14ac:dyDescent="0.3">
      <c r="A19" t="e">
        <f>#REF!</f>
        <v>#REF!</v>
      </c>
      <c r="B19">
        <v>800</v>
      </c>
      <c r="C19" s="1">
        <v>19.182337629892189</v>
      </c>
      <c r="D19" s="9">
        <v>16.955555555556952</v>
      </c>
      <c r="E19" s="1">
        <v>0.94700200000000001</v>
      </c>
      <c r="F19" s="1">
        <v>2.0872799999999998</v>
      </c>
      <c r="G19" s="1">
        <v>12.5929</v>
      </c>
      <c r="H19" s="1">
        <v>1.65964</v>
      </c>
      <c r="J19">
        <v>0.96658500000000003</v>
      </c>
      <c r="K19">
        <v>2.1916199999999999</v>
      </c>
    </row>
    <row r="20" spans="1:11" x14ac:dyDescent="0.3">
      <c r="A20" t="e">
        <f>#REF!</f>
        <v>#REF!</v>
      </c>
      <c r="B20">
        <v>850</v>
      </c>
      <c r="C20" s="1">
        <v>19.395120829470329</v>
      </c>
      <c r="D20" s="9">
        <v>17.002777777779261</v>
      </c>
      <c r="E20" s="1">
        <v>1.23129</v>
      </c>
      <c r="F20" s="1">
        <v>1.7819700000000001</v>
      </c>
      <c r="G20" s="1">
        <v>13.0677</v>
      </c>
      <c r="H20" s="1">
        <v>2.70974</v>
      </c>
      <c r="J20">
        <v>1.2035800000000001</v>
      </c>
      <c r="K20">
        <v>1.7176400000000001</v>
      </c>
    </row>
    <row r="21" spans="1:11" x14ac:dyDescent="0.3">
      <c r="A21" t="e">
        <f>#REF!</f>
        <v>#REF!</v>
      </c>
      <c r="B21">
        <v>900</v>
      </c>
      <c r="C21" s="1">
        <v>19.709214521701849</v>
      </c>
      <c r="D21" s="9">
        <v>17.050000000001571</v>
      </c>
      <c r="E21" s="1">
        <v>1.56257</v>
      </c>
      <c r="F21" s="1">
        <v>1.6313899999999999</v>
      </c>
      <c r="G21" s="1">
        <v>13.339700000000001</v>
      </c>
      <c r="H21" s="1">
        <v>3.4076900000000001</v>
      </c>
      <c r="J21">
        <v>1.48342</v>
      </c>
      <c r="K21">
        <v>1.3245899999999999</v>
      </c>
    </row>
    <row r="22" spans="1:11" x14ac:dyDescent="0.3">
      <c r="A22" t="e">
        <f>#REF!</f>
        <v>#REF!</v>
      </c>
      <c r="B22">
        <v>950</v>
      </c>
      <c r="C22" s="1">
        <v>19.985029120342169</v>
      </c>
      <c r="D22" s="9">
        <v>17.097222222223881</v>
      </c>
      <c r="E22" s="1">
        <v>1.9646699999999999</v>
      </c>
      <c r="F22" s="1">
        <v>1.8610800000000001</v>
      </c>
      <c r="G22" s="1">
        <v>13.193</v>
      </c>
      <c r="H22" s="1">
        <v>3.4882</v>
      </c>
      <c r="J22">
        <v>2.0481199999999999</v>
      </c>
      <c r="K22">
        <v>1.5531999999999999</v>
      </c>
    </row>
    <row r="23" spans="1:11" x14ac:dyDescent="0.3">
      <c r="A23" t="e">
        <f>#REF!</f>
        <v>#REF!</v>
      </c>
      <c r="B23">
        <v>1000</v>
      </c>
      <c r="C23" s="1">
        <v>20.36939951356478</v>
      </c>
      <c r="D23" s="9">
        <v>17.14444444444619</v>
      </c>
      <c r="E23" s="1">
        <v>2.2685599999999999</v>
      </c>
      <c r="F23" s="1">
        <v>2.3835999999999999</v>
      </c>
      <c r="G23" s="1">
        <v>12.869199999999999</v>
      </c>
      <c r="H23" s="1">
        <v>3.14514</v>
      </c>
      <c r="J23">
        <v>2.47492</v>
      </c>
      <c r="K23">
        <v>2.29982</v>
      </c>
    </row>
    <row r="24" spans="1:11" x14ac:dyDescent="0.3">
      <c r="A24" t="e">
        <f>#REF!</f>
        <v>#REF!</v>
      </c>
      <c r="B24">
        <v>1050</v>
      </c>
      <c r="C24" s="1">
        <v>20.813443634166571</v>
      </c>
      <c r="D24" s="9">
        <v>17.1916666666685</v>
      </c>
      <c r="E24" s="1">
        <v>2.3338000000000001</v>
      </c>
      <c r="F24" s="1">
        <v>3.0044200000000001</v>
      </c>
      <c r="G24" s="1">
        <v>12.667999999999999</v>
      </c>
      <c r="H24" s="1">
        <v>2.7019899999999999</v>
      </c>
      <c r="J24">
        <v>2.3900999999999999</v>
      </c>
      <c r="K24">
        <v>3.23766</v>
      </c>
    </row>
    <row r="25" spans="1:11" x14ac:dyDescent="0.3">
      <c r="A25" t="e">
        <f>#REF!</f>
        <v>#REF!</v>
      </c>
      <c r="B25">
        <v>1100</v>
      </c>
      <c r="C25" s="1">
        <v>21.185240874981801</v>
      </c>
      <c r="D25" s="9">
        <v>17.238888888890809</v>
      </c>
      <c r="E25" s="1">
        <v>2.3060999999999998</v>
      </c>
      <c r="F25" s="1">
        <v>3.4064000000000001</v>
      </c>
      <c r="G25" s="1">
        <v>12.6867</v>
      </c>
      <c r="H25" s="1">
        <v>2.5583900000000002</v>
      </c>
      <c r="J25">
        <v>2.22784</v>
      </c>
      <c r="K25">
        <v>3.7779699999999998</v>
      </c>
    </row>
    <row r="26" spans="1:11" x14ac:dyDescent="0.3">
      <c r="A26" t="e">
        <f>#REF!</f>
        <v>#REF!</v>
      </c>
      <c r="B26">
        <v>1150</v>
      </c>
      <c r="C26" s="1">
        <v>21.51545779924508</v>
      </c>
      <c r="D26" s="9">
        <v>17.286111111113119</v>
      </c>
      <c r="E26" s="1">
        <v>2.3253599999999999</v>
      </c>
      <c r="F26" s="1">
        <v>3.3719600000000001</v>
      </c>
      <c r="G26" s="1">
        <v>12.9154</v>
      </c>
      <c r="H26" s="1">
        <v>2.9996299999999998</v>
      </c>
      <c r="J26">
        <v>2.3952599999999999</v>
      </c>
      <c r="K26">
        <v>3.52155</v>
      </c>
    </row>
    <row r="27" spans="1:11" x14ac:dyDescent="0.3">
      <c r="A27" t="e">
        <f>#REF!</f>
        <v>#REF!</v>
      </c>
      <c r="B27">
        <v>1200</v>
      </c>
      <c r="C27" s="1">
        <v>21.9382837573126</v>
      </c>
      <c r="D27" s="9">
        <v>17.333333333335428</v>
      </c>
      <c r="E27" s="1">
        <v>2.2485499999999998</v>
      </c>
      <c r="F27" s="1">
        <v>3.1730900000000002</v>
      </c>
      <c r="G27" s="1">
        <v>13.1167</v>
      </c>
      <c r="H27" s="1">
        <v>3.8090700000000002</v>
      </c>
      <c r="J27">
        <v>2.4498899999999999</v>
      </c>
      <c r="K27">
        <v>3.0249899999999998</v>
      </c>
    </row>
    <row r="28" spans="1:11" x14ac:dyDescent="0.3">
      <c r="A28" t="e">
        <f>#REF!</f>
        <v>#REF!</v>
      </c>
      <c r="B28">
        <v>1250</v>
      </c>
      <c r="C28" s="1">
        <v>22.35399581240268</v>
      </c>
      <c r="D28" s="9">
        <v>17.380555555557738</v>
      </c>
      <c r="E28" s="1">
        <v>1.96065</v>
      </c>
      <c r="F28" s="1">
        <v>3.129</v>
      </c>
      <c r="G28" s="1">
        <v>13.097</v>
      </c>
      <c r="H28" s="1">
        <v>4.6716899999999999</v>
      </c>
      <c r="J28">
        <v>1.97949</v>
      </c>
      <c r="K28">
        <v>2.9064899999999998</v>
      </c>
    </row>
    <row r="29" spans="1:11" x14ac:dyDescent="0.3">
      <c r="A29" t="e">
        <f>#REF!</f>
        <v>#REF!</v>
      </c>
      <c r="B29">
        <v>1300</v>
      </c>
      <c r="C29" s="1">
        <v>22.800055267935761</v>
      </c>
      <c r="D29" s="9">
        <v>17.427777777780047</v>
      </c>
      <c r="E29" s="1">
        <v>1.7088399999999999</v>
      </c>
      <c r="F29" s="1">
        <v>3.2974100000000002</v>
      </c>
      <c r="G29" s="1">
        <v>13.033899999999999</v>
      </c>
      <c r="H29" s="1">
        <v>5.3495100000000004</v>
      </c>
      <c r="J29">
        <v>1.4636</v>
      </c>
      <c r="K29">
        <v>3.1608700000000001</v>
      </c>
    </row>
    <row r="30" spans="1:11" x14ac:dyDescent="0.3">
      <c r="A30" t="e">
        <f>#REF!</f>
        <v>#REF!</v>
      </c>
      <c r="B30">
        <v>1350</v>
      </c>
      <c r="C30" s="1">
        <v>23.07861966713304</v>
      </c>
      <c r="D30" s="9">
        <v>17.475000000002357</v>
      </c>
      <c r="E30" s="1">
        <v>1.75465</v>
      </c>
      <c r="F30" s="1">
        <v>3.64615</v>
      </c>
      <c r="G30" s="1">
        <v>13.107799999999999</v>
      </c>
      <c r="H30" s="1">
        <v>5.7030799999999999</v>
      </c>
      <c r="J30">
        <v>1.4515499999999999</v>
      </c>
      <c r="K30">
        <v>3.62778</v>
      </c>
    </row>
    <row r="31" spans="1:11" x14ac:dyDescent="0.3">
      <c r="A31" t="e">
        <f>#REF!</f>
        <v>#REF!</v>
      </c>
      <c r="B31">
        <v>1400</v>
      </c>
      <c r="C31" s="1">
        <v>23.222124073160721</v>
      </c>
      <c r="D31" s="9">
        <v>17.522222222224666</v>
      </c>
      <c r="E31" s="1">
        <v>2.0886300000000002</v>
      </c>
      <c r="F31" s="1">
        <v>4.0375699999999997</v>
      </c>
      <c r="G31" s="1">
        <v>13.178100000000001</v>
      </c>
      <c r="H31" s="1">
        <v>5.8947000000000003</v>
      </c>
      <c r="J31">
        <v>1.9498200000000001</v>
      </c>
      <c r="K31">
        <v>4.1167699999999998</v>
      </c>
    </row>
    <row r="32" spans="1:11" x14ac:dyDescent="0.3">
      <c r="A32" t="e">
        <f>#REF!</f>
        <v>#REF!</v>
      </c>
      <c r="B32">
        <v>1450</v>
      </c>
      <c r="C32" s="1">
        <v>23.26</v>
      </c>
      <c r="D32" s="9">
        <v>17.569444444446976</v>
      </c>
      <c r="E32" s="1">
        <v>2.5973299999999999</v>
      </c>
      <c r="F32" s="1">
        <v>4.34396</v>
      </c>
      <c r="G32" s="1">
        <v>13.107200000000001</v>
      </c>
      <c r="H32" s="1">
        <v>6.0814599999999999</v>
      </c>
      <c r="J32">
        <v>2.7436500000000001</v>
      </c>
      <c r="K32">
        <v>4.4594899999999997</v>
      </c>
    </row>
    <row r="33" spans="1:11" x14ac:dyDescent="0.3">
      <c r="A33" t="e">
        <f>#REF!</f>
        <v>#REF!</v>
      </c>
      <c r="B33">
        <v>1500</v>
      </c>
      <c r="C33" s="1">
        <v>23.118694100136729</v>
      </c>
      <c r="D33" s="9">
        <v>17.616666666669285</v>
      </c>
      <c r="E33" s="1">
        <v>3.01709</v>
      </c>
      <c r="F33" s="1">
        <v>4.5688399999999998</v>
      </c>
      <c r="G33" s="1">
        <v>13.056100000000001</v>
      </c>
      <c r="H33" s="1">
        <v>6.13591</v>
      </c>
      <c r="J33">
        <v>3.2694000000000001</v>
      </c>
      <c r="K33">
        <v>4.5971299999999999</v>
      </c>
    </row>
    <row r="34" spans="1:11" x14ac:dyDescent="0.3">
      <c r="A34" t="e">
        <f>#REF!</f>
        <v>#REF!</v>
      </c>
      <c r="B34">
        <v>1550</v>
      </c>
      <c r="C34" s="1">
        <v>22.865061108829561</v>
      </c>
      <c r="D34" s="9">
        <v>17.663888888891595</v>
      </c>
      <c r="E34" s="1">
        <v>3.1783399999999999</v>
      </c>
      <c r="F34" s="1">
        <v>4.7894899999999998</v>
      </c>
      <c r="G34" s="1">
        <v>13.1767</v>
      </c>
      <c r="H34" s="1">
        <v>5.9021100000000004</v>
      </c>
      <c r="J34">
        <v>3.1564800000000002</v>
      </c>
      <c r="K34">
        <v>4.5976499999999998</v>
      </c>
    </row>
    <row r="35" spans="1:11" x14ac:dyDescent="0.3">
      <c r="A35" t="e">
        <f>#REF!</f>
        <v>#REF!</v>
      </c>
      <c r="B35">
        <v>1600</v>
      </c>
      <c r="C35" s="1">
        <v>22.50125603280393</v>
      </c>
      <c r="D35" s="9">
        <v>17.711111111113905</v>
      </c>
      <c r="E35" s="1">
        <v>3.3985400000000001</v>
      </c>
      <c r="F35" s="1">
        <v>5.2444199999999999</v>
      </c>
      <c r="G35" s="1">
        <v>13.322100000000001</v>
      </c>
      <c r="H35" s="1">
        <v>5.3661700000000003</v>
      </c>
      <c r="J35">
        <v>3.0745900000000002</v>
      </c>
      <c r="K35">
        <v>4.9080199999999996</v>
      </c>
    </row>
    <row r="36" spans="1:11" x14ac:dyDescent="0.3">
      <c r="A36" t="e">
        <f>#REF!</f>
        <v>#REF!</v>
      </c>
      <c r="B36">
        <v>1650</v>
      </c>
      <c r="C36" s="1">
        <v>22.081010880983051</v>
      </c>
      <c r="D36" s="9">
        <v>17.758333333336214</v>
      </c>
      <c r="E36" s="1">
        <v>3.9892099999999999</v>
      </c>
      <c r="F36" s="1">
        <v>6.1088199999999997</v>
      </c>
      <c r="G36" s="1">
        <v>13.347300000000001</v>
      </c>
      <c r="H36" s="1">
        <v>4.5615199999999998</v>
      </c>
      <c r="J36">
        <v>3.7015899999999999</v>
      </c>
      <c r="K36">
        <v>5.8881300000000003</v>
      </c>
    </row>
    <row r="37" spans="1:11" x14ac:dyDescent="0.3">
      <c r="A37" t="e">
        <f>#REF!</f>
        <v>#REF!</v>
      </c>
      <c r="B37">
        <v>1700</v>
      </c>
      <c r="C37" s="1">
        <v>21.685041237236799</v>
      </c>
      <c r="D37" s="9">
        <v>17.805555555558524</v>
      </c>
      <c r="E37" s="1">
        <v>4.8112500000000002</v>
      </c>
      <c r="F37" s="1">
        <v>7.17943</v>
      </c>
      <c r="G37" s="1">
        <v>13.3756</v>
      </c>
      <c r="H37" s="1">
        <v>3.5741999999999998</v>
      </c>
      <c r="J37">
        <v>4.8249700000000004</v>
      </c>
      <c r="K37">
        <v>7.2391300000000003</v>
      </c>
    </row>
    <row r="38" spans="1:11" x14ac:dyDescent="0.3">
      <c r="A38" t="e">
        <f>#REF!</f>
        <v>#REF!</v>
      </c>
      <c r="B38">
        <v>1750</v>
      </c>
      <c r="C38" s="1">
        <v>21.264957590363331</v>
      </c>
      <c r="D38" s="9">
        <v>17.852777777780833</v>
      </c>
      <c r="E38" s="1">
        <v>5.58718</v>
      </c>
      <c r="F38" s="1">
        <v>8.1716700000000007</v>
      </c>
      <c r="G38" s="1">
        <v>13.5197</v>
      </c>
      <c r="H38" s="1">
        <v>2.49227</v>
      </c>
      <c r="J38">
        <v>5.9738699999999998</v>
      </c>
      <c r="K38">
        <v>8.5041499999999992</v>
      </c>
    </row>
    <row r="39" spans="1:11" x14ac:dyDescent="0.3">
      <c r="A39" t="e">
        <f>#REF!</f>
        <v>#REF!</v>
      </c>
      <c r="B39">
        <v>1800</v>
      </c>
      <c r="C39" s="1">
        <v>20.913911979364531</v>
      </c>
      <c r="D39" s="9">
        <v>17.900000000003143</v>
      </c>
      <c r="E39" s="1">
        <v>5.91655</v>
      </c>
      <c r="F39" s="1">
        <v>8.8275600000000001</v>
      </c>
      <c r="G39" s="1">
        <v>13.618399999999999</v>
      </c>
      <c r="H39" s="1">
        <v>1.36585</v>
      </c>
      <c r="J39">
        <v>6.4925600000000001</v>
      </c>
      <c r="K39">
        <v>9.2114600000000006</v>
      </c>
    </row>
    <row r="40" spans="1:11" x14ac:dyDescent="0.3">
      <c r="A40" t="e">
        <f>#REF!</f>
        <v>#REF!</v>
      </c>
      <c r="B40">
        <v>1850</v>
      </c>
      <c r="C40" s="1">
        <v>20.546891729057549</v>
      </c>
      <c r="D40" s="9">
        <v>17.947222222225452</v>
      </c>
      <c r="E40" s="1">
        <v>5.5189199999999996</v>
      </c>
      <c r="F40" s="1">
        <v>9.0088399999999993</v>
      </c>
      <c r="G40" s="1">
        <v>13.5321</v>
      </c>
      <c r="H40" s="1">
        <v>0.217921</v>
      </c>
      <c r="J40">
        <v>5.9226900000000002</v>
      </c>
      <c r="K40">
        <v>9.1229099999999992</v>
      </c>
    </row>
    <row r="41" spans="1:11" x14ac:dyDescent="0.3">
      <c r="A41" t="e">
        <f>#REF!</f>
        <v>#REF!</v>
      </c>
      <c r="B41">
        <v>1900</v>
      </c>
      <c r="C41" s="1">
        <v>20.15231743913272</v>
      </c>
      <c r="D41" s="9">
        <v>17.994444444447762</v>
      </c>
      <c r="E41" s="1">
        <v>4.66547</v>
      </c>
      <c r="F41" s="1">
        <v>8.9975400000000008</v>
      </c>
      <c r="G41" s="1">
        <v>13.4358</v>
      </c>
      <c r="H41" s="1">
        <v>-0.99627299999999996</v>
      </c>
      <c r="J41">
        <v>4.6999899999999997</v>
      </c>
      <c r="K41">
        <v>8.8781599999999994</v>
      </c>
    </row>
    <row r="42" spans="1:11" x14ac:dyDescent="0.3">
      <c r="A42" t="e">
        <f>#REF!</f>
        <v>#REF!</v>
      </c>
      <c r="B42">
        <v>1950</v>
      </c>
      <c r="C42" s="1">
        <v>19.799122285242859</v>
      </c>
      <c r="D42" s="9">
        <v>18.041666666670071</v>
      </c>
      <c r="E42" s="1">
        <v>3.7400199999999999</v>
      </c>
      <c r="F42" s="1">
        <v>9.0660699999999999</v>
      </c>
      <c r="G42" s="1">
        <v>13.500999999999999</v>
      </c>
      <c r="H42" s="1">
        <v>-2.3011599999999999</v>
      </c>
      <c r="J42">
        <v>3.4457800000000001</v>
      </c>
      <c r="K42">
        <v>9.0556400000000004</v>
      </c>
    </row>
    <row r="43" spans="1:11" x14ac:dyDescent="0.3">
      <c r="A43" t="e">
        <f>#REF!</f>
        <v>#REF!</v>
      </c>
      <c r="B43">
        <v>2000</v>
      </c>
      <c r="C43" s="1">
        <v>19.514445110632909</v>
      </c>
      <c r="D43" s="9">
        <v>18.088888888892381</v>
      </c>
      <c r="E43" s="1">
        <v>3.06982</v>
      </c>
      <c r="F43" s="1">
        <v>9.0921000000000003</v>
      </c>
      <c r="G43" s="1">
        <v>13.6183</v>
      </c>
      <c r="H43" s="1">
        <v>-3.589</v>
      </c>
      <c r="J43">
        <v>2.6997900000000001</v>
      </c>
      <c r="K43">
        <v>9.2608599999999992</v>
      </c>
    </row>
    <row r="44" spans="1:11" x14ac:dyDescent="0.3">
      <c r="A44" t="e">
        <f>#REF!</f>
        <v>#REF!</v>
      </c>
      <c r="B44">
        <v>2050</v>
      </c>
      <c r="C44" s="1">
        <v>19.327604185096419</v>
      </c>
      <c r="D44" s="9">
        <v>18.13611111111469</v>
      </c>
      <c r="E44" s="1">
        <v>2.8467699999999998</v>
      </c>
      <c r="F44" s="1">
        <v>8.9299599999999995</v>
      </c>
      <c r="G44" s="1">
        <v>13.6713</v>
      </c>
      <c r="H44" s="1">
        <v>-4.7334100000000001</v>
      </c>
      <c r="J44">
        <v>2.7361200000000001</v>
      </c>
      <c r="K44">
        <v>9.0515799999999995</v>
      </c>
    </row>
    <row r="45" spans="1:11" x14ac:dyDescent="0.3">
      <c r="A45" t="e">
        <f>#REF!</f>
        <v>#REF!</v>
      </c>
      <c r="B45">
        <v>2100</v>
      </c>
      <c r="C45" s="1">
        <v>19.208045162869649</v>
      </c>
      <c r="D45" s="9">
        <v>18.183333333337</v>
      </c>
      <c r="E45" s="1">
        <v>2.8130600000000001</v>
      </c>
      <c r="F45" s="1">
        <v>8.6828500000000002</v>
      </c>
      <c r="G45" s="1">
        <v>13.7576</v>
      </c>
      <c r="H45" s="1">
        <v>-5.6507500000000004</v>
      </c>
      <c r="J45">
        <v>2.9216600000000001</v>
      </c>
      <c r="K45">
        <v>8.63063</v>
      </c>
    </row>
    <row r="46" spans="1:11" x14ac:dyDescent="0.3">
      <c r="A46" t="e">
        <f>#REF!</f>
        <v>#REF!</v>
      </c>
      <c r="B46">
        <v>2150</v>
      </c>
      <c r="C46" s="1">
        <v>19.2</v>
      </c>
      <c r="D46" s="9">
        <v>18.23055555555931</v>
      </c>
      <c r="E46" s="1">
        <v>2.7100300000000002</v>
      </c>
      <c r="F46" s="1">
        <v>8.4975000000000005</v>
      </c>
      <c r="G46" s="1">
        <v>13.9544</v>
      </c>
      <c r="H46" s="1">
        <v>-6.2474999999999996</v>
      </c>
      <c r="J46">
        <v>2.69157</v>
      </c>
      <c r="K46">
        <v>8.3169699999999995</v>
      </c>
    </row>
    <row r="47" spans="1:11" x14ac:dyDescent="0.3">
      <c r="A47" t="e">
        <f>#REF!</f>
        <v>#REF!</v>
      </c>
      <c r="B47">
        <v>2200</v>
      </c>
      <c r="C47" s="1">
        <v>19.163088389471781</v>
      </c>
      <c r="D47" s="9">
        <v>18.277777777781619</v>
      </c>
      <c r="E47" s="1">
        <v>2.6539000000000001</v>
      </c>
      <c r="F47" s="1">
        <v>8.4703300000000006</v>
      </c>
      <c r="G47" s="1">
        <v>14.086</v>
      </c>
      <c r="H47" s="1">
        <v>-6.3585599999999998</v>
      </c>
      <c r="J47">
        <v>2.4923099999999998</v>
      </c>
      <c r="K47">
        <v>8.3139400000000006</v>
      </c>
    </row>
    <row r="48" spans="1:11" x14ac:dyDescent="0.3">
      <c r="A48" t="e">
        <f>#REF!</f>
        <v>#REF!</v>
      </c>
      <c r="B48">
        <v>2250</v>
      </c>
      <c r="C48" s="1">
        <v>19.327891389974219</v>
      </c>
      <c r="D48" s="9">
        <v>18.325000000003929</v>
      </c>
      <c r="E48" s="1">
        <v>2.7687200000000001</v>
      </c>
      <c r="F48" s="1">
        <v>8.6184600000000007</v>
      </c>
      <c r="G48" s="1">
        <v>14.0038</v>
      </c>
      <c r="H48" s="1">
        <v>-5.8864299999999998</v>
      </c>
      <c r="J48">
        <v>2.75726</v>
      </c>
      <c r="K48">
        <v>8.6661699999999993</v>
      </c>
    </row>
    <row r="49" spans="1:11" x14ac:dyDescent="0.3">
      <c r="A49" t="e">
        <f>#REF!</f>
        <v>#REF!</v>
      </c>
      <c r="B49">
        <v>2300</v>
      </c>
      <c r="C49" s="1">
        <v>19.56886483268708</v>
      </c>
      <c r="D49" s="9">
        <v>18.372222222226238</v>
      </c>
      <c r="E49" s="1">
        <v>2.8942199999999998</v>
      </c>
      <c r="F49" s="1">
        <v>8.7112099999999995</v>
      </c>
      <c r="G49" s="1">
        <v>13.8711</v>
      </c>
      <c r="H49" s="1">
        <v>-5.0379899999999997</v>
      </c>
      <c r="J49">
        <v>3.0326399999999998</v>
      </c>
      <c r="K49">
        <v>8.9360599999999994</v>
      </c>
    </row>
    <row r="50" spans="1:11" x14ac:dyDescent="0.3">
      <c r="A50" t="e">
        <f>#REF!</f>
        <v>#REF!</v>
      </c>
      <c r="B50">
        <v>2350</v>
      </c>
      <c r="C50" s="1">
        <v>19.96802621912861</v>
      </c>
      <c r="D50" s="9">
        <v>18.419444444448548</v>
      </c>
      <c r="E50" s="1">
        <v>2.8776299999999999</v>
      </c>
      <c r="F50" s="1">
        <v>8.5450599999999994</v>
      </c>
      <c r="G50" s="1">
        <v>13.8462</v>
      </c>
      <c r="H50" s="1">
        <v>-4.0443600000000002</v>
      </c>
      <c r="J50">
        <v>2.8927499999999999</v>
      </c>
      <c r="K50">
        <v>8.7292100000000001</v>
      </c>
    </row>
    <row r="51" spans="1:11" x14ac:dyDescent="0.3">
      <c r="A51" t="e">
        <f>#REF!</f>
        <v>#REF!</v>
      </c>
      <c r="B51">
        <v>2400</v>
      </c>
      <c r="C51" s="1">
        <v>20.41691357784077</v>
      </c>
      <c r="D51" s="9">
        <v>18.466666666670857</v>
      </c>
      <c r="E51" s="1">
        <v>2.8290600000000001</v>
      </c>
      <c r="F51" s="1">
        <v>8.2221499999999992</v>
      </c>
      <c r="G51" s="1">
        <v>13.8117</v>
      </c>
      <c r="H51" s="1">
        <v>-2.97505</v>
      </c>
      <c r="J51">
        <v>2.7423700000000002</v>
      </c>
      <c r="K51">
        <v>8.20824</v>
      </c>
    </row>
    <row r="52" spans="1:11" x14ac:dyDescent="0.3">
      <c r="A52">
        <f t="shared" ref="A52:A75" si="0">A2</f>
        <v>0</v>
      </c>
      <c r="B52">
        <v>2450</v>
      </c>
      <c r="C52" s="1">
        <v>21.054406819932488</v>
      </c>
      <c r="D52" s="9">
        <v>18.513888888893167</v>
      </c>
      <c r="E52" s="1">
        <v>2.83365</v>
      </c>
      <c r="F52" s="1">
        <v>7.9203999999999999</v>
      </c>
      <c r="G52" s="1">
        <v>13.671799999999999</v>
      </c>
      <c r="H52" s="1">
        <v>-1.85365</v>
      </c>
      <c r="J52">
        <v>2.9361100000000002</v>
      </c>
      <c r="K52">
        <v>7.6863999999999999</v>
      </c>
    </row>
    <row r="53" spans="1:11" x14ac:dyDescent="0.3">
      <c r="A53">
        <f t="shared" si="0"/>
        <v>0</v>
      </c>
      <c r="B53">
        <v>2500</v>
      </c>
      <c r="C53" s="1">
        <v>21.56018265494739</v>
      </c>
      <c r="D53" s="9">
        <v>18.561111111115476</v>
      </c>
      <c r="E53" s="1">
        <v>2.6696</v>
      </c>
      <c r="F53" s="1">
        <v>7.8402099999999999</v>
      </c>
      <c r="G53" s="1">
        <v>13.6348</v>
      </c>
      <c r="H53" s="1">
        <v>-0.66952599999999995</v>
      </c>
      <c r="J53">
        <v>2.9719199999999999</v>
      </c>
      <c r="K53">
        <v>7.5640900000000002</v>
      </c>
    </row>
    <row r="54" spans="1:11" x14ac:dyDescent="0.3">
      <c r="A54" t="e">
        <f t="shared" si="0"/>
        <v>#REF!</v>
      </c>
      <c r="B54">
        <v>2550</v>
      </c>
      <c r="C54" s="1">
        <v>22.046770650926891</v>
      </c>
      <c r="D54" s="9">
        <v>18.608333333337786</v>
      </c>
      <c r="E54" s="1">
        <v>2.1469</v>
      </c>
      <c r="F54" s="1">
        <v>8.0783199999999997</v>
      </c>
      <c r="G54" s="1">
        <v>13.875299999999999</v>
      </c>
      <c r="H54" s="1">
        <v>0.579955</v>
      </c>
      <c r="J54">
        <v>2.3654199999999999</v>
      </c>
      <c r="K54">
        <v>8.0485799999999994</v>
      </c>
    </row>
    <row r="55" spans="1:11" x14ac:dyDescent="0.3">
      <c r="A55" t="e">
        <f t="shared" si="0"/>
        <v>#REF!</v>
      </c>
      <c r="B55">
        <v>2600</v>
      </c>
      <c r="C55" s="1">
        <v>22.412964446331369</v>
      </c>
      <c r="D55" s="9">
        <v>18.655555555560095</v>
      </c>
      <c r="E55" s="1">
        <v>1.4415</v>
      </c>
      <c r="F55" s="1">
        <v>8.3376599999999996</v>
      </c>
      <c r="G55" s="1">
        <v>14.197800000000001</v>
      </c>
      <c r="H55" s="1">
        <v>1.8412900000000001</v>
      </c>
      <c r="J55">
        <v>1.3861699999999999</v>
      </c>
      <c r="K55">
        <v>8.5777400000000004</v>
      </c>
    </row>
    <row r="56" spans="1:11" x14ac:dyDescent="0.3">
      <c r="A56" t="e">
        <f t="shared" si="0"/>
        <v>#REF!</v>
      </c>
      <c r="B56">
        <v>2650</v>
      </c>
      <c r="C56" s="1">
        <v>22.760791875890021</v>
      </c>
      <c r="D56" s="9">
        <v>18.702777777782405</v>
      </c>
      <c r="E56" s="1">
        <v>0.82351300000000005</v>
      </c>
      <c r="F56" s="1">
        <v>8.3266600000000004</v>
      </c>
      <c r="G56" s="1">
        <v>14.3565</v>
      </c>
      <c r="H56" s="1">
        <v>3.0434600000000001</v>
      </c>
      <c r="J56">
        <v>0.48180499999999998</v>
      </c>
      <c r="K56">
        <v>8.5897400000000008</v>
      </c>
    </row>
    <row r="57" spans="1:11" x14ac:dyDescent="0.3">
      <c r="A57" t="e">
        <f t="shared" si="0"/>
        <v>#REF!</v>
      </c>
      <c r="B57">
        <v>2700</v>
      </c>
      <c r="C57" s="1">
        <v>23.213427008272301</v>
      </c>
      <c r="D57" s="9">
        <v>18.750000000004714</v>
      </c>
      <c r="E57" s="1">
        <v>0.60476399999999997</v>
      </c>
      <c r="F57" s="1">
        <v>8.0952999999999999</v>
      </c>
      <c r="G57" s="1">
        <v>14.2239</v>
      </c>
      <c r="H57" s="1">
        <v>4.0976800000000004</v>
      </c>
      <c r="J57">
        <v>0.13287099999999999</v>
      </c>
      <c r="K57">
        <v>8.1499900000000007</v>
      </c>
    </row>
    <row r="58" spans="1:11" x14ac:dyDescent="0.3">
      <c r="A58" t="e">
        <f t="shared" si="0"/>
        <v>#REF!</v>
      </c>
      <c r="B58">
        <v>2750</v>
      </c>
      <c r="C58" s="1">
        <v>23.673198019802019</v>
      </c>
      <c r="D58" s="9">
        <v>18.797222222227024</v>
      </c>
      <c r="E58" s="1">
        <v>0.98726000000000003</v>
      </c>
      <c r="F58" s="1">
        <v>7.82315</v>
      </c>
      <c r="G58" s="1">
        <v>13.7822</v>
      </c>
      <c r="H58" s="1">
        <v>4.9208699999999999</v>
      </c>
      <c r="J58">
        <v>0.65016600000000002</v>
      </c>
      <c r="K58">
        <v>7.5511100000000004</v>
      </c>
    </row>
    <row r="59" spans="1:11" x14ac:dyDescent="0.3">
      <c r="A59" t="e">
        <f t="shared" si="0"/>
        <v>#REF!</v>
      </c>
      <c r="B59">
        <v>2800</v>
      </c>
      <c r="C59" s="1">
        <v>24.00158638949922</v>
      </c>
      <c r="D59" s="9">
        <v>18.844444444449334</v>
      </c>
      <c r="E59" s="1">
        <v>1.74576</v>
      </c>
      <c r="F59" s="1">
        <v>7.8787700000000003</v>
      </c>
      <c r="G59" s="1">
        <v>13.310600000000001</v>
      </c>
      <c r="H59" s="1">
        <v>5.4640599999999999</v>
      </c>
      <c r="J59">
        <v>1.7140500000000001</v>
      </c>
      <c r="K59">
        <v>7.3941600000000003</v>
      </c>
    </row>
    <row r="60" spans="1:11" x14ac:dyDescent="0.3">
      <c r="A60" t="e">
        <f t="shared" si="0"/>
        <v>#REF!</v>
      </c>
      <c r="B60">
        <v>2850</v>
      </c>
      <c r="C60" s="1">
        <v>24.216525702151539</v>
      </c>
      <c r="D60" s="9">
        <v>18.891666666671643</v>
      </c>
      <c r="E60" s="1">
        <v>2.5624799999999999</v>
      </c>
      <c r="F60" s="1">
        <v>8.5538500000000006</v>
      </c>
      <c r="G60" s="1">
        <v>13.123699999999999</v>
      </c>
      <c r="H60" s="1">
        <v>5.7399699999999996</v>
      </c>
      <c r="J60">
        <v>2.8439000000000001</v>
      </c>
      <c r="K60">
        <v>8.1465200000000006</v>
      </c>
    </row>
    <row r="61" spans="1:11" x14ac:dyDescent="0.3">
      <c r="A61" t="e">
        <f t="shared" si="0"/>
        <v>#REF!</v>
      </c>
      <c r="B61">
        <v>2900</v>
      </c>
      <c r="C61" s="1">
        <v>24.302311240474591</v>
      </c>
      <c r="D61" s="9">
        <v>18.938888888893953</v>
      </c>
      <c r="E61" s="1">
        <v>3.13076</v>
      </c>
      <c r="F61" s="1">
        <v>9.7119099999999996</v>
      </c>
      <c r="G61" s="1">
        <v>13.4253</v>
      </c>
      <c r="H61" s="1">
        <v>5.95303</v>
      </c>
      <c r="J61">
        <v>3.4856799999999999</v>
      </c>
      <c r="K61">
        <v>9.5495000000000001</v>
      </c>
    </row>
    <row r="62" spans="1:11" x14ac:dyDescent="0.3">
      <c r="A62" t="e">
        <f t="shared" si="0"/>
        <v>#REF!</v>
      </c>
      <c r="B62">
        <v>2950</v>
      </c>
      <c r="C62" s="1">
        <v>24.151286518413581</v>
      </c>
      <c r="D62" s="9">
        <v>18.986111111116262</v>
      </c>
      <c r="E62" s="1">
        <v>3.2925300000000002</v>
      </c>
      <c r="F62" s="1">
        <v>11.093999999999999</v>
      </c>
      <c r="G62" s="1">
        <v>14.3011</v>
      </c>
      <c r="H62" s="1">
        <v>6.2760600000000002</v>
      </c>
      <c r="J62">
        <v>3.3481399999999999</v>
      </c>
      <c r="K62">
        <v>11.1897</v>
      </c>
    </row>
    <row r="63" spans="1:11" x14ac:dyDescent="0.3">
      <c r="A63" t="e">
        <f t="shared" si="0"/>
        <v>#REF!</v>
      </c>
      <c r="B63">
        <v>3000</v>
      </c>
      <c r="C63" s="1">
        <v>24</v>
      </c>
      <c r="D63" s="9">
        <v>19.033333333338572</v>
      </c>
      <c r="E63" s="1">
        <v>3.4103500000000002</v>
      </c>
      <c r="F63" s="1">
        <v>12.3462</v>
      </c>
      <c r="G63" s="1">
        <v>15.5053</v>
      </c>
      <c r="H63" s="1">
        <v>6.62059</v>
      </c>
      <c r="J63">
        <v>3.1252200000000001</v>
      </c>
      <c r="K63">
        <v>12.6813</v>
      </c>
    </row>
    <row r="64" spans="1:11" x14ac:dyDescent="0.3">
      <c r="A64" t="e">
        <f t="shared" si="0"/>
        <v>#REF!</v>
      </c>
      <c r="B64">
        <v>3050</v>
      </c>
      <c r="C64" s="1">
        <v>23.85</v>
      </c>
      <c r="D64" s="9">
        <v>19.080555555560881</v>
      </c>
      <c r="E64" s="1">
        <v>3.8617400000000002</v>
      </c>
      <c r="F64" s="1">
        <v>13.1279</v>
      </c>
      <c r="G64" s="1">
        <v>16.715299999999999</v>
      </c>
      <c r="H64" s="1">
        <v>6.9068500000000004</v>
      </c>
      <c r="J64">
        <v>3.5165600000000001</v>
      </c>
      <c r="K64">
        <v>13.657299999999999</v>
      </c>
    </row>
    <row r="65" spans="1:11" x14ac:dyDescent="0.3">
      <c r="A65" t="e">
        <f t="shared" si="0"/>
        <v>#REF!</v>
      </c>
      <c r="B65">
        <v>3100</v>
      </c>
      <c r="C65" s="1">
        <v>23.54435048117206</v>
      </c>
      <c r="D65" s="9">
        <v>19.127777777783191</v>
      </c>
      <c r="E65" s="1">
        <v>4.6609699999999998</v>
      </c>
      <c r="F65" s="1">
        <v>13.234500000000001</v>
      </c>
      <c r="G65" s="1">
        <v>17.603400000000001</v>
      </c>
      <c r="H65" s="1">
        <v>7.2862900000000002</v>
      </c>
      <c r="J65">
        <v>4.4763799999999998</v>
      </c>
      <c r="K65">
        <v>13.801299999999999</v>
      </c>
    </row>
    <row r="66" spans="1:11" x14ac:dyDescent="0.3">
      <c r="A66" t="e">
        <f t="shared" si="0"/>
        <v>#REF!</v>
      </c>
      <c r="B66">
        <v>3150</v>
      </c>
      <c r="C66" s="1">
        <v>23.144007055849851</v>
      </c>
      <c r="D66" s="9">
        <v>19.1750000000055</v>
      </c>
      <c r="E66" s="1">
        <v>5.7027599999999996</v>
      </c>
      <c r="F66" s="1">
        <v>12.613200000000001</v>
      </c>
      <c r="G66" s="1">
        <v>17.946899999999999</v>
      </c>
      <c r="H66" s="1">
        <v>7.9147100000000004</v>
      </c>
      <c r="J66">
        <v>5.7474400000000001</v>
      </c>
      <c r="K66">
        <v>12.976000000000001</v>
      </c>
    </row>
    <row r="67" spans="1:11" x14ac:dyDescent="0.3">
      <c r="A67" t="e">
        <f t="shared" si="0"/>
        <v>#REF!</v>
      </c>
      <c r="B67">
        <v>3200</v>
      </c>
      <c r="C67" s="1">
        <v>22.791726575079771</v>
      </c>
      <c r="D67" s="9">
        <v>19.22222222222781</v>
      </c>
      <c r="E67" s="1">
        <v>6.7678599999999998</v>
      </c>
      <c r="F67" s="1">
        <v>11.5725</v>
      </c>
      <c r="G67" s="1">
        <v>17.840499999999999</v>
      </c>
      <c r="H67" s="1">
        <v>8.8084699999999998</v>
      </c>
      <c r="J67">
        <v>6.9183399999999997</v>
      </c>
      <c r="K67">
        <v>11.5983</v>
      </c>
    </row>
    <row r="68" spans="1:11" x14ac:dyDescent="0.3">
      <c r="A68" t="e">
        <f t="shared" si="0"/>
        <v>#REF!</v>
      </c>
      <c r="B68">
        <v>3250</v>
      </c>
      <c r="C68" s="1">
        <v>22.423245392214501</v>
      </c>
      <c r="D68" s="9">
        <v>19.269444444450119</v>
      </c>
      <c r="E68" s="1">
        <v>7.6936600000000004</v>
      </c>
      <c r="F68" s="1">
        <v>10.4716</v>
      </c>
      <c r="G68" s="1">
        <v>17.4573</v>
      </c>
      <c r="H68" s="1">
        <v>9.9379899999999992</v>
      </c>
      <c r="J68">
        <v>7.7159500000000003</v>
      </c>
      <c r="K68">
        <v>10.183400000000001</v>
      </c>
    </row>
    <row r="69" spans="1:11" x14ac:dyDescent="0.3">
      <c r="A69" t="e">
        <f t="shared" si="0"/>
        <v>#REF!</v>
      </c>
      <c r="B69">
        <v>3300</v>
      </c>
      <c r="C69" s="1">
        <v>22.00703436627866</v>
      </c>
      <c r="D69" s="9">
        <v>19.316666666672429</v>
      </c>
      <c r="E69" s="1">
        <v>8.6465599999999991</v>
      </c>
      <c r="F69" s="1">
        <v>9.7739200000000004</v>
      </c>
      <c r="G69" s="1">
        <v>17.073799999999999</v>
      </c>
      <c r="H69" s="1">
        <v>11.2354</v>
      </c>
      <c r="J69">
        <v>8.5025899999999996</v>
      </c>
      <c r="K69">
        <v>9.3658900000000003</v>
      </c>
    </row>
    <row r="70" spans="1:11" x14ac:dyDescent="0.3">
      <c r="A70" t="e">
        <f t="shared" si="0"/>
        <v>#REF!</v>
      </c>
      <c r="B70">
        <v>3350</v>
      </c>
      <c r="C70" s="1">
        <v>21.6873983224318</v>
      </c>
      <c r="D70" s="9">
        <v>19.363888888894738</v>
      </c>
      <c r="E70" s="1">
        <v>10.0862</v>
      </c>
      <c r="F70" s="1">
        <v>10.5421</v>
      </c>
      <c r="G70" s="1">
        <v>17.136199999999999</v>
      </c>
      <c r="H70" s="1">
        <v>12.661300000000001</v>
      </c>
      <c r="J70">
        <v>9.9148899999999998</v>
      </c>
      <c r="K70">
        <v>10.172000000000001</v>
      </c>
    </row>
    <row r="71" spans="1:11" x14ac:dyDescent="0.3">
      <c r="A71" t="e">
        <f t="shared" si="0"/>
        <v>#REF!</v>
      </c>
      <c r="B71">
        <v>3400</v>
      </c>
      <c r="C71" s="1">
        <v>21.364055877997689</v>
      </c>
      <c r="D71" s="9">
        <v>19.411111111117048</v>
      </c>
      <c r="E71" s="1">
        <v>11.843999999999999</v>
      </c>
      <c r="F71" s="1">
        <v>12.0634</v>
      </c>
      <c r="G71" s="1">
        <v>17.405100000000001</v>
      </c>
      <c r="H71" s="1">
        <v>14.083399999999999</v>
      </c>
      <c r="J71">
        <v>11.7136</v>
      </c>
      <c r="K71">
        <v>11.8063</v>
      </c>
    </row>
    <row r="72" spans="1:11" x14ac:dyDescent="0.3">
      <c r="A72" t="e">
        <f t="shared" si="0"/>
        <v>#REF!</v>
      </c>
      <c r="B72">
        <v>3450</v>
      </c>
      <c r="C72" s="1">
        <v>20.91885697751945</v>
      </c>
      <c r="D72" s="9">
        <v>19.458333333339358</v>
      </c>
      <c r="E72" s="1">
        <v>13.719900000000001</v>
      </c>
      <c r="F72" s="1">
        <v>13.8239</v>
      </c>
      <c r="G72" s="1">
        <v>17.813500000000001</v>
      </c>
      <c r="H72" s="1">
        <v>15.4818</v>
      </c>
      <c r="J72">
        <v>13.635400000000001</v>
      </c>
      <c r="K72">
        <v>13.664300000000001</v>
      </c>
    </row>
    <row r="73" spans="1:11" x14ac:dyDescent="0.3">
      <c r="A73" t="e">
        <f t="shared" si="0"/>
        <v>#REF!</v>
      </c>
      <c r="B73">
        <v>3500</v>
      </c>
      <c r="C73" s="1">
        <v>20.414459886974011</v>
      </c>
      <c r="D73" s="9">
        <v>19.505555555561667</v>
      </c>
      <c r="E73" s="1">
        <v>15.653</v>
      </c>
      <c r="F73" s="1">
        <v>15.697699999999999</v>
      </c>
      <c r="G73" s="1">
        <v>18.3324</v>
      </c>
      <c r="H73" s="1">
        <v>16.8644</v>
      </c>
      <c r="J73">
        <v>15.6081</v>
      </c>
      <c r="K73">
        <v>15.614699999999999</v>
      </c>
    </row>
    <row r="74" spans="1:11" x14ac:dyDescent="0.3">
      <c r="A74" t="e">
        <f t="shared" si="0"/>
        <v>#REF!</v>
      </c>
      <c r="B74">
        <v>3550</v>
      </c>
      <c r="C74" s="1">
        <v>20.03557895340829</v>
      </c>
      <c r="D74" s="9">
        <v>19.552777777783977</v>
      </c>
      <c r="E74" s="1">
        <v>17.6173</v>
      </c>
      <c r="F74" s="1">
        <v>17.631499999999999</v>
      </c>
      <c r="G74" s="1">
        <v>18.9343</v>
      </c>
      <c r="H74" s="1">
        <v>18.2362</v>
      </c>
      <c r="J74">
        <v>17.6008</v>
      </c>
      <c r="K74">
        <v>17.601500000000001</v>
      </c>
    </row>
    <row r="75" spans="1:11" x14ac:dyDescent="0.3">
      <c r="A75" t="e">
        <f t="shared" si="0"/>
        <v>#REF!</v>
      </c>
      <c r="B75">
        <v>3600</v>
      </c>
      <c r="C75" s="1">
        <v>19.600000000000001</v>
      </c>
      <c r="D75" s="9">
        <v>19.600000000006286</v>
      </c>
      <c r="E75" s="1">
        <v>19.600000000000001</v>
      </c>
      <c r="F75" s="1">
        <v>19.600000000000001</v>
      </c>
      <c r="G75" s="1">
        <v>19.600000000000001</v>
      </c>
      <c r="H75" s="1">
        <v>19.600000000000001</v>
      </c>
      <c r="J75">
        <v>19.600000000000001</v>
      </c>
      <c r="K75">
        <v>19.600000000000001</v>
      </c>
    </row>
    <row r="76" spans="1:11" x14ac:dyDescent="0.3">
      <c r="A76">
        <v>1</v>
      </c>
      <c r="B76">
        <v>1</v>
      </c>
      <c r="C76" s="1">
        <v>16.20615497008567</v>
      </c>
      <c r="D76" s="9">
        <v>16.200944444444445</v>
      </c>
      <c r="E76" s="1">
        <v>16.162800000000001</v>
      </c>
      <c r="F76" s="1">
        <v>16.160399999999999</v>
      </c>
      <c r="G76" s="1">
        <v>16.1876</v>
      </c>
      <c r="H76" s="1">
        <v>16.162800000000001</v>
      </c>
    </row>
    <row r="77" spans="1:11" x14ac:dyDescent="0.3">
      <c r="A77" t="e">
        <f t="shared" ref="A77:A108" si="1">A27</f>
        <v>#REF!</v>
      </c>
      <c r="B77">
        <v>51</v>
      </c>
      <c r="C77" s="1">
        <v>16.186197060653068</v>
      </c>
      <c r="D77" s="9">
        <v>16.248166666666755</v>
      </c>
      <c r="E77" s="1">
        <v>14.315</v>
      </c>
      <c r="F77" s="1">
        <v>14.190099999999999</v>
      </c>
      <c r="G77" s="1">
        <v>15.5929</v>
      </c>
      <c r="H77" s="1">
        <v>14.2965</v>
      </c>
    </row>
    <row r="78" spans="1:11" x14ac:dyDescent="0.3">
      <c r="A78" t="e">
        <f t="shared" si="1"/>
        <v>#REF!</v>
      </c>
      <c r="B78">
        <v>101</v>
      </c>
      <c r="C78" s="1">
        <v>16.23</v>
      </c>
      <c r="D78" s="9">
        <v>16.295388888889065</v>
      </c>
      <c r="E78" s="1">
        <v>12.492699999999999</v>
      </c>
      <c r="F78" s="1">
        <v>12.253299999999999</v>
      </c>
      <c r="G78" s="1">
        <v>15.0571</v>
      </c>
      <c r="H78" s="1">
        <v>12.4208</v>
      </c>
    </row>
    <row r="79" spans="1:11" x14ac:dyDescent="0.3">
      <c r="A79" t="e">
        <f t="shared" si="1"/>
        <v>#REF!</v>
      </c>
      <c r="B79">
        <v>151</v>
      </c>
      <c r="C79" s="1">
        <v>16.440000000000001</v>
      </c>
      <c r="D79" s="9">
        <v>16.342611111111374</v>
      </c>
      <c r="E79" s="1">
        <v>10.707599999999999</v>
      </c>
      <c r="F79" s="1">
        <v>10.3741</v>
      </c>
      <c r="G79" s="1">
        <v>14.594900000000001</v>
      </c>
      <c r="H79" s="1">
        <v>10.535</v>
      </c>
    </row>
    <row r="80" spans="1:11" x14ac:dyDescent="0.3">
      <c r="A80" t="e">
        <f t="shared" si="1"/>
        <v>#REF!</v>
      </c>
      <c r="B80">
        <v>201</v>
      </c>
      <c r="C80" s="1">
        <v>16.78026926239697</v>
      </c>
      <c r="D80" s="9">
        <v>16.389833333333684</v>
      </c>
      <c r="E80" s="1">
        <v>8.9805600000000005</v>
      </c>
      <c r="F80" s="1">
        <v>8.6026299999999996</v>
      </c>
      <c r="G80" s="1">
        <v>14.2241</v>
      </c>
      <c r="H80" s="1">
        <v>8.6400600000000001</v>
      </c>
    </row>
    <row r="81" spans="1:8" x14ac:dyDescent="0.3">
      <c r="A81" t="e">
        <f t="shared" si="1"/>
        <v>#REF!</v>
      </c>
      <c r="B81">
        <v>251</v>
      </c>
      <c r="C81" s="1">
        <v>16.87</v>
      </c>
      <c r="D81" s="9">
        <v>16.437055555555993</v>
      </c>
      <c r="E81" s="1">
        <v>7.35215</v>
      </c>
      <c r="F81" s="1">
        <v>7.0564200000000001</v>
      </c>
      <c r="G81" s="1">
        <v>13.950100000000001</v>
      </c>
      <c r="H81" s="1">
        <v>6.7464599999999999</v>
      </c>
    </row>
    <row r="82" spans="1:8" x14ac:dyDescent="0.3">
      <c r="A82" t="e">
        <f t="shared" si="1"/>
        <v>#REF!</v>
      </c>
      <c r="B82">
        <v>301</v>
      </c>
      <c r="C82" s="1">
        <v>17.092977181598361</v>
      </c>
      <c r="D82" s="9">
        <v>16.484277777778303</v>
      </c>
      <c r="E82" s="1">
        <v>5.98888</v>
      </c>
      <c r="F82" s="1">
        <v>6.2019799999999998</v>
      </c>
      <c r="G82" s="1">
        <v>13.8093</v>
      </c>
      <c r="H82" s="1">
        <v>5.02095</v>
      </c>
    </row>
    <row r="83" spans="1:8" x14ac:dyDescent="0.3">
      <c r="A83" t="e">
        <f t="shared" si="1"/>
        <v>#REF!</v>
      </c>
      <c r="B83">
        <v>351</v>
      </c>
      <c r="C83" s="1">
        <v>17.3</v>
      </c>
      <c r="D83" s="9">
        <v>16.531500000000612</v>
      </c>
      <c r="E83" s="1">
        <v>5.1152600000000001</v>
      </c>
      <c r="F83" s="1">
        <v>6.4028</v>
      </c>
      <c r="G83" s="1">
        <v>13.9854</v>
      </c>
      <c r="H83" s="1">
        <v>3.8156300000000001</v>
      </c>
    </row>
    <row r="84" spans="1:8" x14ac:dyDescent="0.3">
      <c r="A84" t="e">
        <f t="shared" si="1"/>
        <v>#REF!</v>
      </c>
      <c r="B84">
        <v>401</v>
      </c>
      <c r="C84" s="1">
        <v>17.510000000000002</v>
      </c>
      <c r="D84" s="9">
        <v>16.578722222222922</v>
      </c>
      <c r="E84" s="1">
        <v>4.5219300000000002</v>
      </c>
      <c r="F84" s="1">
        <v>6.6989099999999997</v>
      </c>
      <c r="G84" s="1">
        <v>14.069100000000001</v>
      </c>
      <c r="H84" s="1">
        <v>2.9783900000000001</v>
      </c>
    </row>
    <row r="85" spans="1:8" x14ac:dyDescent="0.3">
      <c r="A85" t="e">
        <f t="shared" si="1"/>
        <v>#REF!</v>
      </c>
      <c r="B85">
        <v>451</v>
      </c>
      <c r="C85" s="1">
        <v>17.823304104250401</v>
      </c>
      <c r="D85" s="9">
        <v>16.625944444445231</v>
      </c>
      <c r="E85" s="1">
        <v>4.1313399999999998</v>
      </c>
      <c r="F85" s="1">
        <v>6.6885500000000002</v>
      </c>
      <c r="G85" s="1">
        <v>13.869300000000001</v>
      </c>
      <c r="H85" s="1">
        <v>2.46767</v>
      </c>
    </row>
    <row r="86" spans="1:8" x14ac:dyDescent="0.3">
      <c r="A86" t="e">
        <f t="shared" si="1"/>
        <v>#REF!</v>
      </c>
      <c r="B86">
        <v>501</v>
      </c>
      <c r="C86" s="1">
        <v>17.98021769181965</v>
      </c>
      <c r="D86" s="9">
        <v>16.673166666667541</v>
      </c>
      <c r="E86" s="1">
        <v>3.6646700000000001</v>
      </c>
      <c r="F86" s="1">
        <v>6.2769599999999999</v>
      </c>
      <c r="G86" s="1">
        <v>13.526400000000001</v>
      </c>
      <c r="H86" s="1">
        <v>2.00136</v>
      </c>
    </row>
    <row r="87" spans="1:8" x14ac:dyDescent="0.3">
      <c r="A87" t="e">
        <f t="shared" si="1"/>
        <v>#REF!</v>
      </c>
      <c r="B87">
        <v>551</v>
      </c>
      <c r="C87" s="1">
        <v>18.173806183079741</v>
      </c>
      <c r="D87" s="9">
        <v>16.72038888888985</v>
      </c>
      <c r="E87" s="1">
        <v>2.8864299999999998</v>
      </c>
      <c r="F87" s="1">
        <v>5.4639699999999998</v>
      </c>
      <c r="G87" s="1">
        <v>13.197100000000001</v>
      </c>
      <c r="H87" s="1">
        <v>1.3295600000000001</v>
      </c>
    </row>
    <row r="88" spans="1:8" x14ac:dyDescent="0.3">
      <c r="A88" t="e">
        <f t="shared" si="1"/>
        <v>#REF!</v>
      </c>
      <c r="B88">
        <v>601</v>
      </c>
      <c r="C88" s="1">
        <v>18.385582900354521</v>
      </c>
      <c r="D88" s="9">
        <v>16.76761111111216</v>
      </c>
      <c r="E88" s="1">
        <v>1.96393</v>
      </c>
      <c r="F88" s="1">
        <v>4.4435799999999999</v>
      </c>
      <c r="G88" s="1">
        <v>12.831899999999999</v>
      </c>
      <c r="H88" s="1">
        <v>0.60028800000000004</v>
      </c>
    </row>
    <row r="89" spans="1:8" x14ac:dyDescent="0.3">
      <c r="A89" t="e">
        <f t="shared" si="1"/>
        <v>#REF!</v>
      </c>
      <c r="B89">
        <v>651</v>
      </c>
      <c r="C89" s="1">
        <v>18.510000000000002</v>
      </c>
      <c r="D89" s="9">
        <v>16.81483333333447</v>
      </c>
      <c r="E89" s="1">
        <v>1.1581399999999999</v>
      </c>
      <c r="F89" s="1">
        <v>3.4567999999999999</v>
      </c>
      <c r="G89" s="1">
        <v>12.401199999999999</v>
      </c>
      <c r="H89" s="1">
        <v>7.0462499999999997E-2</v>
      </c>
    </row>
    <row r="90" spans="1:8" x14ac:dyDescent="0.3">
      <c r="A90" t="e">
        <f t="shared" si="1"/>
        <v>#REF!</v>
      </c>
      <c r="B90">
        <v>701</v>
      </c>
      <c r="C90" s="1">
        <v>18.69874896049695</v>
      </c>
      <c r="D90" s="9">
        <v>16.862055555556779</v>
      </c>
      <c r="E90" s="1">
        <v>0.69470600000000005</v>
      </c>
      <c r="F90" s="1">
        <v>2.7156199999999999</v>
      </c>
      <c r="G90" s="1">
        <v>12.130699999999999</v>
      </c>
      <c r="H90" s="1">
        <v>3.12156E-2</v>
      </c>
    </row>
    <row r="91" spans="1:8" x14ac:dyDescent="0.3">
      <c r="A91" t="e">
        <f t="shared" si="1"/>
        <v>#REF!</v>
      </c>
      <c r="B91">
        <v>751</v>
      </c>
      <c r="C91" s="1">
        <v>18.824079142114009</v>
      </c>
      <c r="D91" s="9">
        <v>16.909277777779089</v>
      </c>
      <c r="E91" s="1">
        <v>0.69746799999999998</v>
      </c>
      <c r="F91" s="1">
        <v>2.3319200000000002</v>
      </c>
      <c r="G91" s="1">
        <v>12.2257</v>
      </c>
      <c r="H91" s="1">
        <v>0.65815800000000002</v>
      </c>
    </row>
    <row r="92" spans="1:8" x14ac:dyDescent="0.3">
      <c r="A92" t="e">
        <f t="shared" si="1"/>
        <v>#REF!</v>
      </c>
      <c r="B92">
        <v>801</v>
      </c>
      <c r="C92" s="1">
        <v>19.190072580014089</v>
      </c>
      <c r="D92" s="9">
        <v>16.956500000001398</v>
      </c>
      <c r="E92" s="1">
        <v>0.95270600000000005</v>
      </c>
      <c r="F92" s="1">
        <v>2.0816499999999998</v>
      </c>
      <c r="G92" s="1">
        <v>12.6022</v>
      </c>
      <c r="H92" s="1">
        <v>1.6816</v>
      </c>
    </row>
    <row r="93" spans="1:8" x14ac:dyDescent="0.3">
      <c r="A93" t="e">
        <f t="shared" si="1"/>
        <v>#REF!</v>
      </c>
      <c r="B93">
        <v>851</v>
      </c>
      <c r="C93" s="1">
        <v>19.399169396075319</v>
      </c>
      <c r="D93" s="9">
        <v>17.003722222223708</v>
      </c>
      <c r="E93" s="1">
        <v>1.2372099999999999</v>
      </c>
      <c r="F93" s="1">
        <v>1.7764200000000001</v>
      </c>
      <c r="G93" s="1">
        <v>13.0762</v>
      </c>
      <c r="H93" s="1">
        <v>2.7284299999999999</v>
      </c>
    </row>
    <row r="94" spans="1:8" x14ac:dyDescent="0.3">
      <c r="A94" t="e">
        <f t="shared" si="1"/>
        <v>#REF!</v>
      </c>
      <c r="B94">
        <v>901</v>
      </c>
      <c r="C94" s="1">
        <v>19.705011180886569</v>
      </c>
      <c r="D94" s="9">
        <v>17.050944444446017</v>
      </c>
      <c r="E94" s="1">
        <v>1.5701799999999999</v>
      </c>
      <c r="F94" s="1">
        <v>1.6320699999999999</v>
      </c>
      <c r="G94" s="1">
        <v>13.3408</v>
      </c>
      <c r="H94" s="1">
        <v>3.4154200000000001</v>
      </c>
    </row>
    <row r="95" spans="1:8" x14ac:dyDescent="0.3">
      <c r="A95" t="e">
        <f t="shared" si="1"/>
        <v>#REF!</v>
      </c>
      <c r="B95">
        <v>951</v>
      </c>
      <c r="C95" s="1">
        <v>19.98941141412238</v>
      </c>
      <c r="D95" s="9">
        <v>17.098166666668327</v>
      </c>
      <c r="E95" s="1">
        <v>1.9724299999999999</v>
      </c>
      <c r="F95" s="1">
        <v>1.8692</v>
      </c>
      <c r="G95" s="1">
        <v>13.186999999999999</v>
      </c>
      <c r="H95" s="1">
        <v>3.48448</v>
      </c>
    </row>
    <row r="96" spans="1:8" x14ac:dyDescent="0.3">
      <c r="A96" t="e">
        <f t="shared" si="1"/>
        <v>#REF!</v>
      </c>
      <c r="B96">
        <v>1001</v>
      </c>
      <c r="C96" s="1">
        <v>20.378546277666011</v>
      </c>
      <c r="D96" s="9">
        <v>17.145388888890636</v>
      </c>
      <c r="E96" s="1">
        <v>2.27216</v>
      </c>
      <c r="F96" s="1">
        <v>2.3959199999999998</v>
      </c>
      <c r="G96" s="1">
        <v>12.8634</v>
      </c>
      <c r="H96" s="1">
        <v>3.13605</v>
      </c>
    </row>
    <row r="97" spans="1:8" x14ac:dyDescent="0.3">
      <c r="A97" t="e">
        <f t="shared" si="1"/>
        <v>#REF!</v>
      </c>
      <c r="B97">
        <v>1051</v>
      </c>
      <c r="C97" s="1">
        <v>20.82281100853837</v>
      </c>
      <c r="D97" s="9">
        <v>17.192611111112946</v>
      </c>
      <c r="E97" s="1">
        <v>2.33344</v>
      </c>
      <c r="F97" s="1">
        <v>3.0157600000000002</v>
      </c>
      <c r="G97" s="1">
        <v>12.666</v>
      </c>
      <c r="H97" s="1">
        <v>2.6947899999999998</v>
      </c>
    </row>
    <row r="98" spans="1:8" x14ac:dyDescent="0.3">
      <c r="A98" t="e">
        <f t="shared" si="1"/>
        <v>#REF!</v>
      </c>
      <c r="B98">
        <v>1101</v>
      </c>
      <c r="C98" s="1">
        <v>21.194347679586201</v>
      </c>
      <c r="D98" s="9">
        <v>17.239833333335255</v>
      </c>
      <c r="E98" s="1">
        <v>2.3060700000000001</v>
      </c>
      <c r="F98" s="1">
        <v>3.4098299999999999</v>
      </c>
      <c r="G98" s="1">
        <v>12.6897</v>
      </c>
      <c r="H98" s="1">
        <v>2.5614400000000002</v>
      </c>
    </row>
    <row r="99" spans="1:8" x14ac:dyDescent="0.3">
      <c r="A99" t="e">
        <f t="shared" si="1"/>
        <v>#REF!</v>
      </c>
      <c r="B99">
        <v>1151</v>
      </c>
      <c r="C99" s="1">
        <v>21.51980145164864</v>
      </c>
      <c r="D99" s="9">
        <v>17.287055555557565</v>
      </c>
      <c r="E99" s="1">
        <v>2.3254700000000001</v>
      </c>
      <c r="F99" s="1">
        <v>3.3683000000000001</v>
      </c>
      <c r="G99" s="1">
        <v>12.9206</v>
      </c>
      <c r="H99" s="1">
        <v>3.0133299999999998</v>
      </c>
    </row>
    <row r="100" spans="1:8" x14ac:dyDescent="0.3">
      <c r="A100" t="e">
        <f t="shared" si="1"/>
        <v>#REF!</v>
      </c>
      <c r="B100">
        <v>1201</v>
      </c>
      <c r="C100" s="1">
        <v>21.947127406025189</v>
      </c>
      <c r="D100" s="9">
        <v>17.334277777779874</v>
      </c>
      <c r="E100" s="1">
        <v>2.2445900000000001</v>
      </c>
      <c r="F100" s="1">
        <v>3.1701000000000001</v>
      </c>
      <c r="G100" s="1">
        <v>13.118399999999999</v>
      </c>
      <c r="H100" s="1">
        <v>3.8267199999999999</v>
      </c>
    </row>
    <row r="101" spans="1:8" x14ac:dyDescent="0.3">
      <c r="A101" t="e">
        <f t="shared" si="1"/>
        <v>#REF!</v>
      </c>
      <c r="B101">
        <v>1251</v>
      </c>
      <c r="C101" s="1">
        <v>22.35839454908551</v>
      </c>
      <c r="D101" s="9">
        <v>17.381500000002184</v>
      </c>
      <c r="E101" s="1">
        <v>1.9541500000000001</v>
      </c>
      <c r="F101" s="1">
        <v>3.1303000000000001</v>
      </c>
      <c r="G101" s="1">
        <v>13.0953</v>
      </c>
      <c r="H101" s="1">
        <v>4.6877899999999997</v>
      </c>
    </row>
    <row r="102" spans="1:8" x14ac:dyDescent="0.3">
      <c r="A102">
        <f t="shared" si="1"/>
        <v>0</v>
      </c>
      <c r="B102">
        <v>1301</v>
      </c>
      <c r="C102" s="1">
        <v>22.808480258141699</v>
      </c>
      <c r="D102" s="9">
        <v>17.428722222224494</v>
      </c>
      <c r="E102" s="1">
        <v>1.7064600000000001</v>
      </c>
      <c r="F102" s="1">
        <v>3.3029099999999998</v>
      </c>
      <c r="G102" s="1">
        <v>13.034000000000001</v>
      </c>
      <c r="H102" s="1">
        <v>5.3596700000000004</v>
      </c>
    </row>
    <row r="103" spans="1:8" x14ac:dyDescent="0.3">
      <c r="A103">
        <f t="shared" si="1"/>
        <v>0</v>
      </c>
      <c r="B103">
        <v>1351</v>
      </c>
      <c r="C103" s="1">
        <v>23.08279522036106</v>
      </c>
      <c r="D103" s="9">
        <v>17.475944444446803</v>
      </c>
      <c r="E103" s="1">
        <v>1.75875</v>
      </c>
      <c r="F103" s="1">
        <v>3.6541000000000001</v>
      </c>
      <c r="G103" s="1">
        <v>13.11</v>
      </c>
      <c r="H103" s="1">
        <v>5.7077299999999997</v>
      </c>
    </row>
    <row r="104" spans="1:8" x14ac:dyDescent="0.3">
      <c r="A104" t="e">
        <f t="shared" si="1"/>
        <v>#REF!</v>
      </c>
      <c r="B104">
        <v>1401</v>
      </c>
      <c r="C104" s="1">
        <v>23.22</v>
      </c>
      <c r="D104" s="9">
        <v>17.523166666669113</v>
      </c>
      <c r="E104" s="1">
        <v>2.0977399999999999</v>
      </c>
      <c r="F104" s="1">
        <v>4.0447199999999999</v>
      </c>
      <c r="G104" s="1">
        <v>13.178000000000001</v>
      </c>
      <c r="H104" s="1">
        <v>5.8984800000000002</v>
      </c>
    </row>
    <row r="105" spans="1:8" x14ac:dyDescent="0.3">
      <c r="A105" t="e">
        <f t="shared" si="1"/>
        <v>#REF!</v>
      </c>
      <c r="B105">
        <v>1451</v>
      </c>
      <c r="C105" s="1">
        <v>23.26</v>
      </c>
      <c r="D105" s="9">
        <v>17.570388888891422</v>
      </c>
      <c r="E105" s="1">
        <v>2.6076000000000001</v>
      </c>
      <c r="F105" s="1">
        <v>4.3491499999999998</v>
      </c>
      <c r="G105" s="1">
        <v>13.1052</v>
      </c>
      <c r="H105" s="1">
        <v>6.0844899999999997</v>
      </c>
    </row>
    <row r="106" spans="1:8" x14ac:dyDescent="0.3">
      <c r="A106" t="e">
        <f t="shared" si="1"/>
        <v>#REF!</v>
      </c>
      <c r="B106">
        <v>1501</v>
      </c>
      <c r="C106" s="1">
        <v>23.11466055719362</v>
      </c>
      <c r="D106" s="9">
        <v>17.617611111113732</v>
      </c>
      <c r="E106" s="1">
        <v>3.0225399999999998</v>
      </c>
      <c r="F106" s="1">
        <v>4.5727399999999996</v>
      </c>
      <c r="G106" s="1">
        <v>13.056900000000001</v>
      </c>
      <c r="H106" s="1">
        <v>6.1343199999999998</v>
      </c>
    </row>
    <row r="107" spans="1:8" x14ac:dyDescent="0.3">
      <c r="A107" t="e">
        <f t="shared" si="1"/>
        <v>#REF!</v>
      </c>
      <c r="B107">
        <v>1551</v>
      </c>
      <c r="C107" s="1">
        <v>22.86095433264887</v>
      </c>
      <c r="D107" s="9">
        <v>17.664833333336041</v>
      </c>
      <c r="E107" s="1">
        <v>3.1807300000000001</v>
      </c>
      <c r="F107" s="1">
        <v>4.7953700000000001</v>
      </c>
      <c r="G107" s="1">
        <v>13.180099999999999</v>
      </c>
      <c r="H107" s="1">
        <v>5.8942800000000002</v>
      </c>
    </row>
    <row r="108" spans="1:8" x14ac:dyDescent="0.3">
      <c r="A108" t="e">
        <f t="shared" si="1"/>
        <v>#REF!</v>
      </c>
      <c r="B108">
        <v>1601</v>
      </c>
      <c r="C108" s="1">
        <v>22.496590898995731</v>
      </c>
      <c r="D108" s="9">
        <v>17.712055555558351</v>
      </c>
      <c r="E108" s="1">
        <v>3.4064999999999999</v>
      </c>
      <c r="F108" s="1">
        <v>5.2577999999999996</v>
      </c>
      <c r="G108" s="1">
        <v>13.3238</v>
      </c>
      <c r="H108" s="1">
        <v>5.3525</v>
      </c>
    </row>
    <row r="109" spans="1:8" x14ac:dyDescent="0.3">
      <c r="A109" t="e">
        <f t="shared" ref="A109:A140" si="2">A59</f>
        <v>#REF!</v>
      </c>
      <c r="B109">
        <v>1651</v>
      </c>
      <c r="C109" s="1">
        <v>22.074091047895521</v>
      </c>
      <c r="D109" s="9">
        <v>17.75927777778066</v>
      </c>
      <c r="E109" s="1">
        <v>4.0042</v>
      </c>
      <c r="F109" s="1">
        <v>6.1291900000000004</v>
      </c>
      <c r="G109" s="1">
        <v>13.347200000000001</v>
      </c>
      <c r="H109" s="1">
        <v>4.5432300000000003</v>
      </c>
    </row>
    <row r="110" spans="1:8" x14ac:dyDescent="0.3">
      <c r="A110" t="e">
        <f t="shared" si="2"/>
        <v>#REF!</v>
      </c>
      <c r="B110">
        <v>1701</v>
      </c>
      <c r="C110" s="1">
        <v>21.673081198454121</v>
      </c>
      <c r="D110" s="9">
        <v>17.80650000000297</v>
      </c>
      <c r="E110" s="1">
        <v>4.8283699999999996</v>
      </c>
      <c r="F110" s="1">
        <v>7.2009499999999997</v>
      </c>
      <c r="G110" s="1">
        <v>13.3775</v>
      </c>
      <c r="H110" s="1">
        <v>3.5532699999999999</v>
      </c>
    </row>
    <row r="111" spans="1:8" x14ac:dyDescent="0.3">
      <c r="A111" t="e">
        <f t="shared" si="2"/>
        <v>#REF!</v>
      </c>
      <c r="B111">
        <v>1751</v>
      </c>
      <c r="C111" s="1">
        <v>21.26103258928396</v>
      </c>
      <c r="D111" s="9">
        <v>17.853722222225279</v>
      </c>
      <c r="E111" s="1">
        <v>5.5995799999999996</v>
      </c>
      <c r="F111" s="1">
        <v>8.1889199999999995</v>
      </c>
      <c r="G111" s="1">
        <v>13.5228</v>
      </c>
      <c r="H111" s="1">
        <v>2.47004</v>
      </c>
    </row>
    <row r="112" spans="1:8" x14ac:dyDescent="0.3">
      <c r="A112" t="e">
        <f t="shared" si="2"/>
        <v>#REF!</v>
      </c>
      <c r="B112">
        <v>1801</v>
      </c>
      <c r="C112" s="1">
        <v>20.905913738977421</v>
      </c>
      <c r="D112" s="9">
        <v>17.900944444447589</v>
      </c>
      <c r="E112" s="1">
        <v>5.9156500000000003</v>
      </c>
      <c r="F112" s="1">
        <v>8.8355300000000003</v>
      </c>
      <c r="G112" s="1">
        <v>13.618399999999999</v>
      </c>
      <c r="H112" s="1">
        <v>1.3431500000000001</v>
      </c>
    </row>
    <row r="113" spans="1:8" x14ac:dyDescent="0.3">
      <c r="A113" t="e">
        <f t="shared" si="2"/>
        <v>#REF!</v>
      </c>
      <c r="B113">
        <v>1851</v>
      </c>
      <c r="C113" s="1">
        <v>20.542875148613469</v>
      </c>
      <c r="D113" s="9">
        <v>17.948166666669898</v>
      </c>
      <c r="E113" s="1">
        <v>5.5049900000000003</v>
      </c>
      <c r="F113" s="1">
        <v>9.0092400000000001</v>
      </c>
      <c r="G113" s="1">
        <v>13.529500000000001</v>
      </c>
      <c r="H113" s="1">
        <v>0.19448799999999999</v>
      </c>
    </row>
    <row r="114" spans="1:8" x14ac:dyDescent="0.3">
      <c r="A114" t="e">
        <f t="shared" si="2"/>
        <v>#REF!</v>
      </c>
      <c r="B114">
        <v>1901</v>
      </c>
      <c r="C114" s="1">
        <v>20.14003549481906</v>
      </c>
      <c r="D114" s="9">
        <v>17.995388888892208</v>
      </c>
      <c r="E114" s="1">
        <v>4.6464999999999996</v>
      </c>
      <c r="F114" s="1">
        <v>8.9979499999999994</v>
      </c>
      <c r="G114" s="1">
        <v>13.435499999999999</v>
      </c>
      <c r="H114" s="1">
        <v>-1.0216400000000001</v>
      </c>
    </row>
    <row r="115" spans="1:8" x14ac:dyDescent="0.3">
      <c r="A115" t="e">
        <f t="shared" si="2"/>
        <v>#REF!</v>
      </c>
      <c r="B115">
        <v>1951</v>
      </c>
      <c r="C115" s="1">
        <v>19.794997298133438</v>
      </c>
      <c r="D115" s="9">
        <v>18.042611111114518</v>
      </c>
      <c r="E115" s="1">
        <v>3.7230699999999999</v>
      </c>
      <c r="F115" s="1">
        <v>9.0677199999999996</v>
      </c>
      <c r="G115" s="1">
        <v>13.503399999999999</v>
      </c>
      <c r="H115" s="1">
        <v>-2.3275399999999999</v>
      </c>
    </row>
    <row r="116" spans="1:8" x14ac:dyDescent="0.3">
      <c r="A116" t="e">
        <f t="shared" si="2"/>
        <v>#REF!</v>
      </c>
      <c r="B116">
        <v>2001</v>
      </c>
      <c r="C116" s="1">
        <v>19.50811661015279</v>
      </c>
      <c r="D116" s="9">
        <v>18.089833333336827</v>
      </c>
      <c r="E116" s="1">
        <v>3.0611700000000002</v>
      </c>
      <c r="F116" s="1">
        <v>9.0907300000000006</v>
      </c>
      <c r="G116" s="1">
        <v>13.62</v>
      </c>
      <c r="H116" s="1">
        <v>-3.6136400000000002</v>
      </c>
    </row>
    <row r="117" spans="1:8" x14ac:dyDescent="0.3">
      <c r="A117" t="e">
        <f t="shared" si="2"/>
        <v>#REF!</v>
      </c>
      <c r="B117">
        <v>2051</v>
      </c>
      <c r="C117" s="1">
        <v>19.319562108954042</v>
      </c>
      <c r="D117" s="9">
        <v>18.137055555559137</v>
      </c>
      <c r="E117" s="1">
        <v>2.84544</v>
      </c>
      <c r="F117" s="1">
        <v>8.9253099999999996</v>
      </c>
      <c r="G117" s="1">
        <v>13.6723</v>
      </c>
      <c r="H117" s="1">
        <v>-4.7542299999999997</v>
      </c>
    </row>
    <row r="118" spans="1:8" x14ac:dyDescent="0.3">
      <c r="A118" t="e">
        <f t="shared" si="2"/>
        <v>#REF!</v>
      </c>
      <c r="B118">
        <v>2101</v>
      </c>
      <c r="C118" s="1">
        <v>19.204032112429619</v>
      </c>
      <c r="D118" s="9">
        <v>18.184277777781446</v>
      </c>
      <c r="E118" s="1">
        <v>2.8118400000000001</v>
      </c>
      <c r="F118" s="1">
        <v>8.6781500000000005</v>
      </c>
      <c r="G118" s="1">
        <v>13.7607</v>
      </c>
      <c r="H118" s="1">
        <v>-5.6662699999999999</v>
      </c>
    </row>
    <row r="119" spans="1:8" x14ac:dyDescent="0.3">
      <c r="A119" t="e">
        <f t="shared" si="2"/>
        <v>#REF!</v>
      </c>
      <c r="B119">
        <v>2151</v>
      </c>
      <c r="C119" s="1">
        <v>19.2</v>
      </c>
      <c r="D119" s="9">
        <v>18.231500000003756</v>
      </c>
      <c r="E119" s="1">
        <v>2.7077800000000001</v>
      </c>
      <c r="F119" s="1">
        <v>8.4951299999999996</v>
      </c>
      <c r="G119" s="1">
        <v>13.958500000000001</v>
      </c>
      <c r="H119" s="1">
        <v>-6.25509</v>
      </c>
    </row>
    <row r="120" spans="1:8" x14ac:dyDescent="0.3">
      <c r="A120" t="e">
        <f t="shared" si="2"/>
        <v>#REF!</v>
      </c>
      <c r="B120">
        <v>2201</v>
      </c>
      <c r="C120" s="1">
        <v>19.17097115695379</v>
      </c>
      <c r="D120" s="9">
        <v>18.278722222226065</v>
      </c>
      <c r="E120" s="1">
        <v>2.6546400000000001</v>
      </c>
      <c r="F120" s="1">
        <v>8.4719800000000003</v>
      </c>
      <c r="G120" s="1">
        <v>14.0863</v>
      </c>
      <c r="H120" s="1">
        <v>-6.35459</v>
      </c>
    </row>
    <row r="121" spans="1:8" x14ac:dyDescent="0.3">
      <c r="A121" t="e">
        <f t="shared" si="2"/>
        <v>#REF!</v>
      </c>
      <c r="B121">
        <v>2251</v>
      </c>
      <c r="C121" s="1">
        <v>19.333705129477149</v>
      </c>
      <c r="D121" s="9">
        <v>18.325944444448375</v>
      </c>
      <c r="E121" s="1">
        <v>2.7718699999999998</v>
      </c>
      <c r="F121" s="1">
        <v>8.62181</v>
      </c>
      <c r="G121" s="1">
        <v>14.0008</v>
      </c>
      <c r="H121" s="1">
        <v>-5.8722300000000001</v>
      </c>
    </row>
    <row r="122" spans="1:8" x14ac:dyDescent="0.3">
      <c r="A122" t="e">
        <f t="shared" si="2"/>
        <v>#REF!</v>
      </c>
      <c r="B122">
        <v>2301</v>
      </c>
      <c r="C122" s="1">
        <v>19.578869463678469</v>
      </c>
      <c r="D122" s="9">
        <v>18.373166666670684</v>
      </c>
      <c r="E122" s="1">
        <v>2.8953000000000002</v>
      </c>
      <c r="F122" s="1">
        <v>8.7105300000000003</v>
      </c>
      <c r="G122" s="1">
        <v>13.8695</v>
      </c>
      <c r="H122" s="1">
        <v>-5.0190700000000001</v>
      </c>
    </row>
    <row r="123" spans="1:8" x14ac:dyDescent="0.3">
      <c r="A123" t="e">
        <f t="shared" si="2"/>
        <v>#REF!</v>
      </c>
      <c r="B123">
        <v>2351</v>
      </c>
      <c r="C123" s="1">
        <v>19.976143596404011</v>
      </c>
      <c r="D123" s="9">
        <v>18.420388888892994</v>
      </c>
      <c r="E123" s="1">
        <v>2.8764099999999999</v>
      </c>
      <c r="F123" s="1">
        <v>8.5395699999999994</v>
      </c>
      <c r="G123" s="1">
        <v>13.8462</v>
      </c>
      <c r="H123" s="1">
        <v>-4.0236000000000001</v>
      </c>
    </row>
    <row r="124" spans="1:8" x14ac:dyDescent="0.3">
      <c r="A124" t="e">
        <f t="shared" si="2"/>
        <v>#REF!</v>
      </c>
      <c r="B124">
        <v>2401</v>
      </c>
      <c r="C124" s="1">
        <v>20.428607523884899</v>
      </c>
      <c r="D124" s="9">
        <v>18.467611111115303</v>
      </c>
      <c r="E124" s="1">
        <v>2.8289200000000001</v>
      </c>
      <c r="F124" s="1">
        <v>8.2152700000000003</v>
      </c>
      <c r="G124" s="1">
        <v>13.809699999999999</v>
      </c>
      <c r="H124" s="1">
        <v>-2.9531200000000002</v>
      </c>
    </row>
    <row r="125" spans="1:8" x14ac:dyDescent="0.3">
      <c r="A125" t="e">
        <f t="shared" si="2"/>
        <v>#REF!</v>
      </c>
      <c r="B125">
        <v>2451</v>
      </c>
      <c r="C125" s="1">
        <v>21.065903671711251</v>
      </c>
      <c r="D125" s="9">
        <v>18.514833333337613</v>
      </c>
      <c r="E125" s="1">
        <v>2.8329900000000001</v>
      </c>
      <c r="F125" s="1">
        <v>7.91594</v>
      </c>
      <c r="G125" s="1">
        <v>13.6691</v>
      </c>
      <c r="H125" s="1">
        <v>-1.83064</v>
      </c>
    </row>
    <row r="126" spans="1:8" x14ac:dyDescent="0.3">
      <c r="A126">
        <f t="shared" si="2"/>
        <v>1</v>
      </c>
      <c r="B126">
        <v>2501</v>
      </c>
      <c r="C126" s="1">
        <v>21.567727262439181</v>
      </c>
      <c r="D126" s="9">
        <v>18.562055555559922</v>
      </c>
      <c r="E126" s="1">
        <v>2.6626099999999999</v>
      </c>
      <c r="F126" s="1">
        <v>7.8422700000000001</v>
      </c>
      <c r="G126" s="1">
        <v>13.637</v>
      </c>
      <c r="H126" s="1">
        <v>-0.64507999999999999</v>
      </c>
    </row>
    <row r="127" spans="1:8" x14ac:dyDescent="0.3">
      <c r="A127" t="e">
        <f t="shared" si="2"/>
        <v>#REF!</v>
      </c>
      <c r="B127">
        <v>2551</v>
      </c>
      <c r="C127" s="1">
        <v>22.054318504317379</v>
      </c>
      <c r="D127" s="9">
        <v>18.609277777782232</v>
      </c>
      <c r="E127" s="1">
        <v>2.1337199999999998</v>
      </c>
      <c r="F127" s="1">
        <v>8.0845900000000004</v>
      </c>
      <c r="G127" s="1">
        <v>13.8819</v>
      </c>
      <c r="H127" s="1">
        <v>0.60528499999999996</v>
      </c>
    </row>
    <row r="128" spans="1:8" x14ac:dyDescent="0.3">
      <c r="A128" t="e">
        <f t="shared" si="2"/>
        <v>#REF!</v>
      </c>
      <c r="B128">
        <v>2601</v>
      </c>
      <c r="C128" s="1">
        <v>22.420478695225839</v>
      </c>
      <c r="D128" s="9">
        <v>18.656500000004542</v>
      </c>
      <c r="E128" s="1">
        <v>1.4273</v>
      </c>
      <c r="F128" s="1">
        <v>8.3404199999999999</v>
      </c>
      <c r="G128" s="1">
        <v>14.203200000000001</v>
      </c>
      <c r="H128" s="1">
        <v>1.86619</v>
      </c>
    </row>
    <row r="129" spans="1:8" x14ac:dyDescent="0.3">
      <c r="A129" t="e">
        <f t="shared" si="2"/>
        <v>#REF!</v>
      </c>
      <c r="B129">
        <v>2651</v>
      </c>
      <c r="C129" s="1">
        <v>22.775781008768679</v>
      </c>
      <c r="D129" s="9">
        <v>18.703722222226851</v>
      </c>
      <c r="E129" s="1">
        <v>0.81415499999999996</v>
      </c>
      <c r="F129" s="1">
        <v>8.3237699999999997</v>
      </c>
      <c r="G129" s="1">
        <v>14.356999999999999</v>
      </c>
      <c r="H129" s="1">
        <v>3.0663</v>
      </c>
    </row>
    <row r="130" spans="1:8" x14ac:dyDescent="0.3">
      <c r="A130" t="e">
        <f t="shared" si="2"/>
        <v>#REF!</v>
      </c>
      <c r="B130">
        <v>2701</v>
      </c>
      <c r="C130" s="1">
        <v>23.22093965341951</v>
      </c>
      <c r="D130" s="9">
        <v>18.750944444449161</v>
      </c>
      <c r="E130" s="1">
        <v>0.606653</v>
      </c>
      <c r="F130" s="1">
        <v>8.0892999999999997</v>
      </c>
      <c r="G130" s="1">
        <v>14.217599999999999</v>
      </c>
      <c r="H130" s="1">
        <v>4.1166200000000002</v>
      </c>
    </row>
    <row r="131" spans="1:8" x14ac:dyDescent="0.3">
      <c r="A131" t="e">
        <f t="shared" si="2"/>
        <v>#REF!</v>
      </c>
      <c r="B131">
        <v>2751</v>
      </c>
      <c r="C131" s="1">
        <v>23.683236005569022</v>
      </c>
      <c r="D131" s="9">
        <v>18.79816666667147</v>
      </c>
      <c r="E131" s="1">
        <v>0.99981500000000001</v>
      </c>
      <c r="F131" s="1">
        <v>7.81968</v>
      </c>
      <c r="G131" s="1">
        <v>13.7719</v>
      </c>
      <c r="H131" s="1">
        <v>4.9346199999999998</v>
      </c>
    </row>
    <row r="132" spans="1:8" x14ac:dyDescent="0.3">
      <c r="A132" t="e">
        <f t="shared" si="2"/>
        <v>#REF!</v>
      </c>
      <c r="B132">
        <v>2801</v>
      </c>
      <c r="C132" s="1">
        <v>24.009634225838418</v>
      </c>
      <c r="D132" s="9">
        <v>18.84538888889378</v>
      </c>
      <c r="E132" s="1">
        <v>1.7625599999999999</v>
      </c>
      <c r="F132" s="1">
        <v>7.8860299999999999</v>
      </c>
      <c r="G132" s="1">
        <v>13.3033</v>
      </c>
      <c r="H132" s="1">
        <v>5.4717900000000004</v>
      </c>
    </row>
    <row r="133" spans="1:8" x14ac:dyDescent="0.3">
      <c r="A133" t="e">
        <f t="shared" si="2"/>
        <v>#REF!</v>
      </c>
      <c r="B133">
        <v>2851</v>
      </c>
      <c r="C133" s="1">
        <v>24.22</v>
      </c>
      <c r="D133" s="9">
        <v>18.892611111116089</v>
      </c>
      <c r="E133" s="1">
        <v>2.5772900000000001</v>
      </c>
      <c r="F133" s="1">
        <v>8.5730500000000003</v>
      </c>
      <c r="G133" s="1">
        <v>13.1244</v>
      </c>
      <c r="H133" s="1">
        <v>5.7440199999999999</v>
      </c>
    </row>
    <row r="134" spans="1:8" x14ac:dyDescent="0.3">
      <c r="A134" t="e">
        <f t="shared" si="2"/>
        <v>#REF!</v>
      </c>
      <c r="B134">
        <v>2901</v>
      </c>
      <c r="C134" s="1">
        <v>24.294809964493261</v>
      </c>
      <c r="D134" s="9">
        <v>18.939833333338399</v>
      </c>
      <c r="E134" s="1">
        <v>3.1375199999999999</v>
      </c>
      <c r="F134" s="1">
        <v>9.7384000000000004</v>
      </c>
      <c r="G134" s="1">
        <v>13.4375</v>
      </c>
      <c r="H134" s="1">
        <v>5.9583399999999997</v>
      </c>
    </row>
    <row r="135" spans="1:8" x14ac:dyDescent="0.3">
      <c r="A135" t="e">
        <f t="shared" si="2"/>
        <v>#REF!</v>
      </c>
      <c r="B135">
        <v>2951</v>
      </c>
      <c r="C135" s="1">
        <v>24.147261627766529</v>
      </c>
      <c r="D135" s="9">
        <v>18.987055555560708</v>
      </c>
      <c r="E135" s="1">
        <v>3.29372</v>
      </c>
      <c r="F135" s="1">
        <v>11.121600000000001</v>
      </c>
      <c r="G135" s="1">
        <v>14.3231</v>
      </c>
      <c r="H135" s="1">
        <v>6.2832299999999996</v>
      </c>
    </row>
    <row r="136" spans="1:8" x14ac:dyDescent="0.3">
      <c r="A136" t="e">
        <f t="shared" si="2"/>
        <v>#REF!</v>
      </c>
      <c r="B136">
        <v>3001</v>
      </c>
      <c r="C136" s="1">
        <v>24</v>
      </c>
      <c r="D136" s="9">
        <v>19.034277777783018</v>
      </c>
      <c r="E136" s="1">
        <v>3.41554</v>
      </c>
      <c r="F136" s="1">
        <v>12.3673</v>
      </c>
      <c r="G136" s="1">
        <v>15.5306</v>
      </c>
      <c r="H136" s="1">
        <v>6.6266999999999996</v>
      </c>
    </row>
    <row r="137" spans="1:8" x14ac:dyDescent="0.3">
      <c r="A137" t="e">
        <f t="shared" si="2"/>
        <v>#REF!</v>
      </c>
      <c r="B137">
        <v>3051</v>
      </c>
      <c r="C137" s="1">
        <v>23.85</v>
      </c>
      <c r="D137" s="9">
        <v>19.081500000005327</v>
      </c>
      <c r="E137" s="1">
        <v>3.8745400000000001</v>
      </c>
      <c r="F137" s="1">
        <v>13.1372</v>
      </c>
      <c r="G137" s="1">
        <v>16.737300000000001</v>
      </c>
      <c r="H137" s="1">
        <v>6.9128600000000002</v>
      </c>
    </row>
    <row r="138" spans="1:8" x14ac:dyDescent="0.3">
      <c r="A138" t="e">
        <f t="shared" si="2"/>
        <v>#REF!</v>
      </c>
      <c r="B138">
        <v>3101</v>
      </c>
      <c r="C138" s="1">
        <v>23.54011853676289</v>
      </c>
      <c r="D138" s="9">
        <v>19.128722222227637</v>
      </c>
      <c r="E138" s="1">
        <v>4.6800100000000002</v>
      </c>
      <c r="F138" s="1">
        <v>13.2286</v>
      </c>
      <c r="G138" s="1">
        <v>17.6157</v>
      </c>
      <c r="H138" s="1">
        <v>7.2961600000000004</v>
      </c>
    </row>
    <row r="139" spans="1:8" x14ac:dyDescent="0.3">
      <c r="A139" t="e">
        <f t="shared" si="2"/>
        <v>#REF!</v>
      </c>
      <c r="B139">
        <v>3151</v>
      </c>
      <c r="C139" s="1">
        <v>23.135773858775931</v>
      </c>
      <c r="D139" s="9">
        <v>19.175944444449947</v>
      </c>
      <c r="E139" s="1">
        <v>5.7246199999999998</v>
      </c>
      <c r="F139" s="1">
        <v>12.5953</v>
      </c>
      <c r="G139" s="1">
        <v>17.948599999999999</v>
      </c>
      <c r="H139" s="1">
        <v>7.9300300000000004</v>
      </c>
    </row>
    <row r="140" spans="1:8" x14ac:dyDescent="0.3">
      <c r="A140" t="e">
        <f t="shared" si="2"/>
        <v>#REF!</v>
      </c>
      <c r="B140">
        <v>3201</v>
      </c>
      <c r="C140" s="1">
        <v>22.785257901789521</v>
      </c>
      <c r="D140" s="9">
        <v>19.223166666672256</v>
      </c>
      <c r="E140" s="1">
        <v>6.78782</v>
      </c>
      <c r="F140" s="1">
        <v>11.549899999999999</v>
      </c>
      <c r="G140" s="1">
        <v>17.834800000000001</v>
      </c>
      <c r="H140" s="1">
        <v>8.8289500000000007</v>
      </c>
    </row>
    <row r="141" spans="1:8" x14ac:dyDescent="0.3">
      <c r="A141" t="e">
        <f t="shared" ref="A141:A147" si="3">A91</f>
        <v>#REF!</v>
      </c>
      <c r="B141">
        <v>3251</v>
      </c>
      <c r="C141" s="1">
        <v>22.414665546103151</v>
      </c>
      <c r="D141" s="9">
        <v>19.270388888894566</v>
      </c>
      <c r="E141" s="1">
        <v>7.7114200000000004</v>
      </c>
      <c r="F141" s="1">
        <v>10.4514</v>
      </c>
      <c r="G141" s="1">
        <v>17.448399999999999</v>
      </c>
      <c r="H141" s="1">
        <v>9.9624699999999997</v>
      </c>
    </row>
    <row r="142" spans="1:8" x14ac:dyDescent="0.3">
      <c r="A142" t="e">
        <f t="shared" si="3"/>
        <v>#REF!</v>
      </c>
      <c r="B142">
        <v>3301</v>
      </c>
      <c r="C142" s="1">
        <v>22.002780060921641</v>
      </c>
      <c r="D142" s="9">
        <v>19.317611111116875</v>
      </c>
      <c r="E142" s="1">
        <v>8.6691299999999991</v>
      </c>
      <c r="F142" s="1">
        <v>9.7718000000000007</v>
      </c>
      <c r="G142" s="1">
        <v>17.069800000000001</v>
      </c>
      <c r="H142" s="1">
        <v>11.2629</v>
      </c>
    </row>
    <row r="143" spans="1:8" x14ac:dyDescent="0.3">
      <c r="A143" t="e">
        <f t="shared" si="3"/>
        <v>#REF!</v>
      </c>
      <c r="B143">
        <v>3351</v>
      </c>
      <c r="C143" s="1">
        <v>21.679443844262771</v>
      </c>
      <c r="D143" s="9">
        <v>19.364833333339185</v>
      </c>
      <c r="E143" s="1">
        <v>10.1195</v>
      </c>
      <c r="F143" s="1">
        <v>10.5687</v>
      </c>
      <c r="G143" s="1">
        <v>17.1402</v>
      </c>
      <c r="H143" s="1">
        <v>12.69</v>
      </c>
    </row>
    <row r="144" spans="1:8" x14ac:dyDescent="0.3">
      <c r="A144" t="e">
        <f t="shared" si="3"/>
        <v>#REF!</v>
      </c>
      <c r="B144">
        <v>3401</v>
      </c>
      <c r="C144" s="1">
        <v>21.35554212711591</v>
      </c>
      <c r="D144" s="9">
        <v>19.412055555561494</v>
      </c>
      <c r="E144" s="1">
        <v>11.880699999999999</v>
      </c>
      <c r="F144" s="1">
        <v>12.0969</v>
      </c>
      <c r="G144" s="1">
        <v>17.411999999999999</v>
      </c>
      <c r="H144" s="1">
        <v>14.111599999999999</v>
      </c>
    </row>
    <row r="145" spans="1:8" x14ac:dyDescent="0.3">
      <c r="A145" t="e">
        <f t="shared" si="3"/>
        <v>#REF!</v>
      </c>
      <c r="B145">
        <v>3451</v>
      </c>
      <c r="C145" s="1">
        <v>20.91047028384763</v>
      </c>
      <c r="D145" s="9">
        <v>19.459277777783804</v>
      </c>
      <c r="E145" s="1">
        <v>13.758100000000001</v>
      </c>
      <c r="F145" s="1">
        <v>13.8605</v>
      </c>
      <c r="G145" s="1">
        <v>17.822900000000001</v>
      </c>
      <c r="H145" s="1">
        <v>15.509600000000001</v>
      </c>
    </row>
    <row r="146" spans="1:8" x14ac:dyDescent="0.3">
      <c r="A146" t="e">
        <f t="shared" si="3"/>
        <v>#REF!</v>
      </c>
      <c r="B146">
        <v>3501</v>
      </c>
      <c r="C146" s="1">
        <v>20.410460382912511</v>
      </c>
      <c r="D146" s="9">
        <v>19.506500000006113</v>
      </c>
      <c r="E146" s="1">
        <v>15.692</v>
      </c>
      <c r="F146" s="1">
        <v>15.735900000000001</v>
      </c>
      <c r="G146" s="1">
        <v>18.343699999999998</v>
      </c>
      <c r="H146" s="1">
        <v>16.8919</v>
      </c>
    </row>
    <row r="147" spans="1:8" x14ac:dyDescent="0.3">
      <c r="A147" t="e">
        <f t="shared" si="3"/>
        <v>#REF!</v>
      </c>
      <c r="B147">
        <v>3551</v>
      </c>
      <c r="C147" s="1">
        <v>20.024103167316952</v>
      </c>
      <c r="D147" s="9">
        <v>19.553722222228423</v>
      </c>
      <c r="E147" s="1">
        <v>17.6568</v>
      </c>
      <c r="F147" s="1">
        <v>17.6706</v>
      </c>
      <c r="G147" s="1">
        <v>18.946999999999999</v>
      </c>
      <c r="H147" s="1">
        <v>18.263500000000001</v>
      </c>
    </row>
    <row r="148" spans="1:8" x14ac:dyDescent="0.3">
      <c r="A148">
        <v>2</v>
      </c>
      <c r="B148">
        <v>2</v>
      </c>
      <c r="C148" s="1">
        <v>16.202309940171329</v>
      </c>
      <c r="D148" s="9">
        <v>16.201888888888892</v>
      </c>
      <c r="E148" s="1">
        <v>16.125699999999998</v>
      </c>
      <c r="F148" s="1">
        <v>16.120699999999999</v>
      </c>
      <c r="G148" s="1">
        <v>16.1752</v>
      </c>
      <c r="H148" s="1">
        <v>16.125499999999999</v>
      </c>
    </row>
    <row r="149" spans="1:8" x14ac:dyDescent="0.3">
      <c r="A149" t="e">
        <f t="shared" ref="A149:A180" si="4">A99</f>
        <v>#REF!</v>
      </c>
      <c r="B149">
        <v>52</v>
      </c>
      <c r="C149" s="1">
        <v>16.182449805517461</v>
      </c>
      <c r="D149" s="9">
        <v>16.249111111111201</v>
      </c>
      <c r="E149" s="1">
        <v>14.2783</v>
      </c>
      <c r="F149" s="1">
        <v>14.1509</v>
      </c>
      <c r="G149" s="1">
        <v>15.5815</v>
      </c>
      <c r="H149" s="1">
        <v>14.2591</v>
      </c>
    </row>
    <row r="150" spans="1:8" x14ac:dyDescent="0.3">
      <c r="A150" t="e">
        <f t="shared" si="4"/>
        <v>#REF!</v>
      </c>
      <c r="B150">
        <v>102</v>
      </c>
      <c r="C150" s="1">
        <v>16.23</v>
      </c>
      <c r="D150" s="9">
        <v>16.296333333333511</v>
      </c>
      <c r="E150" s="1">
        <v>12.4566</v>
      </c>
      <c r="F150" s="1">
        <v>12.215</v>
      </c>
      <c r="G150" s="1">
        <v>15.0471</v>
      </c>
      <c r="H150" s="1">
        <v>12.3832</v>
      </c>
    </row>
    <row r="151" spans="1:8" x14ac:dyDescent="0.3">
      <c r="A151" t="e">
        <f t="shared" si="4"/>
        <v>#REF!</v>
      </c>
      <c r="B151">
        <v>152</v>
      </c>
      <c r="C151" s="1">
        <v>16.440000000000001</v>
      </c>
      <c r="D151" s="9">
        <v>16.34355555555582</v>
      </c>
      <c r="E151" s="1">
        <v>10.6724</v>
      </c>
      <c r="F151" s="1">
        <v>10.337400000000001</v>
      </c>
      <c r="G151" s="1">
        <v>14.586600000000001</v>
      </c>
      <c r="H151" s="1">
        <v>10.4971</v>
      </c>
    </row>
    <row r="152" spans="1:8" x14ac:dyDescent="0.3">
      <c r="A152">
        <f t="shared" si="4"/>
        <v>0</v>
      </c>
      <c r="B152">
        <v>202</v>
      </c>
      <c r="C152" s="1">
        <v>16.78791876231092</v>
      </c>
      <c r="D152" s="9">
        <v>16.39077777777813</v>
      </c>
      <c r="E152" s="1">
        <v>8.9468499999999995</v>
      </c>
      <c r="F152" s="1">
        <v>8.5689200000000003</v>
      </c>
      <c r="G152" s="1">
        <v>14.217700000000001</v>
      </c>
      <c r="H152" s="1">
        <v>8.6021099999999997</v>
      </c>
    </row>
    <row r="153" spans="1:8" x14ac:dyDescent="0.3">
      <c r="A153">
        <f t="shared" si="4"/>
        <v>0</v>
      </c>
      <c r="B153">
        <v>252</v>
      </c>
      <c r="C153" s="1">
        <v>16.87</v>
      </c>
      <c r="D153" s="9">
        <v>16.438000000000439</v>
      </c>
      <c r="E153" s="1">
        <v>7.3210199999999999</v>
      </c>
      <c r="F153" s="1">
        <v>7.0293200000000002</v>
      </c>
      <c r="G153" s="1">
        <v>13.9453</v>
      </c>
      <c r="H153" s="1">
        <v>6.7088200000000002</v>
      </c>
    </row>
    <row r="154" spans="1:8" x14ac:dyDescent="0.3">
      <c r="A154" t="e">
        <f t="shared" si="4"/>
        <v>#REF!</v>
      </c>
      <c r="B154">
        <v>302</v>
      </c>
      <c r="C154" s="1">
        <v>17.096803204676931</v>
      </c>
      <c r="D154" s="9">
        <v>16.485222222222749</v>
      </c>
      <c r="E154" s="1">
        <v>5.9675500000000001</v>
      </c>
      <c r="F154" s="1">
        <v>6.1992700000000003</v>
      </c>
      <c r="G154" s="1">
        <v>13.8108</v>
      </c>
      <c r="H154" s="1">
        <v>4.9923500000000001</v>
      </c>
    </row>
    <row r="155" spans="1:8" x14ac:dyDescent="0.3">
      <c r="A155" t="e">
        <f t="shared" si="4"/>
        <v>#REF!</v>
      </c>
      <c r="B155">
        <v>352</v>
      </c>
      <c r="C155" s="1">
        <v>17.301263280102539</v>
      </c>
      <c r="D155" s="9">
        <v>16.532444444445058</v>
      </c>
      <c r="E155" s="1">
        <v>5.1008699999999996</v>
      </c>
      <c r="F155" s="1">
        <v>6.4097900000000001</v>
      </c>
      <c r="G155" s="1">
        <v>13.989100000000001</v>
      </c>
      <c r="H155" s="1">
        <v>3.7953800000000002</v>
      </c>
    </row>
    <row r="156" spans="1:8" x14ac:dyDescent="0.3">
      <c r="A156" t="e">
        <f t="shared" si="4"/>
        <v>#REF!</v>
      </c>
      <c r="B156">
        <v>402</v>
      </c>
      <c r="C156" s="1">
        <v>17.510000000000002</v>
      </c>
      <c r="D156" s="9">
        <v>16.579666666667368</v>
      </c>
      <c r="E156" s="1">
        <v>4.5127499999999996</v>
      </c>
      <c r="F156" s="1">
        <v>6.7023000000000001</v>
      </c>
      <c r="G156" s="1">
        <v>14.0678</v>
      </c>
      <c r="H156" s="1">
        <v>2.9655399999999998</v>
      </c>
    </row>
    <row r="157" spans="1:8" x14ac:dyDescent="0.3">
      <c r="A157" t="e">
        <f t="shared" si="4"/>
        <v>#REF!</v>
      </c>
      <c r="B157">
        <v>452</v>
      </c>
      <c r="C157" s="1">
        <v>17.827363699102829</v>
      </c>
      <c r="D157" s="9">
        <v>16.626888888889678</v>
      </c>
      <c r="E157" s="1">
        <v>4.1238700000000001</v>
      </c>
      <c r="F157" s="1">
        <v>6.6844200000000003</v>
      </c>
      <c r="G157" s="1">
        <v>13.863099999999999</v>
      </c>
      <c r="H157" s="1">
        <v>2.4590700000000001</v>
      </c>
    </row>
    <row r="158" spans="1:8" x14ac:dyDescent="0.3">
      <c r="A158" t="e">
        <f t="shared" si="4"/>
        <v>#REF!</v>
      </c>
      <c r="B158">
        <v>502</v>
      </c>
      <c r="C158" s="1">
        <v>17.984419425454941</v>
      </c>
      <c r="D158" s="9">
        <v>16.674111111111987</v>
      </c>
      <c r="E158" s="1">
        <v>3.6522199999999998</v>
      </c>
      <c r="F158" s="1">
        <v>6.2642800000000003</v>
      </c>
      <c r="G158" s="1">
        <v>13.519600000000001</v>
      </c>
      <c r="H158" s="1">
        <v>1.9900500000000001</v>
      </c>
    </row>
    <row r="159" spans="1:8" x14ac:dyDescent="0.3">
      <c r="A159" t="e">
        <f t="shared" si="4"/>
        <v>#REF!</v>
      </c>
      <c r="B159">
        <v>552</v>
      </c>
      <c r="C159" s="1">
        <v>18.182361710592179</v>
      </c>
      <c r="D159" s="9">
        <v>16.721333333334297</v>
      </c>
      <c r="E159" s="1">
        <v>2.8685</v>
      </c>
      <c r="F159" s="1">
        <v>5.4447700000000001</v>
      </c>
      <c r="G159" s="1">
        <v>13.1905</v>
      </c>
      <c r="H159" s="1">
        <v>1.3147200000000001</v>
      </c>
    </row>
    <row r="160" spans="1:8" x14ac:dyDescent="0.3">
      <c r="A160" t="e">
        <f t="shared" si="4"/>
        <v>#REF!</v>
      </c>
      <c r="B160">
        <v>602</v>
      </c>
      <c r="C160" s="1">
        <v>18.389793391213551</v>
      </c>
      <c r="D160" s="9">
        <v>16.768555555556606</v>
      </c>
      <c r="E160" s="1">
        <v>1.9458599999999999</v>
      </c>
      <c r="F160" s="1">
        <v>4.4227600000000002</v>
      </c>
      <c r="G160" s="1">
        <v>12.823600000000001</v>
      </c>
      <c r="H160" s="1">
        <v>0.58681499999999998</v>
      </c>
    </row>
    <row r="161" spans="1:8" x14ac:dyDescent="0.3">
      <c r="A161" t="e">
        <f t="shared" si="4"/>
        <v>#REF!</v>
      </c>
      <c r="B161">
        <v>652</v>
      </c>
      <c r="C161" s="1">
        <v>18.510000000000002</v>
      </c>
      <c r="D161" s="9">
        <v>16.815777777778916</v>
      </c>
      <c r="E161" s="1">
        <v>1.14479</v>
      </c>
      <c r="F161" s="1">
        <v>3.4388899999999998</v>
      </c>
      <c r="G161" s="1">
        <v>12.3932</v>
      </c>
      <c r="H161" s="1">
        <v>6.3875699999999994E-2</v>
      </c>
    </row>
    <row r="162" spans="1:8" x14ac:dyDescent="0.3">
      <c r="A162" t="e">
        <f t="shared" si="4"/>
        <v>#REF!</v>
      </c>
      <c r="B162">
        <v>702</v>
      </c>
      <c r="C162" s="1">
        <v>18.7</v>
      </c>
      <c r="D162" s="9">
        <v>16.863000000001225</v>
      </c>
      <c r="E162" s="1">
        <v>0.69040900000000005</v>
      </c>
      <c r="F162" s="1">
        <v>2.7046999999999999</v>
      </c>
      <c r="G162" s="1">
        <v>12.1289</v>
      </c>
      <c r="H162" s="1">
        <v>3.7471400000000002E-2</v>
      </c>
    </row>
    <row r="163" spans="1:8" x14ac:dyDescent="0.3">
      <c r="A163" t="e">
        <f t="shared" si="4"/>
        <v>#REF!</v>
      </c>
      <c r="B163">
        <v>752</v>
      </c>
      <c r="C163" s="1">
        <v>18.828025986020279</v>
      </c>
      <c r="D163" s="9">
        <v>16.910222222223535</v>
      </c>
      <c r="E163" s="1">
        <v>0.70106599999999997</v>
      </c>
      <c r="F163" s="1">
        <v>2.3266100000000001</v>
      </c>
      <c r="G163" s="1">
        <v>12.231</v>
      </c>
      <c r="H163" s="1">
        <v>0.67597600000000002</v>
      </c>
    </row>
    <row r="164" spans="1:8" x14ac:dyDescent="0.3">
      <c r="A164" t="e">
        <f t="shared" si="4"/>
        <v>#REF!</v>
      </c>
      <c r="B164">
        <v>802</v>
      </c>
      <c r="C164" s="1">
        <v>19.193985249237031</v>
      </c>
      <c r="D164" s="9">
        <v>16.957444444445844</v>
      </c>
      <c r="E164" s="1">
        <v>0.95840099999999995</v>
      </c>
      <c r="F164" s="1">
        <v>2.0759500000000002</v>
      </c>
      <c r="G164" s="1">
        <v>12.611599999999999</v>
      </c>
      <c r="H164" s="1">
        <v>1.70357</v>
      </c>
    </row>
    <row r="165" spans="1:8" x14ac:dyDescent="0.3">
      <c r="A165" t="e">
        <f t="shared" si="4"/>
        <v>#REF!</v>
      </c>
      <c r="B165">
        <v>852</v>
      </c>
      <c r="C165" s="1">
        <v>19.403227501411049</v>
      </c>
      <c r="D165" s="9">
        <v>17.004666666668154</v>
      </c>
      <c r="E165" s="1">
        <v>1.24315</v>
      </c>
      <c r="F165" s="1">
        <v>1.7709299999999999</v>
      </c>
      <c r="G165" s="1">
        <v>13.0847</v>
      </c>
      <c r="H165" s="1">
        <v>2.7469800000000002</v>
      </c>
    </row>
    <row r="166" spans="1:8" x14ac:dyDescent="0.3">
      <c r="A166" t="e">
        <f t="shared" si="4"/>
        <v>#REF!</v>
      </c>
      <c r="B166">
        <v>902</v>
      </c>
      <c r="C166" s="1">
        <v>19.700807840071281</v>
      </c>
      <c r="D166" s="9">
        <v>17.051888888890463</v>
      </c>
      <c r="E166" s="1">
        <v>1.5778399999999999</v>
      </c>
      <c r="F166" s="1">
        <v>1.6329199999999999</v>
      </c>
      <c r="G166" s="1">
        <v>13.341699999999999</v>
      </c>
      <c r="H166" s="1">
        <v>3.4228499999999999</v>
      </c>
    </row>
    <row r="167" spans="1:8" x14ac:dyDescent="0.3">
      <c r="A167" t="e">
        <f t="shared" si="4"/>
        <v>#REF!</v>
      </c>
      <c r="B167">
        <v>952</v>
      </c>
      <c r="C167" s="1">
        <v>19.997603075693512</v>
      </c>
      <c r="D167" s="9">
        <v>17.099111111112773</v>
      </c>
      <c r="E167" s="1">
        <v>1.98014</v>
      </c>
      <c r="F167" s="1">
        <v>1.87744</v>
      </c>
      <c r="G167" s="1">
        <v>13.181100000000001</v>
      </c>
      <c r="H167" s="1">
        <v>3.4805899999999999</v>
      </c>
    </row>
    <row r="168" spans="1:8" x14ac:dyDescent="0.3">
      <c r="A168" t="e">
        <f t="shared" si="4"/>
        <v>#REF!</v>
      </c>
      <c r="B168">
        <v>1002</v>
      </c>
      <c r="C168" s="1">
        <v>20.387692061459681</v>
      </c>
      <c r="D168" s="9">
        <v>17.146333333335082</v>
      </c>
      <c r="E168" s="1">
        <v>2.2756400000000001</v>
      </c>
      <c r="F168" s="1">
        <v>2.40829</v>
      </c>
      <c r="G168" s="1">
        <v>12.8576</v>
      </c>
      <c r="H168" s="1">
        <v>3.1269100000000001</v>
      </c>
    </row>
    <row r="169" spans="1:8" x14ac:dyDescent="0.3">
      <c r="A169" t="e">
        <f t="shared" si="4"/>
        <v>#REF!</v>
      </c>
      <c r="B169">
        <v>1052</v>
      </c>
      <c r="C169" s="1">
        <v>20.832172765452519</v>
      </c>
      <c r="D169" s="9">
        <v>17.193555555557392</v>
      </c>
      <c r="E169" s="1">
        <v>2.3330500000000001</v>
      </c>
      <c r="F169" s="1">
        <v>3.0270000000000001</v>
      </c>
      <c r="G169" s="1">
        <v>12.664199999999999</v>
      </c>
      <c r="H169" s="1">
        <v>2.68771</v>
      </c>
    </row>
    <row r="170" spans="1:8" x14ac:dyDescent="0.3">
      <c r="A170" t="e">
        <f t="shared" si="4"/>
        <v>#REF!</v>
      </c>
      <c r="B170">
        <v>1102</v>
      </c>
      <c r="C170" s="1">
        <v>21.203453666442101</v>
      </c>
      <c r="D170" s="9">
        <v>17.240777777779702</v>
      </c>
      <c r="E170" s="1">
        <v>2.3060800000000001</v>
      </c>
      <c r="F170" s="1">
        <v>3.4130500000000001</v>
      </c>
      <c r="G170" s="1">
        <v>12.6928</v>
      </c>
      <c r="H170" s="1">
        <v>2.5647600000000002</v>
      </c>
    </row>
    <row r="171" spans="1:8" x14ac:dyDescent="0.3">
      <c r="A171" t="e">
        <f t="shared" si="4"/>
        <v>#REF!</v>
      </c>
      <c r="B171">
        <v>1152</v>
      </c>
      <c r="C171" s="1">
        <v>21.52826529242363</v>
      </c>
      <c r="D171" s="9">
        <v>17.288000000002011</v>
      </c>
      <c r="E171" s="1">
        <v>2.3255400000000002</v>
      </c>
      <c r="F171" s="1">
        <v>3.3645800000000001</v>
      </c>
      <c r="G171" s="1">
        <v>12.9259</v>
      </c>
      <c r="H171" s="1">
        <v>3.0271699999999999</v>
      </c>
    </row>
    <row r="172" spans="1:8" x14ac:dyDescent="0.3">
      <c r="A172" t="e">
        <f t="shared" si="4"/>
        <v>#REF!</v>
      </c>
      <c r="B172">
        <v>1202</v>
      </c>
      <c r="C172" s="1">
        <v>21.955968547510238</v>
      </c>
      <c r="D172" s="9">
        <v>17.335222222224321</v>
      </c>
      <c r="E172" s="1">
        <v>2.2405200000000001</v>
      </c>
      <c r="F172" s="1">
        <v>3.1671900000000002</v>
      </c>
      <c r="G172" s="1">
        <v>13.120100000000001</v>
      </c>
      <c r="H172" s="1">
        <v>3.8443700000000001</v>
      </c>
    </row>
    <row r="173" spans="1:8" x14ac:dyDescent="0.3">
      <c r="A173" t="e">
        <f t="shared" si="4"/>
        <v>#REF!</v>
      </c>
      <c r="B173">
        <v>1252</v>
      </c>
      <c r="C173" s="1">
        <v>22.365587013901109</v>
      </c>
      <c r="D173" s="9">
        <v>17.38244444444663</v>
      </c>
      <c r="E173" s="1">
        <v>1.94767</v>
      </c>
      <c r="F173" s="1">
        <v>3.1316899999999999</v>
      </c>
      <c r="G173" s="1">
        <v>13.0936</v>
      </c>
      <c r="H173" s="1">
        <v>4.7038099999999998</v>
      </c>
    </row>
    <row r="174" spans="1:8" x14ac:dyDescent="0.3">
      <c r="A174" t="e">
        <f t="shared" si="4"/>
        <v>#REF!</v>
      </c>
      <c r="B174">
        <v>1302</v>
      </c>
      <c r="C174" s="1">
        <v>22.816905248347648</v>
      </c>
      <c r="D174" s="9">
        <v>17.42966666666894</v>
      </c>
      <c r="E174" s="1">
        <v>1.7042200000000001</v>
      </c>
      <c r="F174" s="1">
        <v>3.3085</v>
      </c>
      <c r="G174" s="1">
        <v>13.0342</v>
      </c>
      <c r="H174" s="1">
        <v>5.3696799999999998</v>
      </c>
    </row>
    <row r="175" spans="1:8" x14ac:dyDescent="0.3">
      <c r="A175" t="e">
        <f t="shared" si="4"/>
        <v>#REF!</v>
      </c>
      <c r="B175">
        <v>1352</v>
      </c>
      <c r="C175" s="1">
        <v>23.08697030678535</v>
      </c>
      <c r="D175" s="9">
        <v>17.476888888891249</v>
      </c>
      <c r="E175" s="1">
        <v>1.7629699999999999</v>
      </c>
      <c r="F175" s="1">
        <v>3.6620699999999999</v>
      </c>
      <c r="G175" s="1">
        <v>13.1122</v>
      </c>
      <c r="H175" s="1">
        <v>5.7123100000000004</v>
      </c>
    </row>
    <row r="176" spans="1:8" x14ac:dyDescent="0.3">
      <c r="A176">
        <f t="shared" si="4"/>
        <v>1</v>
      </c>
      <c r="B176">
        <v>1402</v>
      </c>
      <c r="C176" s="1">
        <v>23.22</v>
      </c>
      <c r="D176" s="9">
        <v>17.524111111113559</v>
      </c>
      <c r="E176" s="1">
        <v>2.1069300000000002</v>
      </c>
      <c r="F176" s="1">
        <v>4.0518200000000002</v>
      </c>
      <c r="G176" s="1">
        <v>13.1778</v>
      </c>
      <c r="H176" s="1">
        <v>5.9022800000000002</v>
      </c>
    </row>
    <row r="177" spans="1:8" x14ac:dyDescent="0.3">
      <c r="A177" t="e">
        <f t="shared" si="4"/>
        <v>#REF!</v>
      </c>
      <c r="B177">
        <v>1452</v>
      </c>
      <c r="C177" s="1">
        <v>23.26</v>
      </c>
      <c r="D177" s="9">
        <v>17.571333333335868</v>
      </c>
      <c r="E177" s="1">
        <v>2.61782</v>
      </c>
      <c r="F177" s="1">
        <v>4.3543000000000003</v>
      </c>
      <c r="G177" s="1">
        <v>13.103199999999999</v>
      </c>
      <c r="H177" s="1">
        <v>6.0874699999999997</v>
      </c>
    </row>
    <row r="178" spans="1:8" x14ac:dyDescent="0.3">
      <c r="A178" t="e">
        <f t="shared" si="4"/>
        <v>#REF!</v>
      </c>
      <c r="B178">
        <v>1502</v>
      </c>
      <c r="C178" s="1">
        <v>23.1106270142505</v>
      </c>
      <c r="D178" s="9">
        <v>17.618555555558178</v>
      </c>
      <c r="E178" s="1">
        <v>3.0278299999999998</v>
      </c>
      <c r="F178" s="1">
        <v>4.5766299999999998</v>
      </c>
      <c r="G178" s="1">
        <v>13.057700000000001</v>
      </c>
      <c r="H178" s="1">
        <v>6.1326000000000001</v>
      </c>
    </row>
    <row r="179" spans="1:8" x14ac:dyDescent="0.3">
      <c r="A179" t="e">
        <f t="shared" si="4"/>
        <v>#REF!</v>
      </c>
      <c r="B179">
        <v>1552</v>
      </c>
      <c r="C179" s="1">
        <v>22.853680631591072</v>
      </c>
      <c r="D179" s="9">
        <v>17.665777777780487</v>
      </c>
      <c r="E179" s="1">
        <v>3.1831399999999999</v>
      </c>
      <c r="F179" s="1">
        <v>4.8013500000000002</v>
      </c>
      <c r="G179" s="1">
        <v>13.1835</v>
      </c>
      <c r="H179" s="1">
        <v>5.8863399999999997</v>
      </c>
    </row>
    <row r="180" spans="1:8" x14ac:dyDescent="0.3">
      <c r="A180" t="e">
        <f t="shared" si="4"/>
        <v>#REF!</v>
      </c>
      <c r="B180">
        <v>1602</v>
      </c>
      <c r="C180" s="1">
        <v>22.492552828062969</v>
      </c>
      <c r="D180" s="9">
        <v>17.713000000002797</v>
      </c>
      <c r="E180" s="1">
        <v>3.41465</v>
      </c>
      <c r="F180" s="1">
        <v>5.2713799999999997</v>
      </c>
      <c r="G180" s="1">
        <v>13.3254</v>
      </c>
      <c r="H180" s="1">
        <v>5.3387200000000004</v>
      </c>
    </row>
    <row r="181" spans="1:8" x14ac:dyDescent="0.3">
      <c r="A181" t="e">
        <f t="shared" ref="A181:A212" si="5">A131</f>
        <v>#REF!</v>
      </c>
      <c r="B181">
        <v>1652</v>
      </c>
      <c r="C181" s="1">
        <v>22.066159355629321</v>
      </c>
      <c r="D181" s="9">
        <v>17.760222222225106</v>
      </c>
      <c r="E181" s="1">
        <v>4.0192699999999997</v>
      </c>
      <c r="F181" s="1">
        <v>6.1496300000000002</v>
      </c>
      <c r="G181" s="1">
        <v>13.347099999999999</v>
      </c>
      <c r="H181" s="1">
        <v>4.5248799999999996</v>
      </c>
    </row>
    <row r="182" spans="1:8" x14ac:dyDescent="0.3">
      <c r="A182" t="e">
        <f t="shared" si="5"/>
        <v>#REF!</v>
      </c>
      <c r="B182">
        <v>1702</v>
      </c>
      <c r="C182" s="1">
        <v>21.66112853101717</v>
      </c>
      <c r="D182" s="9">
        <v>17.807444444447416</v>
      </c>
      <c r="E182" s="1">
        <v>4.8454800000000002</v>
      </c>
      <c r="F182" s="1">
        <v>7.2224199999999996</v>
      </c>
      <c r="G182" s="1">
        <v>13.3794</v>
      </c>
      <c r="H182" s="1">
        <v>3.5323000000000002</v>
      </c>
    </row>
    <row r="183" spans="1:8" x14ac:dyDescent="0.3">
      <c r="A183" t="e">
        <f t="shared" si="5"/>
        <v>#REF!</v>
      </c>
      <c r="B183">
        <v>1752</v>
      </c>
      <c r="C183" s="1">
        <v>21.257109335467241</v>
      </c>
      <c r="D183" s="9">
        <v>17.854666666669726</v>
      </c>
      <c r="E183" s="1">
        <v>5.6117900000000001</v>
      </c>
      <c r="F183" s="1">
        <v>8.2060300000000002</v>
      </c>
      <c r="G183" s="1">
        <v>13.526</v>
      </c>
      <c r="H183" s="1">
        <v>2.4477899999999999</v>
      </c>
    </row>
    <row r="184" spans="1:8" x14ac:dyDescent="0.3">
      <c r="A184" t="e">
        <f t="shared" si="5"/>
        <v>#REF!</v>
      </c>
      <c r="B184">
        <v>1802</v>
      </c>
      <c r="C184" s="1">
        <v>20.897917547273071</v>
      </c>
      <c r="D184" s="9">
        <v>17.901888888892035</v>
      </c>
      <c r="E184" s="1">
        <v>5.9144100000000002</v>
      </c>
      <c r="F184" s="1">
        <v>8.8432700000000004</v>
      </c>
      <c r="G184" s="1">
        <v>13.6183</v>
      </c>
      <c r="H184" s="1">
        <v>1.3204400000000001</v>
      </c>
    </row>
    <row r="185" spans="1:8" x14ac:dyDescent="0.3">
      <c r="A185" t="e">
        <f t="shared" si="5"/>
        <v>#REF!</v>
      </c>
      <c r="B185">
        <v>1852</v>
      </c>
      <c r="C185" s="1">
        <v>20.53885851315092</v>
      </c>
      <c r="D185" s="9">
        <v>17.949111111114345</v>
      </c>
      <c r="E185" s="1">
        <v>5.4908799999999998</v>
      </c>
      <c r="F185" s="1">
        <v>9.0095600000000005</v>
      </c>
      <c r="G185" s="1">
        <v>13.5268</v>
      </c>
      <c r="H185" s="1">
        <v>0.17102800000000001</v>
      </c>
    </row>
    <row r="186" spans="1:8" x14ac:dyDescent="0.3">
      <c r="A186" t="e">
        <f t="shared" si="5"/>
        <v>#REF!</v>
      </c>
      <c r="B186">
        <v>1902</v>
      </c>
      <c r="C186" s="1">
        <v>20.13183874083289</v>
      </c>
      <c r="D186" s="9">
        <v>17.996333333336654</v>
      </c>
      <c r="E186" s="1">
        <v>4.6275000000000004</v>
      </c>
      <c r="F186" s="1">
        <v>8.9984300000000008</v>
      </c>
      <c r="G186" s="1">
        <v>13.4352</v>
      </c>
      <c r="H186" s="1">
        <v>-1.0470600000000001</v>
      </c>
    </row>
    <row r="187" spans="1:8" x14ac:dyDescent="0.3">
      <c r="A187" t="e">
        <f t="shared" si="5"/>
        <v>#REF!</v>
      </c>
      <c r="B187">
        <v>1952</v>
      </c>
      <c r="C187" s="1">
        <v>19.790872311024021</v>
      </c>
      <c r="D187" s="9">
        <v>18.043555555558964</v>
      </c>
      <c r="E187" s="1">
        <v>3.7062200000000001</v>
      </c>
      <c r="F187" s="1">
        <v>9.06935</v>
      </c>
      <c r="G187" s="1">
        <v>13.5059</v>
      </c>
      <c r="H187" s="1">
        <v>-2.35392</v>
      </c>
    </row>
    <row r="188" spans="1:8" x14ac:dyDescent="0.3">
      <c r="A188" t="e">
        <f t="shared" si="5"/>
        <v>#REF!</v>
      </c>
      <c r="B188">
        <v>2002</v>
      </c>
      <c r="C188" s="1">
        <v>19.504011486136989</v>
      </c>
      <c r="D188" s="9">
        <v>18.090777777781273</v>
      </c>
      <c r="E188" s="1">
        <v>3.05274</v>
      </c>
      <c r="F188" s="1">
        <v>9.0892599999999995</v>
      </c>
      <c r="G188" s="1">
        <v>13.621600000000001</v>
      </c>
      <c r="H188" s="1">
        <v>-3.6382099999999999</v>
      </c>
    </row>
    <row r="189" spans="1:8" x14ac:dyDescent="0.3">
      <c r="A189" t="e">
        <f t="shared" si="5"/>
        <v>#REF!</v>
      </c>
      <c r="B189">
        <v>2052</v>
      </c>
      <c r="C189" s="1">
        <v>19.311520032811661</v>
      </c>
      <c r="D189" s="9">
        <v>18.138000000003583</v>
      </c>
      <c r="E189" s="1">
        <v>2.8441800000000002</v>
      </c>
      <c r="F189" s="1">
        <v>8.9206400000000006</v>
      </c>
      <c r="G189" s="1">
        <v>13.6732</v>
      </c>
      <c r="H189" s="1">
        <v>-4.7749600000000001</v>
      </c>
    </row>
    <row r="190" spans="1:8" x14ac:dyDescent="0.3">
      <c r="A190" t="e">
        <f t="shared" si="5"/>
        <v>#REF!</v>
      </c>
      <c r="B190">
        <v>2102</v>
      </c>
      <c r="C190" s="1">
        <v>19.200019061989579</v>
      </c>
      <c r="D190" s="9">
        <v>18.185222222225892</v>
      </c>
      <c r="E190" s="1">
        <v>2.8105699999999998</v>
      </c>
      <c r="F190" s="1">
        <v>8.67347</v>
      </c>
      <c r="G190" s="1">
        <v>13.7638</v>
      </c>
      <c r="H190" s="1">
        <v>-5.6816700000000004</v>
      </c>
    </row>
    <row r="191" spans="1:8" x14ac:dyDescent="0.3">
      <c r="A191" t="e">
        <f t="shared" si="5"/>
        <v>#REF!</v>
      </c>
      <c r="B191">
        <v>2152</v>
      </c>
      <c r="C191" s="1">
        <v>19.199786602226549</v>
      </c>
      <c r="D191" s="9">
        <v>18.232444444448202</v>
      </c>
      <c r="E191" s="1">
        <v>2.7055400000000001</v>
      </c>
      <c r="F191" s="1">
        <v>8.49282</v>
      </c>
      <c r="G191" s="1">
        <v>13.9625</v>
      </c>
      <c r="H191" s="1">
        <v>-6.26248</v>
      </c>
    </row>
    <row r="192" spans="1:8" x14ac:dyDescent="0.3">
      <c r="A192" t="e">
        <f t="shared" si="5"/>
        <v>#REF!</v>
      </c>
      <c r="B192">
        <v>2202</v>
      </c>
      <c r="C192" s="1">
        <v>19.178853924435799</v>
      </c>
      <c r="D192" s="9">
        <v>18.279666666670511</v>
      </c>
      <c r="E192" s="1">
        <v>2.6554700000000002</v>
      </c>
      <c r="F192" s="1">
        <v>8.4737100000000005</v>
      </c>
      <c r="G192" s="1">
        <v>14.086600000000001</v>
      </c>
      <c r="H192" s="1">
        <v>-6.3503600000000002</v>
      </c>
    </row>
    <row r="193" spans="1:8" x14ac:dyDescent="0.3">
      <c r="A193" t="e">
        <f t="shared" si="5"/>
        <v>#REF!</v>
      </c>
      <c r="B193">
        <v>2252</v>
      </c>
      <c r="C193" s="1">
        <v>19.341642424843752</v>
      </c>
      <c r="D193" s="9">
        <v>18.326888888892821</v>
      </c>
      <c r="E193" s="1">
        <v>2.7750300000000001</v>
      </c>
      <c r="F193" s="1">
        <v>8.6251499999999997</v>
      </c>
      <c r="G193" s="1">
        <v>13.9979</v>
      </c>
      <c r="H193" s="1">
        <v>-5.8578799999999998</v>
      </c>
    </row>
    <row r="194" spans="1:8" x14ac:dyDescent="0.3">
      <c r="A194" t="e">
        <f t="shared" si="5"/>
        <v>#REF!</v>
      </c>
      <c r="B194">
        <v>2302</v>
      </c>
      <c r="C194" s="1">
        <v>19.591161019379701</v>
      </c>
      <c r="D194" s="9">
        <v>18.374111111115131</v>
      </c>
      <c r="E194" s="1">
        <v>2.8963000000000001</v>
      </c>
      <c r="F194" s="1">
        <v>8.7097300000000004</v>
      </c>
      <c r="G194" s="1">
        <v>13.868</v>
      </c>
      <c r="H194" s="1">
        <v>-5.0001100000000003</v>
      </c>
    </row>
    <row r="195" spans="1:8" x14ac:dyDescent="0.3">
      <c r="A195" t="e">
        <f t="shared" si="5"/>
        <v>#REF!</v>
      </c>
      <c r="B195">
        <v>2352</v>
      </c>
      <c r="C195" s="1">
        <v>19.982121857656232</v>
      </c>
      <c r="D195" s="9">
        <v>18.42133333333744</v>
      </c>
      <c r="E195" s="1">
        <v>2.8751699999999998</v>
      </c>
      <c r="F195" s="1">
        <v>8.5340100000000003</v>
      </c>
      <c r="G195" s="1">
        <v>13.8462</v>
      </c>
      <c r="H195" s="1">
        <v>-4.0028199999999998</v>
      </c>
    </row>
    <row r="196" spans="1:8" x14ac:dyDescent="0.3">
      <c r="A196" t="e">
        <f t="shared" si="5"/>
        <v>#REF!</v>
      </c>
      <c r="B196">
        <v>2402</v>
      </c>
      <c r="C196" s="1">
        <v>20.440400506458921</v>
      </c>
      <c r="D196" s="9">
        <v>18.46855555555975</v>
      </c>
      <c r="E196" s="1">
        <v>2.8288199999999999</v>
      </c>
      <c r="F196" s="1">
        <v>8.2083999999999993</v>
      </c>
      <c r="G196" s="1">
        <v>13.807600000000001</v>
      </c>
      <c r="H196" s="1">
        <v>-2.9311699999999998</v>
      </c>
    </row>
    <row r="197" spans="1:8" x14ac:dyDescent="0.3">
      <c r="A197" t="e">
        <f t="shared" si="5"/>
        <v>#REF!</v>
      </c>
      <c r="B197">
        <v>2452</v>
      </c>
      <c r="C197" s="1">
        <v>21.077410178779068</v>
      </c>
      <c r="D197" s="9">
        <v>18.515777777782059</v>
      </c>
      <c r="E197" s="1">
        <v>2.8322600000000002</v>
      </c>
      <c r="F197" s="1">
        <v>7.9115700000000002</v>
      </c>
      <c r="G197" s="1">
        <v>13.666499999999999</v>
      </c>
      <c r="H197" s="1">
        <v>-1.8076099999999999</v>
      </c>
    </row>
    <row r="198" spans="1:8" x14ac:dyDescent="0.3">
      <c r="A198">
        <f t="shared" si="5"/>
        <v>2</v>
      </c>
      <c r="B198">
        <v>2502</v>
      </c>
      <c r="C198" s="1">
        <v>21.58052068159493</v>
      </c>
      <c r="D198" s="9">
        <v>18.563000000004369</v>
      </c>
      <c r="E198" s="1">
        <v>2.65544</v>
      </c>
      <c r="F198" s="1">
        <v>7.8444900000000004</v>
      </c>
      <c r="G198" s="1">
        <v>13.6394</v>
      </c>
      <c r="H198" s="1">
        <v>-0.62060300000000002</v>
      </c>
    </row>
    <row r="199" spans="1:8" x14ac:dyDescent="0.3">
      <c r="A199" t="e">
        <f t="shared" si="5"/>
        <v>#REF!</v>
      </c>
      <c r="B199">
        <v>2552</v>
      </c>
      <c r="C199" s="1">
        <v>22.06280048775702</v>
      </c>
      <c r="D199" s="9">
        <v>18.610222222226678</v>
      </c>
      <c r="E199" s="1">
        <v>2.1204700000000001</v>
      </c>
      <c r="F199" s="1">
        <v>8.0908599999999993</v>
      </c>
      <c r="G199" s="1">
        <v>13.888500000000001</v>
      </c>
      <c r="H199" s="1">
        <v>0.63061999999999996</v>
      </c>
    </row>
    <row r="200" spans="1:8" x14ac:dyDescent="0.3">
      <c r="A200" t="e">
        <f t="shared" si="5"/>
        <v>#REF!</v>
      </c>
      <c r="B200">
        <v>2602</v>
      </c>
      <c r="C200" s="1">
        <v>22.427992944120309</v>
      </c>
      <c r="D200" s="9">
        <v>18.657444444448988</v>
      </c>
      <c r="E200" s="1">
        <v>1.4131400000000001</v>
      </c>
      <c r="F200" s="1">
        <v>8.3430400000000002</v>
      </c>
      <c r="G200" s="1">
        <v>14.208500000000001</v>
      </c>
      <c r="H200" s="1">
        <v>1.89106</v>
      </c>
    </row>
    <row r="201" spans="1:8" x14ac:dyDescent="0.3">
      <c r="A201" t="e">
        <f t="shared" si="5"/>
        <v>#REF!</v>
      </c>
      <c r="B201">
        <v>2652</v>
      </c>
      <c r="C201" s="1">
        <v>22.790770141647339</v>
      </c>
      <c r="D201" s="9">
        <v>18.704666666671297</v>
      </c>
      <c r="E201" s="1">
        <v>0.80496000000000001</v>
      </c>
      <c r="F201" s="1">
        <v>8.3207900000000006</v>
      </c>
      <c r="G201" s="1">
        <v>14.3574</v>
      </c>
      <c r="H201" s="1">
        <v>3.08908</v>
      </c>
    </row>
    <row r="202" spans="1:8" x14ac:dyDescent="0.3">
      <c r="A202">
        <f t="shared" si="5"/>
        <v>0</v>
      </c>
      <c r="B202">
        <v>2702</v>
      </c>
      <c r="C202" s="1">
        <v>23.228470737970991</v>
      </c>
      <c r="D202" s="9">
        <v>18.751888888893607</v>
      </c>
      <c r="E202" s="1">
        <v>0.608819</v>
      </c>
      <c r="F202" s="1">
        <v>8.0832800000000002</v>
      </c>
      <c r="G202" s="1">
        <v>14.2111</v>
      </c>
      <c r="H202" s="1">
        <v>4.1354600000000001</v>
      </c>
    </row>
    <row r="203" spans="1:8" x14ac:dyDescent="0.3">
      <c r="A203">
        <f t="shared" si="5"/>
        <v>0</v>
      </c>
      <c r="B203">
        <v>2752</v>
      </c>
      <c r="C203" s="1">
        <v>23.69101393026315</v>
      </c>
      <c r="D203" s="9">
        <v>18.799111111115916</v>
      </c>
      <c r="E203" s="1">
        <v>1.0125200000000001</v>
      </c>
      <c r="F203" s="1">
        <v>7.8163499999999999</v>
      </c>
      <c r="G203" s="1">
        <v>13.7616</v>
      </c>
      <c r="H203" s="1">
        <v>4.9482499999999998</v>
      </c>
    </row>
    <row r="204" spans="1:8" x14ac:dyDescent="0.3">
      <c r="A204" t="e">
        <f t="shared" si="5"/>
        <v>#REF!</v>
      </c>
      <c r="B204">
        <v>2802</v>
      </c>
      <c r="C204" s="1">
        <v>24.01384328899055</v>
      </c>
      <c r="D204" s="9">
        <v>18.846333333338226</v>
      </c>
      <c r="E204" s="1">
        <v>1.77939</v>
      </c>
      <c r="F204" s="1">
        <v>7.89358</v>
      </c>
      <c r="G204" s="1">
        <v>13.295999999999999</v>
      </c>
      <c r="H204" s="1">
        <v>5.4794</v>
      </c>
    </row>
    <row r="205" spans="1:8" x14ac:dyDescent="0.3">
      <c r="A205" t="e">
        <f t="shared" si="5"/>
        <v>#REF!</v>
      </c>
      <c r="B205">
        <v>2852</v>
      </c>
      <c r="C205" s="1">
        <v>24.22</v>
      </c>
      <c r="D205" s="9">
        <v>18.893555555560535</v>
      </c>
      <c r="E205" s="1">
        <v>2.5920100000000001</v>
      </c>
      <c r="F205" s="1">
        <v>8.5924499999999995</v>
      </c>
      <c r="G205" s="1">
        <v>13.1252</v>
      </c>
      <c r="H205" s="1">
        <v>5.7480500000000001</v>
      </c>
    </row>
    <row r="206" spans="1:8" x14ac:dyDescent="0.3">
      <c r="A206" t="e">
        <f t="shared" si="5"/>
        <v>#REF!</v>
      </c>
      <c r="B206">
        <v>2902</v>
      </c>
      <c r="C206" s="1">
        <v>24.282691641184471</v>
      </c>
      <c r="D206" s="9">
        <v>18.940777777782845</v>
      </c>
      <c r="E206" s="1">
        <v>3.1440700000000001</v>
      </c>
      <c r="F206" s="1">
        <v>9.7649799999999995</v>
      </c>
      <c r="G206" s="1">
        <v>13.45</v>
      </c>
      <c r="H206" s="1">
        <v>5.9637099999999998</v>
      </c>
    </row>
    <row r="207" spans="1:8" x14ac:dyDescent="0.3">
      <c r="A207" t="e">
        <f t="shared" si="5"/>
        <v>#REF!</v>
      </c>
      <c r="B207">
        <v>2952</v>
      </c>
      <c r="C207" s="1">
        <v>24.143236089753369</v>
      </c>
      <c r="D207" s="9">
        <v>18.988000000005155</v>
      </c>
      <c r="E207" s="1">
        <v>3.2949000000000002</v>
      </c>
      <c r="F207" s="1">
        <v>11.149100000000001</v>
      </c>
      <c r="G207" s="1">
        <v>14.3451</v>
      </c>
      <c r="H207" s="1">
        <v>6.2904</v>
      </c>
    </row>
    <row r="208" spans="1:8" x14ac:dyDescent="0.3">
      <c r="A208" t="e">
        <f t="shared" si="5"/>
        <v>#REF!</v>
      </c>
      <c r="B208">
        <v>3002</v>
      </c>
      <c r="C208" s="1">
        <v>24</v>
      </c>
      <c r="D208" s="9">
        <v>19.035222222227464</v>
      </c>
      <c r="E208" s="1">
        <v>3.42089</v>
      </c>
      <c r="F208" s="1">
        <v>12.388199999999999</v>
      </c>
      <c r="G208" s="1">
        <v>15.5558</v>
      </c>
      <c r="H208" s="1">
        <v>6.6327800000000003</v>
      </c>
    </row>
    <row r="209" spans="1:8" x14ac:dyDescent="0.3">
      <c r="A209" t="e">
        <f t="shared" si="5"/>
        <v>#REF!</v>
      </c>
      <c r="B209">
        <v>3052</v>
      </c>
      <c r="C209" s="1">
        <v>23.84999166899275</v>
      </c>
      <c r="D209" s="9">
        <v>19.082444444449774</v>
      </c>
      <c r="E209" s="1">
        <v>3.8874900000000001</v>
      </c>
      <c r="F209" s="1">
        <v>13.1463</v>
      </c>
      <c r="G209" s="1">
        <v>16.7591</v>
      </c>
      <c r="H209" s="1">
        <v>6.9189100000000003</v>
      </c>
    </row>
    <row r="210" spans="1:8" x14ac:dyDescent="0.3">
      <c r="A210" t="e">
        <f t="shared" si="5"/>
        <v>#REF!</v>
      </c>
      <c r="B210">
        <v>3102</v>
      </c>
      <c r="C210" s="1">
        <v>23.53179554490125</v>
      </c>
      <c r="D210" s="9">
        <v>19.129666666672083</v>
      </c>
      <c r="E210" s="1">
        <v>4.69916</v>
      </c>
      <c r="F210" s="1">
        <v>13.2225</v>
      </c>
      <c r="G210" s="1">
        <v>17.627800000000001</v>
      </c>
      <c r="H210" s="1">
        <v>7.3061499999999997</v>
      </c>
    </row>
    <row r="211" spans="1:8" x14ac:dyDescent="0.3">
      <c r="A211" t="e">
        <f t="shared" si="5"/>
        <v>#REF!</v>
      </c>
      <c r="B211">
        <v>3152</v>
      </c>
      <c r="C211" s="1">
        <v>23.12754066170201</v>
      </c>
      <c r="D211" s="9">
        <v>19.176888888894393</v>
      </c>
      <c r="E211" s="1">
        <v>5.7464899999999997</v>
      </c>
      <c r="F211" s="1">
        <v>12.5771</v>
      </c>
      <c r="G211" s="1">
        <v>17.950199999999999</v>
      </c>
      <c r="H211" s="1">
        <v>7.9454599999999997</v>
      </c>
    </row>
    <row r="212" spans="1:8" x14ac:dyDescent="0.3">
      <c r="A212" t="e">
        <f t="shared" si="5"/>
        <v>#REF!</v>
      </c>
      <c r="B212">
        <v>3202</v>
      </c>
      <c r="C212" s="1">
        <v>22.777062087391929</v>
      </c>
      <c r="D212" s="9">
        <v>19.224111111116702</v>
      </c>
      <c r="E212" s="1">
        <v>6.8076999999999996</v>
      </c>
      <c r="F212" s="1">
        <v>11.5273</v>
      </c>
      <c r="G212" s="1">
        <v>17.8291</v>
      </c>
      <c r="H212" s="1">
        <v>8.8495299999999997</v>
      </c>
    </row>
    <row r="213" spans="1:8" x14ac:dyDescent="0.3">
      <c r="A213" t="e">
        <f t="shared" ref="A213:A219" si="6">A163</f>
        <v>#REF!</v>
      </c>
      <c r="B213">
        <v>3252</v>
      </c>
      <c r="C213" s="1">
        <v>22.40608980515913</v>
      </c>
      <c r="D213" s="9">
        <v>19.271333333339012</v>
      </c>
      <c r="E213" s="1">
        <v>7.7291699999999999</v>
      </c>
      <c r="F213" s="1">
        <v>10.4314</v>
      </c>
      <c r="G213" s="1">
        <v>17.439499999999999</v>
      </c>
      <c r="H213" s="1">
        <v>9.9870099999999997</v>
      </c>
    </row>
    <row r="214" spans="1:8" x14ac:dyDescent="0.3">
      <c r="A214" t="e">
        <f t="shared" si="6"/>
        <v>#REF!</v>
      </c>
      <c r="B214">
        <v>3302</v>
      </c>
      <c r="C214" s="1">
        <v>21.997055219415991</v>
      </c>
      <c r="D214" s="9">
        <v>19.318555555561321</v>
      </c>
      <c r="E214" s="1">
        <v>8.6919500000000003</v>
      </c>
      <c r="F214" s="1">
        <v>9.7704400000000007</v>
      </c>
      <c r="G214" s="1">
        <v>17.065999999999999</v>
      </c>
      <c r="H214" s="1">
        <v>11.2904</v>
      </c>
    </row>
    <row r="215" spans="1:8" x14ac:dyDescent="0.3">
      <c r="A215" t="e">
        <f t="shared" si="6"/>
        <v>#REF!</v>
      </c>
      <c r="B215">
        <v>3352</v>
      </c>
      <c r="C215" s="1">
        <v>21.675190588395399</v>
      </c>
      <c r="D215" s="9">
        <v>19.365777777783631</v>
      </c>
      <c r="E215" s="1">
        <v>10.152900000000001</v>
      </c>
      <c r="F215" s="1">
        <v>10.5954</v>
      </c>
      <c r="G215" s="1">
        <v>17.144200000000001</v>
      </c>
      <c r="H215" s="1">
        <v>12.7188</v>
      </c>
    </row>
    <row r="216" spans="1:8" x14ac:dyDescent="0.3">
      <c r="A216" t="e">
        <f t="shared" si="6"/>
        <v>#REF!</v>
      </c>
      <c r="B216">
        <v>3402</v>
      </c>
      <c r="C216" s="1">
        <v>21.34702514638558</v>
      </c>
      <c r="D216" s="9">
        <v>19.41300000000594</v>
      </c>
      <c r="E216" s="1">
        <v>11.917400000000001</v>
      </c>
      <c r="F216" s="1">
        <v>12.1305</v>
      </c>
      <c r="G216" s="1">
        <v>17.418900000000001</v>
      </c>
      <c r="H216" s="1">
        <v>14.139799999999999</v>
      </c>
    </row>
    <row r="217" spans="1:8" x14ac:dyDescent="0.3">
      <c r="A217" t="e">
        <f t="shared" si="6"/>
        <v>#REF!</v>
      </c>
      <c r="B217">
        <v>3452</v>
      </c>
      <c r="C217" s="1">
        <v>20.90208359017581</v>
      </c>
      <c r="D217" s="9">
        <v>19.46022222222825</v>
      </c>
      <c r="E217" s="1">
        <v>13.7963</v>
      </c>
      <c r="F217" s="1">
        <v>13.8972</v>
      </c>
      <c r="G217" s="1">
        <v>17.8324</v>
      </c>
      <c r="H217" s="1">
        <v>15.5374</v>
      </c>
    </row>
    <row r="218" spans="1:8" x14ac:dyDescent="0.3">
      <c r="A218" t="e">
        <f t="shared" si="6"/>
        <v>#REF!</v>
      </c>
      <c r="B218">
        <v>3502</v>
      </c>
      <c r="C218" s="1">
        <v>20.399394343745861</v>
      </c>
      <c r="D218" s="9">
        <v>19.507444444450559</v>
      </c>
      <c r="E218" s="1">
        <v>15.7311</v>
      </c>
      <c r="F218" s="1">
        <v>15.774100000000001</v>
      </c>
      <c r="G218" s="1">
        <v>18.355</v>
      </c>
      <c r="H218" s="1">
        <v>16.919499999999999</v>
      </c>
    </row>
    <row r="219" spans="1:8" x14ac:dyDescent="0.3">
      <c r="A219" t="e">
        <f t="shared" si="6"/>
        <v>#REF!</v>
      </c>
      <c r="B219">
        <v>3552</v>
      </c>
      <c r="C219" s="1">
        <v>20.012627381225599</v>
      </c>
      <c r="D219" s="9">
        <v>19.554666666672869</v>
      </c>
      <c r="E219" s="1">
        <v>17.696300000000001</v>
      </c>
      <c r="F219" s="1">
        <v>17.709700000000002</v>
      </c>
      <c r="G219" s="1">
        <v>18.959800000000001</v>
      </c>
      <c r="H219" s="1">
        <v>18.290800000000001</v>
      </c>
    </row>
    <row r="220" spans="1:8" x14ac:dyDescent="0.3">
      <c r="A220">
        <v>3</v>
      </c>
      <c r="B220">
        <v>3</v>
      </c>
      <c r="C220" s="1">
        <v>16.198469652946539</v>
      </c>
      <c r="D220" s="9">
        <v>16.202833333333338</v>
      </c>
      <c r="E220" s="1">
        <v>16.0885</v>
      </c>
      <c r="F220" s="1">
        <v>16.081099999999999</v>
      </c>
      <c r="G220" s="1">
        <v>16.162800000000001</v>
      </c>
      <c r="H220" s="1">
        <v>16.0883</v>
      </c>
    </row>
    <row r="221" spans="1:8" x14ac:dyDescent="0.3">
      <c r="A221" t="e">
        <f t="shared" ref="A221:A252" si="7">A171</f>
        <v>#REF!</v>
      </c>
      <c r="B221">
        <v>53</v>
      </c>
      <c r="C221" s="1">
        <v>16.177403553765799</v>
      </c>
      <c r="D221" s="9">
        <v>16.250055555555647</v>
      </c>
      <c r="E221" s="1">
        <v>14.2416</v>
      </c>
      <c r="F221" s="1">
        <v>14.111800000000001</v>
      </c>
      <c r="G221" s="1">
        <v>15.5702</v>
      </c>
      <c r="H221" s="1">
        <v>14.2216</v>
      </c>
    </row>
    <row r="222" spans="1:8" x14ac:dyDescent="0.3">
      <c r="A222" t="e">
        <f t="shared" si="7"/>
        <v>#REF!</v>
      </c>
      <c r="B222">
        <v>103</v>
      </c>
      <c r="C222" s="1">
        <v>16.23</v>
      </c>
      <c r="D222" s="9">
        <v>16.297277777777957</v>
      </c>
      <c r="E222" s="1">
        <v>12.420500000000001</v>
      </c>
      <c r="F222" s="1">
        <v>12.1768</v>
      </c>
      <c r="G222" s="1">
        <v>15.037100000000001</v>
      </c>
      <c r="H222" s="1">
        <v>12.345599999999999</v>
      </c>
    </row>
    <row r="223" spans="1:8" x14ac:dyDescent="0.3">
      <c r="A223" t="e">
        <f t="shared" si="7"/>
        <v>#REF!</v>
      </c>
      <c r="B223">
        <v>153</v>
      </c>
      <c r="C223" s="1">
        <v>16.440000000000001</v>
      </c>
      <c r="D223" s="9">
        <v>16.344500000000266</v>
      </c>
      <c r="E223" s="1">
        <v>10.6372</v>
      </c>
      <c r="F223" s="1">
        <v>10.300700000000001</v>
      </c>
      <c r="G223" s="1">
        <v>14.578200000000001</v>
      </c>
      <c r="H223" s="1">
        <v>10.459300000000001</v>
      </c>
    </row>
    <row r="224" spans="1:8" x14ac:dyDescent="0.3">
      <c r="A224" t="e">
        <f t="shared" si="7"/>
        <v>#REF!</v>
      </c>
      <c r="B224">
        <v>203</v>
      </c>
      <c r="C224" s="1">
        <v>16.795568262224862</v>
      </c>
      <c r="D224" s="9">
        <v>16.391722222222576</v>
      </c>
      <c r="E224" s="1">
        <v>8.9131699999999991</v>
      </c>
      <c r="F224" s="1">
        <v>8.5352899999999998</v>
      </c>
      <c r="G224" s="1">
        <v>14.211399999999999</v>
      </c>
      <c r="H224" s="1">
        <v>8.5641499999999997</v>
      </c>
    </row>
    <row r="225" spans="1:8" x14ac:dyDescent="0.3">
      <c r="A225" t="e">
        <f t="shared" si="7"/>
        <v>#REF!</v>
      </c>
      <c r="B225">
        <v>253</v>
      </c>
      <c r="C225" s="1">
        <v>16.87</v>
      </c>
      <c r="D225" s="9">
        <v>16.438944444444886</v>
      </c>
      <c r="E225" s="1">
        <v>7.2899599999999998</v>
      </c>
      <c r="F225" s="1">
        <v>7.0023999999999997</v>
      </c>
      <c r="G225" s="1">
        <v>13.9405</v>
      </c>
      <c r="H225" s="1">
        <v>6.6711900000000002</v>
      </c>
    </row>
    <row r="226" spans="1:8" x14ac:dyDescent="0.3">
      <c r="A226">
        <f t="shared" si="7"/>
        <v>1</v>
      </c>
      <c r="B226">
        <v>303</v>
      </c>
      <c r="C226" s="1">
        <v>17.10063153529202</v>
      </c>
      <c r="D226" s="9">
        <v>16.486166666667195</v>
      </c>
      <c r="E226" s="1">
        <v>5.9464499999999996</v>
      </c>
      <c r="F226" s="1">
        <v>6.1970700000000001</v>
      </c>
      <c r="G226" s="1">
        <v>13.8125</v>
      </c>
      <c r="H226" s="1">
        <v>4.9640000000000004</v>
      </c>
    </row>
    <row r="227" spans="1:8" x14ac:dyDescent="0.3">
      <c r="A227" t="e">
        <f t="shared" si="7"/>
        <v>#REF!</v>
      </c>
      <c r="B227">
        <v>353</v>
      </c>
      <c r="C227" s="1">
        <v>17.309055052769779</v>
      </c>
      <c r="D227" s="9">
        <v>16.533388888889505</v>
      </c>
      <c r="E227" s="1">
        <v>5.0865900000000002</v>
      </c>
      <c r="F227" s="1">
        <v>6.4168000000000003</v>
      </c>
      <c r="G227" s="1">
        <v>13.992699999999999</v>
      </c>
      <c r="H227" s="1">
        <v>3.7752599999999998</v>
      </c>
    </row>
    <row r="228" spans="1:8" x14ac:dyDescent="0.3">
      <c r="A228" t="e">
        <f t="shared" si="7"/>
        <v>#REF!</v>
      </c>
      <c r="B228">
        <v>403</v>
      </c>
      <c r="C228" s="1">
        <v>17.510000000000002</v>
      </c>
      <c r="D228" s="9">
        <v>16.580611111111814</v>
      </c>
      <c r="E228" s="1">
        <v>4.50366</v>
      </c>
      <c r="F228" s="1">
        <v>6.7055499999999997</v>
      </c>
      <c r="G228" s="1">
        <v>14.0664</v>
      </c>
      <c r="H228" s="1">
        <v>2.9528400000000001</v>
      </c>
    </row>
    <row r="229" spans="1:8" x14ac:dyDescent="0.3">
      <c r="A229" t="e">
        <f t="shared" si="7"/>
        <v>#REF!</v>
      </c>
      <c r="B229">
        <v>453</v>
      </c>
      <c r="C229" s="1">
        <v>17.829999999999998</v>
      </c>
      <c r="D229" s="9">
        <v>16.627833333334124</v>
      </c>
      <c r="E229" s="1">
        <v>4.1163699999999999</v>
      </c>
      <c r="F229" s="1">
        <v>6.6801300000000001</v>
      </c>
      <c r="G229" s="1">
        <v>13.8569</v>
      </c>
      <c r="H229" s="1">
        <v>2.4504899999999998</v>
      </c>
    </row>
    <row r="230" spans="1:8" x14ac:dyDescent="0.3">
      <c r="A230" t="e">
        <f t="shared" si="7"/>
        <v>#REF!</v>
      </c>
      <c r="B230">
        <v>503</v>
      </c>
      <c r="C230" s="1">
        <v>17.98862115909024</v>
      </c>
      <c r="D230" s="9">
        <v>16.675055555556433</v>
      </c>
      <c r="E230" s="1">
        <v>3.6396099999999998</v>
      </c>
      <c r="F230" s="1">
        <v>6.25143</v>
      </c>
      <c r="G230" s="1">
        <v>13.512700000000001</v>
      </c>
      <c r="H230" s="1">
        <v>1.9786300000000001</v>
      </c>
    </row>
    <row r="231" spans="1:8" x14ac:dyDescent="0.3">
      <c r="A231" t="e">
        <f t="shared" si="7"/>
        <v>#REF!</v>
      </c>
      <c r="B231">
        <v>553</v>
      </c>
      <c r="C231" s="1">
        <v>18.19045909431539</v>
      </c>
      <c r="D231" s="9">
        <v>16.722277777778743</v>
      </c>
      <c r="E231" s="1">
        <v>2.8505199999999999</v>
      </c>
      <c r="F231" s="1">
        <v>5.4255000000000004</v>
      </c>
      <c r="G231" s="1">
        <v>13.1838</v>
      </c>
      <c r="H231" s="1">
        <v>1.29986</v>
      </c>
    </row>
    <row r="232" spans="1:8" x14ac:dyDescent="0.3">
      <c r="A232" t="e">
        <f t="shared" si="7"/>
        <v>#REF!</v>
      </c>
      <c r="B232">
        <v>603</v>
      </c>
      <c r="C232" s="1">
        <v>18.393997889497101</v>
      </c>
      <c r="D232" s="9">
        <v>16.769500000001052</v>
      </c>
      <c r="E232" s="1">
        <v>1.92784</v>
      </c>
      <c r="F232" s="1">
        <v>4.4019599999999999</v>
      </c>
      <c r="G232" s="1">
        <v>12.815200000000001</v>
      </c>
      <c r="H232" s="1">
        <v>0.57342099999999996</v>
      </c>
    </row>
    <row r="233" spans="1:8" x14ac:dyDescent="0.3">
      <c r="A233" t="e">
        <f t="shared" si="7"/>
        <v>#REF!</v>
      </c>
      <c r="B233">
        <v>653</v>
      </c>
      <c r="C233" s="1">
        <v>18.510000000000002</v>
      </c>
      <c r="D233" s="9">
        <v>16.816722222223362</v>
      </c>
      <c r="E233" s="1">
        <v>1.1315900000000001</v>
      </c>
      <c r="F233" s="1">
        <v>3.4210699999999998</v>
      </c>
      <c r="G233" s="1">
        <v>12.385400000000001</v>
      </c>
      <c r="H233" s="1">
        <v>5.74876E-2</v>
      </c>
    </row>
    <row r="234" spans="1:8" x14ac:dyDescent="0.3">
      <c r="A234" t="e">
        <f t="shared" si="7"/>
        <v>#REF!</v>
      </c>
      <c r="B234">
        <v>703</v>
      </c>
      <c r="C234" s="1">
        <v>18.7</v>
      </c>
      <c r="D234" s="9">
        <v>16.863944444445671</v>
      </c>
      <c r="E234" s="1">
        <v>0.68632599999999999</v>
      </c>
      <c r="F234" s="1">
        <v>2.69394</v>
      </c>
      <c r="G234" s="1">
        <v>12.1272</v>
      </c>
      <c r="H234" s="1">
        <v>4.4031099999999997E-2</v>
      </c>
    </row>
    <row r="235" spans="1:8" x14ac:dyDescent="0.3">
      <c r="A235" t="e">
        <f t="shared" si="7"/>
        <v>#REF!</v>
      </c>
      <c r="B235">
        <v>753</v>
      </c>
      <c r="C235" s="1">
        <v>18.829999999999998</v>
      </c>
      <c r="D235" s="9">
        <v>16.911166666667981</v>
      </c>
      <c r="E235" s="1">
        <v>0.704762</v>
      </c>
      <c r="F235" s="1">
        <v>2.3213499999999998</v>
      </c>
      <c r="G235" s="1">
        <v>12.2364</v>
      </c>
      <c r="H235" s="1">
        <v>0.69394900000000004</v>
      </c>
    </row>
    <row r="236" spans="1:8" x14ac:dyDescent="0.3">
      <c r="A236" t="e">
        <f t="shared" si="7"/>
        <v>#REF!</v>
      </c>
      <c r="B236">
        <v>803</v>
      </c>
      <c r="C236" s="1">
        <v>19.197897918459979</v>
      </c>
      <c r="D236" s="9">
        <v>16.958388888890291</v>
      </c>
      <c r="E236" s="1">
        <v>0.96408499999999997</v>
      </c>
      <c r="F236" s="1">
        <v>2.0701999999999998</v>
      </c>
      <c r="G236" s="1">
        <v>12.621</v>
      </c>
      <c r="H236" s="1">
        <v>1.7255400000000001</v>
      </c>
    </row>
    <row r="237" spans="1:8" x14ac:dyDescent="0.3">
      <c r="A237" t="e">
        <f t="shared" si="7"/>
        <v>#REF!</v>
      </c>
      <c r="B237">
        <v>853</v>
      </c>
      <c r="C237" s="1">
        <v>19.407288068834738</v>
      </c>
      <c r="D237" s="9">
        <v>17.0056111111126</v>
      </c>
      <c r="E237" s="1">
        <v>1.2491099999999999</v>
      </c>
      <c r="F237" s="1">
        <v>1.7655099999999999</v>
      </c>
      <c r="G237" s="1">
        <v>13.093</v>
      </c>
      <c r="H237" s="1">
        <v>2.76539</v>
      </c>
    </row>
    <row r="238" spans="1:8" x14ac:dyDescent="0.3">
      <c r="A238" t="e">
        <f t="shared" si="7"/>
        <v>#REF!</v>
      </c>
      <c r="B238">
        <v>903</v>
      </c>
      <c r="C238" s="1">
        <v>19.703397642961701</v>
      </c>
      <c r="D238" s="9">
        <v>17.05283333333491</v>
      </c>
      <c r="E238" s="1">
        <v>1.5855399999999999</v>
      </c>
      <c r="F238" s="1">
        <v>1.63395</v>
      </c>
      <c r="G238" s="1">
        <v>13.3423</v>
      </c>
      <c r="H238" s="1">
        <v>3.43</v>
      </c>
    </row>
    <row r="239" spans="1:8" x14ac:dyDescent="0.3">
      <c r="A239" t="e">
        <f t="shared" si="7"/>
        <v>#REF!</v>
      </c>
      <c r="B239">
        <v>953</v>
      </c>
      <c r="C239" s="1">
        <v>20.006385752741298</v>
      </c>
      <c r="D239" s="9">
        <v>17.100055555557219</v>
      </c>
      <c r="E239" s="1">
        <v>1.9878199999999999</v>
      </c>
      <c r="F239" s="1">
        <v>1.8857900000000001</v>
      </c>
      <c r="G239" s="1">
        <v>13.175000000000001</v>
      </c>
      <c r="H239" s="1">
        <v>3.47654</v>
      </c>
    </row>
    <row r="240" spans="1:8" x14ac:dyDescent="0.3">
      <c r="A240" t="e">
        <f t="shared" si="7"/>
        <v>#REF!</v>
      </c>
      <c r="B240">
        <v>1003</v>
      </c>
      <c r="C240" s="1">
        <v>20.393436412691269</v>
      </c>
      <c r="D240" s="9">
        <v>17.147277777779529</v>
      </c>
      <c r="E240" s="1">
        <v>2.2789999999999999</v>
      </c>
      <c r="F240" s="1">
        <v>2.4207000000000001</v>
      </c>
      <c r="G240" s="1">
        <v>12.851900000000001</v>
      </c>
      <c r="H240" s="1">
        <v>3.1177199999999998</v>
      </c>
    </row>
    <row r="241" spans="1:8" x14ac:dyDescent="0.3">
      <c r="A241" t="e">
        <f t="shared" si="7"/>
        <v>#REF!</v>
      </c>
      <c r="B241">
        <v>1053</v>
      </c>
      <c r="C241" s="1">
        <v>20.841515983910991</v>
      </c>
      <c r="D241" s="9">
        <v>17.194500000001838</v>
      </c>
      <c r="E241" s="1">
        <v>2.33263</v>
      </c>
      <c r="F241" s="1">
        <v>3.03816</v>
      </c>
      <c r="G241" s="1">
        <v>12.6624</v>
      </c>
      <c r="H241" s="1">
        <v>2.6807599999999998</v>
      </c>
    </row>
    <row r="242" spans="1:8" x14ac:dyDescent="0.3">
      <c r="A242" t="e">
        <f t="shared" si="7"/>
        <v>#REF!</v>
      </c>
      <c r="B242">
        <v>1103</v>
      </c>
      <c r="C242" s="1">
        <v>21.212558315275789</v>
      </c>
      <c r="D242" s="9">
        <v>17.241722222224148</v>
      </c>
      <c r="E242" s="1">
        <v>2.30613</v>
      </c>
      <c r="F242" s="1">
        <v>3.4160499999999998</v>
      </c>
      <c r="G242" s="1">
        <v>12.6959</v>
      </c>
      <c r="H242" s="1">
        <v>2.5683600000000002</v>
      </c>
    </row>
    <row r="243" spans="1:8" x14ac:dyDescent="0.3">
      <c r="A243" t="e">
        <f t="shared" si="7"/>
        <v>#REF!</v>
      </c>
      <c r="B243">
        <v>1153</v>
      </c>
      <c r="C243" s="1">
        <v>21.536926488101692</v>
      </c>
      <c r="D243" s="9">
        <v>17.288944444446457</v>
      </c>
      <c r="E243" s="1">
        <v>2.3255599999999998</v>
      </c>
      <c r="F243" s="1">
        <v>3.3607900000000002</v>
      </c>
      <c r="G243" s="1">
        <v>12.931100000000001</v>
      </c>
      <c r="H243" s="1">
        <v>3.04115</v>
      </c>
    </row>
    <row r="244" spans="1:8" x14ac:dyDescent="0.3">
      <c r="A244" t="e">
        <f t="shared" si="7"/>
        <v>#REF!</v>
      </c>
      <c r="B244">
        <v>1203</v>
      </c>
      <c r="C244" s="1">
        <v>21.96480848280191</v>
      </c>
      <c r="D244" s="9">
        <v>17.336166666668767</v>
      </c>
      <c r="E244" s="1">
        <v>2.2363300000000002</v>
      </c>
      <c r="F244" s="1">
        <v>3.1643699999999999</v>
      </c>
      <c r="G244" s="1">
        <v>13.121600000000001</v>
      </c>
      <c r="H244" s="1">
        <v>3.8620299999999999</v>
      </c>
    </row>
    <row r="245" spans="1:8" x14ac:dyDescent="0.3">
      <c r="A245" t="e">
        <f t="shared" si="7"/>
        <v>#REF!</v>
      </c>
      <c r="B245">
        <v>1253</v>
      </c>
      <c r="C245" s="1">
        <v>22.37438518388176</v>
      </c>
      <c r="D245" s="9">
        <v>17.383388888891076</v>
      </c>
      <c r="E245" s="1">
        <v>1.9412100000000001</v>
      </c>
      <c r="F245" s="1">
        <v>3.1331600000000002</v>
      </c>
      <c r="G245" s="1">
        <v>13.091799999999999</v>
      </c>
      <c r="H245" s="1">
        <v>4.71976</v>
      </c>
    </row>
    <row r="246" spans="1:8" x14ac:dyDescent="0.3">
      <c r="A246" t="e">
        <f t="shared" si="7"/>
        <v>#REF!</v>
      </c>
      <c r="B246">
        <v>1303</v>
      </c>
      <c r="C246" s="1">
        <v>22.825318297593331</v>
      </c>
      <c r="D246" s="9">
        <v>17.430611111113386</v>
      </c>
      <c r="E246" s="1">
        <v>1.7021200000000001</v>
      </c>
      <c r="F246" s="1">
        <v>3.3141600000000002</v>
      </c>
      <c r="G246" s="1">
        <v>13.0345</v>
      </c>
      <c r="H246" s="1">
        <v>5.3795400000000004</v>
      </c>
    </row>
    <row r="247" spans="1:8" x14ac:dyDescent="0.3">
      <c r="A247" t="e">
        <f t="shared" si="7"/>
        <v>#REF!</v>
      </c>
      <c r="B247">
        <v>1353</v>
      </c>
      <c r="C247" s="1">
        <v>23.092297693428701</v>
      </c>
      <c r="D247" s="9">
        <v>17.477833333335695</v>
      </c>
      <c r="E247" s="1">
        <v>1.7673000000000001</v>
      </c>
      <c r="F247" s="1">
        <v>3.6700499999999998</v>
      </c>
      <c r="G247" s="1">
        <v>13.1143</v>
      </c>
      <c r="H247" s="1">
        <v>5.7168200000000002</v>
      </c>
    </row>
    <row r="248" spans="1:8" x14ac:dyDescent="0.3">
      <c r="A248">
        <f t="shared" si="7"/>
        <v>2</v>
      </c>
      <c r="B248">
        <v>1403</v>
      </c>
      <c r="C248" s="1">
        <v>23.22</v>
      </c>
      <c r="D248" s="9">
        <v>17.525055555558005</v>
      </c>
      <c r="E248" s="1">
        <v>2.1162000000000001</v>
      </c>
      <c r="F248" s="1">
        <v>4.0588800000000003</v>
      </c>
      <c r="G248" s="1">
        <v>13.1776</v>
      </c>
      <c r="H248" s="1">
        <v>5.9061000000000003</v>
      </c>
    </row>
    <row r="249" spans="1:8" x14ac:dyDescent="0.3">
      <c r="A249" t="e">
        <f t="shared" si="7"/>
        <v>#REF!</v>
      </c>
      <c r="B249">
        <v>1453</v>
      </c>
      <c r="C249" s="1">
        <v>23.256599063651759</v>
      </c>
      <c r="D249" s="9">
        <v>17.572277777780315</v>
      </c>
      <c r="E249" s="1">
        <v>2.6280100000000002</v>
      </c>
      <c r="F249" s="1">
        <v>4.3594099999999996</v>
      </c>
      <c r="G249" s="1">
        <v>13.1013</v>
      </c>
      <c r="H249" s="1">
        <v>6.0903900000000002</v>
      </c>
    </row>
    <row r="250" spans="1:8" x14ac:dyDescent="0.3">
      <c r="A250" t="e">
        <f t="shared" si="7"/>
        <v>#REF!</v>
      </c>
      <c r="B250">
        <v>1503</v>
      </c>
      <c r="C250" s="1">
        <v>23.106591298942941</v>
      </c>
      <c r="D250" s="9">
        <v>17.619500000002624</v>
      </c>
      <c r="E250" s="1">
        <v>3.0329799999999998</v>
      </c>
      <c r="F250" s="1">
        <v>4.5805100000000003</v>
      </c>
      <c r="G250" s="1">
        <v>13.0587</v>
      </c>
      <c r="H250" s="1">
        <v>6.1307600000000004</v>
      </c>
    </row>
    <row r="251" spans="1:8" x14ac:dyDescent="0.3">
      <c r="A251" t="e">
        <f t="shared" si="7"/>
        <v>#REF!</v>
      </c>
      <c r="B251">
        <v>1553</v>
      </c>
      <c r="C251" s="1">
        <v>22.84544821397699</v>
      </c>
      <c r="D251" s="9">
        <v>17.666722222224934</v>
      </c>
      <c r="E251" s="1">
        <v>3.1855899999999999</v>
      </c>
      <c r="F251" s="1">
        <v>4.8074199999999996</v>
      </c>
      <c r="G251" s="1">
        <v>13.1869</v>
      </c>
      <c r="H251" s="1">
        <v>5.8782800000000002</v>
      </c>
    </row>
    <row r="252" spans="1:8" x14ac:dyDescent="0.3">
      <c r="A252">
        <f t="shared" si="7"/>
        <v>0</v>
      </c>
      <c r="B252">
        <v>1603</v>
      </c>
      <c r="C252" s="1">
        <v>22.48852086139987</v>
      </c>
      <c r="D252" s="9">
        <v>17.713944444447243</v>
      </c>
      <c r="E252" s="1">
        <v>3.42299</v>
      </c>
      <c r="F252" s="1">
        <v>5.2851499999999998</v>
      </c>
      <c r="G252" s="1">
        <v>13.3269</v>
      </c>
      <c r="H252" s="1">
        <v>5.3248300000000004</v>
      </c>
    </row>
    <row r="253" spans="1:8" x14ac:dyDescent="0.3">
      <c r="A253">
        <f t="shared" ref="A253:A284" si="8">A203</f>
        <v>0</v>
      </c>
      <c r="B253">
        <v>1653</v>
      </c>
      <c r="C253" s="1">
        <v>22.05822826061101</v>
      </c>
      <c r="D253" s="9">
        <v>17.761166666669553</v>
      </c>
      <c r="E253" s="1">
        <v>4.03444</v>
      </c>
      <c r="F253" s="1">
        <v>6.1701499999999996</v>
      </c>
      <c r="G253" s="1">
        <v>13.347</v>
      </c>
      <c r="H253" s="1">
        <v>4.5064500000000001</v>
      </c>
    </row>
    <row r="254" spans="1:8" x14ac:dyDescent="0.3">
      <c r="A254" t="e">
        <f t="shared" si="8"/>
        <v>#REF!</v>
      </c>
      <c r="B254">
        <v>1703</v>
      </c>
      <c r="C254" s="1">
        <v>21.649177547872</v>
      </c>
      <c r="D254" s="9">
        <v>17.808388888891862</v>
      </c>
      <c r="E254" s="1">
        <v>4.8625800000000003</v>
      </c>
      <c r="F254" s="1">
        <v>7.2438599999999997</v>
      </c>
      <c r="G254" s="1">
        <v>13.381399999999999</v>
      </c>
      <c r="H254" s="1">
        <v>3.5112899999999998</v>
      </c>
    </row>
    <row r="255" spans="1:8" x14ac:dyDescent="0.3">
      <c r="A255" t="e">
        <f t="shared" si="8"/>
        <v>#REF!</v>
      </c>
      <c r="B255">
        <v>1753</v>
      </c>
      <c r="C255" s="1">
        <v>21.253186705422252</v>
      </c>
      <c r="D255" s="9">
        <v>17.855611111114172</v>
      </c>
      <c r="E255" s="1">
        <v>5.6238099999999998</v>
      </c>
      <c r="F255" s="1">
        <v>8.2230100000000004</v>
      </c>
      <c r="G255" s="1">
        <v>13.5291</v>
      </c>
      <c r="H255" s="1">
        <v>2.4255300000000002</v>
      </c>
    </row>
    <row r="256" spans="1:8" x14ac:dyDescent="0.3">
      <c r="A256" t="e">
        <f t="shared" si="8"/>
        <v>#REF!</v>
      </c>
      <c r="B256">
        <v>1803</v>
      </c>
      <c r="C256" s="1">
        <v>20.88992716769009</v>
      </c>
      <c r="D256" s="9">
        <v>17.902833333336481</v>
      </c>
      <c r="E256" s="1">
        <v>5.9128299999999996</v>
      </c>
      <c r="F256" s="1">
        <v>8.8507899999999999</v>
      </c>
      <c r="G256" s="1">
        <v>13.618</v>
      </c>
      <c r="H256" s="1">
        <v>1.2977399999999999</v>
      </c>
    </row>
    <row r="257" spans="1:8" x14ac:dyDescent="0.3">
      <c r="A257" t="e">
        <f t="shared" si="8"/>
        <v>#REF!</v>
      </c>
      <c r="B257">
        <v>1853</v>
      </c>
      <c r="C257" s="1">
        <v>20.53484173910249</v>
      </c>
      <c r="D257" s="9">
        <v>17.950055555558791</v>
      </c>
      <c r="E257" s="1">
        <v>5.4765899999999998</v>
      </c>
      <c r="F257" s="1">
        <v>9.0098099999999999</v>
      </c>
      <c r="G257" s="1">
        <v>13.5242</v>
      </c>
      <c r="H257" s="1">
        <v>0.14754</v>
      </c>
    </row>
    <row r="258" spans="1:8" x14ac:dyDescent="0.3">
      <c r="A258" t="e">
        <f t="shared" si="8"/>
        <v>#REF!</v>
      </c>
      <c r="B258">
        <v>1903</v>
      </c>
      <c r="C258" s="1">
        <v>20.123653827265581</v>
      </c>
      <c r="D258" s="9">
        <v>17.9972777777811</v>
      </c>
      <c r="E258" s="1">
        <v>4.6084800000000001</v>
      </c>
      <c r="F258" s="1">
        <v>8.9989600000000003</v>
      </c>
      <c r="G258" s="1">
        <v>13.4351</v>
      </c>
      <c r="H258" s="1">
        <v>-1.07253</v>
      </c>
    </row>
    <row r="259" spans="1:8" x14ac:dyDescent="0.3">
      <c r="A259" t="e">
        <f t="shared" si="8"/>
        <v>#REF!</v>
      </c>
      <c r="B259">
        <v>1953</v>
      </c>
      <c r="C259" s="1">
        <v>19.78674698844884</v>
      </c>
      <c r="D259" s="9">
        <v>18.04450000000341</v>
      </c>
      <c r="E259" s="1">
        <v>3.6894800000000001</v>
      </c>
      <c r="F259" s="1">
        <v>9.0709599999999995</v>
      </c>
      <c r="G259" s="1">
        <v>13.5083</v>
      </c>
      <c r="H259" s="1">
        <v>-2.38029</v>
      </c>
    </row>
    <row r="260" spans="1:8" x14ac:dyDescent="0.3">
      <c r="A260" t="e">
        <f t="shared" si="8"/>
        <v>#REF!</v>
      </c>
      <c r="B260">
        <v>2003</v>
      </c>
      <c r="C260" s="1">
        <v>19.499906540524371</v>
      </c>
      <c r="D260" s="9">
        <v>18.091722222225719</v>
      </c>
      <c r="E260" s="1">
        <v>3.0445199999999999</v>
      </c>
      <c r="F260" s="1">
        <v>9.0876999999999999</v>
      </c>
      <c r="G260" s="1">
        <v>13.623200000000001</v>
      </c>
      <c r="H260" s="1">
        <v>-3.6627200000000002</v>
      </c>
    </row>
    <row r="261" spans="1:8" x14ac:dyDescent="0.3">
      <c r="A261" t="e">
        <f t="shared" si="8"/>
        <v>#REF!</v>
      </c>
      <c r="B261">
        <v>2053</v>
      </c>
      <c r="C261" s="1">
        <v>19.30674507742075</v>
      </c>
      <c r="D261" s="9">
        <v>18.138944444448029</v>
      </c>
      <c r="E261" s="1">
        <v>2.843</v>
      </c>
      <c r="F261" s="1">
        <v>8.9159299999999995</v>
      </c>
      <c r="G261" s="1">
        <v>13.674099999999999</v>
      </c>
      <c r="H261" s="1">
        <v>-4.7955899999999998</v>
      </c>
    </row>
    <row r="262" spans="1:8" x14ac:dyDescent="0.3">
      <c r="A262" t="e">
        <f t="shared" si="8"/>
        <v>#REF!</v>
      </c>
      <c r="B262">
        <v>2103</v>
      </c>
      <c r="C262" s="1">
        <v>19.2</v>
      </c>
      <c r="D262" s="9">
        <v>18.186166666670339</v>
      </c>
      <c r="E262" s="1">
        <v>2.8092299999999999</v>
      </c>
      <c r="F262" s="1">
        <v>8.6688200000000002</v>
      </c>
      <c r="G262" s="1">
        <v>13.766999999999999</v>
      </c>
      <c r="H262" s="1">
        <v>-5.6969399999999997</v>
      </c>
    </row>
    <row r="263" spans="1:8" x14ac:dyDescent="0.3">
      <c r="A263" t="e">
        <f t="shared" si="8"/>
        <v>#REF!</v>
      </c>
      <c r="B263">
        <v>2153</v>
      </c>
      <c r="C263" s="1">
        <v>19.195779132302611</v>
      </c>
      <c r="D263" s="9">
        <v>18.233388888892648</v>
      </c>
      <c r="E263" s="1">
        <v>2.7033299999999998</v>
      </c>
      <c r="F263" s="1">
        <v>8.49057</v>
      </c>
      <c r="G263" s="1">
        <v>13.9665</v>
      </c>
      <c r="H263" s="1">
        <v>-6.2696699999999996</v>
      </c>
    </row>
    <row r="264" spans="1:8" x14ac:dyDescent="0.3">
      <c r="A264" t="e">
        <f t="shared" si="8"/>
        <v>#REF!</v>
      </c>
      <c r="B264">
        <v>2203</v>
      </c>
      <c r="C264" s="1">
        <v>19.18</v>
      </c>
      <c r="D264" s="9">
        <v>18.280611111114958</v>
      </c>
      <c r="E264" s="1">
        <v>2.65639</v>
      </c>
      <c r="F264" s="1">
        <v>8.4755400000000005</v>
      </c>
      <c r="G264" s="1">
        <v>14.0867</v>
      </c>
      <c r="H264" s="1">
        <v>-6.3458699999999997</v>
      </c>
    </row>
    <row r="265" spans="1:8" x14ac:dyDescent="0.3">
      <c r="A265" t="e">
        <f t="shared" si="8"/>
        <v>#REF!</v>
      </c>
      <c r="B265">
        <v>2253</v>
      </c>
      <c r="C265" s="1">
        <v>19.349579720210361</v>
      </c>
      <c r="D265" s="9">
        <v>18.327833333337267</v>
      </c>
      <c r="E265" s="1">
        <v>2.7781899999999999</v>
      </c>
      <c r="F265" s="1">
        <v>8.6284500000000008</v>
      </c>
      <c r="G265" s="1">
        <v>13.994899999999999</v>
      </c>
      <c r="H265" s="1">
        <v>-5.8433900000000003</v>
      </c>
    </row>
    <row r="266" spans="1:8" x14ac:dyDescent="0.3">
      <c r="A266" t="e">
        <f t="shared" si="8"/>
        <v>#REF!</v>
      </c>
      <c r="B266">
        <v>2303</v>
      </c>
      <c r="C266" s="1">
        <v>19.602297330454419</v>
      </c>
      <c r="D266" s="9">
        <v>18.375055555559577</v>
      </c>
      <c r="E266" s="1">
        <v>2.8972199999999999</v>
      </c>
      <c r="F266" s="1">
        <v>8.7087900000000005</v>
      </c>
      <c r="G266" s="1">
        <v>13.8666</v>
      </c>
      <c r="H266" s="1">
        <v>-4.9811100000000001</v>
      </c>
    </row>
    <row r="267" spans="1:8" x14ac:dyDescent="0.3">
      <c r="A267" t="e">
        <f t="shared" si="8"/>
        <v>#REF!</v>
      </c>
      <c r="B267">
        <v>2353</v>
      </c>
      <c r="C267" s="1">
        <v>19.986164107248971</v>
      </c>
      <c r="D267" s="9">
        <v>18.422277777781886</v>
      </c>
      <c r="E267" s="1">
        <v>2.8739300000000001</v>
      </c>
      <c r="F267" s="1">
        <v>8.5283999999999995</v>
      </c>
      <c r="G267" s="1">
        <v>13.8462</v>
      </c>
      <c r="H267" s="1">
        <v>-3.9820000000000002</v>
      </c>
    </row>
    <row r="268" spans="1:8" x14ac:dyDescent="0.3">
      <c r="A268" t="e">
        <f t="shared" si="8"/>
        <v>#REF!</v>
      </c>
      <c r="B268">
        <v>2403</v>
      </c>
      <c r="C268" s="1">
        <v>20.45593605567943</v>
      </c>
      <c r="D268" s="9">
        <v>18.469500000004196</v>
      </c>
      <c r="E268" s="1">
        <v>2.82877</v>
      </c>
      <c r="F268" s="1">
        <v>8.2015399999999996</v>
      </c>
      <c r="G268" s="1">
        <v>13.8055</v>
      </c>
      <c r="H268" s="1">
        <v>-2.9091999999999998</v>
      </c>
    </row>
    <row r="269" spans="1:8" x14ac:dyDescent="0.3">
      <c r="A269" t="e">
        <f t="shared" si="8"/>
        <v>#REF!</v>
      </c>
      <c r="B269">
        <v>2453</v>
      </c>
      <c r="C269" s="1">
        <v>21.08892203023014</v>
      </c>
      <c r="D269" s="9">
        <v>18.516722222226505</v>
      </c>
      <c r="E269" s="1">
        <v>2.8314599999999999</v>
      </c>
      <c r="F269" s="1">
        <v>7.9072899999999997</v>
      </c>
      <c r="G269" s="1">
        <v>13.6639</v>
      </c>
      <c r="H269" s="1">
        <v>-1.7845500000000001</v>
      </c>
    </row>
    <row r="270" spans="1:8" x14ac:dyDescent="0.3">
      <c r="A270">
        <f t="shared" si="8"/>
        <v>3</v>
      </c>
      <c r="B270">
        <v>2503</v>
      </c>
      <c r="C270" s="1">
        <v>21.595576897741971</v>
      </c>
      <c r="D270" s="9">
        <v>18.563944444448815</v>
      </c>
      <c r="E270" s="1">
        <v>2.6480999999999999</v>
      </c>
      <c r="F270" s="1">
        <v>7.8468600000000004</v>
      </c>
      <c r="G270" s="1">
        <v>13.6419</v>
      </c>
      <c r="H270" s="1">
        <v>-0.59609599999999996</v>
      </c>
    </row>
    <row r="271" spans="1:8" x14ac:dyDescent="0.3">
      <c r="A271" t="e">
        <f t="shared" si="8"/>
        <v>#REF!</v>
      </c>
      <c r="B271">
        <v>2553</v>
      </c>
      <c r="C271" s="1">
        <v>22.074126114630459</v>
      </c>
      <c r="D271" s="9">
        <v>18.611166666671124</v>
      </c>
      <c r="E271" s="1">
        <v>2.1071499999999999</v>
      </c>
      <c r="F271" s="1">
        <v>8.0971299999999999</v>
      </c>
      <c r="G271" s="1">
        <v>13.895200000000001</v>
      </c>
      <c r="H271" s="1">
        <v>0.65595899999999996</v>
      </c>
    </row>
    <row r="272" spans="1:8" x14ac:dyDescent="0.3">
      <c r="A272" t="e">
        <f t="shared" si="8"/>
        <v>#REF!</v>
      </c>
      <c r="B272">
        <v>2603</v>
      </c>
      <c r="C272" s="1">
        <v>22.435507606870061</v>
      </c>
      <c r="D272" s="9">
        <v>18.658388888893434</v>
      </c>
      <c r="E272" s="1">
        <v>1.3990199999999999</v>
      </c>
      <c r="F272" s="1">
        <v>8.3455300000000001</v>
      </c>
      <c r="G272" s="1">
        <v>14.213699999999999</v>
      </c>
      <c r="H272" s="1">
        <v>1.91591</v>
      </c>
    </row>
    <row r="273" spans="1:8" x14ac:dyDescent="0.3">
      <c r="A273" t="e">
        <f t="shared" si="8"/>
        <v>#REF!</v>
      </c>
      <c r="B273">
        <v>2653</v>
      </c>
      <c r="C273" s="1">
        <v>22.80432332786993</v>
      </c>
      <c r="D273" s="9">
        <v>18.705611111115743</v>
      </c>
      <c r="E273" s="1">
        <v>0.795929</v>
      </c>
      <c r="F273" s="1">
        <v>8.3177199999999996</v>
      </c>
      <c r="G273" s="1">
        <v>14.357699999999999</v>
      </c>
      <c r="H273" s="1">
        <v>3.1118100000000002</v>
      </c>
    </row>
    <row r="274" spans="1:8" x14ac:dyDescent="0.3">
      <c r="A274" t="e">
        <f t="shared" si="8"/>
        <v>#REF!</v>
      </c>
      <c r="B274">
        <v>2703</v>
      </c>
      <c r="C274" s="1">
        <v>23.236001822522478</v>
      </c>
      <c r="D274" s="9">
        <v>18.752833333338053</v>
      </c>
      <c r="E274" s="1">
        <v>0.61125799999999997</v>
      </c>
      <c r="F274" s="1">
        <v>8.0772300000000001</v>
      </c>
      <c r="G274" s="1">
        <v>14.204499999999999</v>
      </c>
      <c r="H274" s="1">
        <v>4.15421</v>
      </c>
    </row>
    <row r="275" spans="1:8" x14ac:dyDescent="0.3">
      <c r="A275" t="e">
        <f t="shared" si="8"/>
        <v>#REF!</v>
      </c>
      <c r="B275">
        <v>2753</v>
      </c>
      <c r="C275" s="1">
        <v>23.698791854957289</v>
      </c>
      <c r="D275" s="9">
        <v>18.800055555560363</v>
      </c>
      <c r="E275" s="1">
        <v>1.02536</v>
      </c>
      <c r="F275" s="1">
        <v>7.8131500000000003</v>
      </c>
      <c r="G275" s="1">
        <v>13.751300000000001</v>
      </c>
      <c r="H275" s="1">
        <v>4.9617699999999996</v>
      </c>
    </row>
    <row r="276" spans="1:8" x14ac:dyDescent="0.3">
      <c r="A276">
        <f t="shared" si="8"/>
        <v>1</v>
      </c>
      <c r="B276">
        <v>2803</v>
      </c>
      <c r="C276" s="1">
        <v>24.017869572569751</v>
      </c>
      <c r="D276" s="9">
        <v>18.847277777782672</v>
      </c>
      <c r="E276" s="1">
        <v>1.7962199999999999</v>
      </c>
      <c r="F276" s="1">
        <v>7.9014199999999999</v>
      </c>
      <c r="G276" s="1">
        <v>13.2889</v>
      </c>
      <c r="H276" s="1">
        <v>5.4868800000000002</v>
      </c>
    </row>
    <row r="277" spans="1:8" x14ac:dyDescent="0.3">
      <c r="A277" t="e">
        <f t="shared" si="8"/>
        <v>#REF!</v>
      </c>
      <c r="B277">
        <v>2853</v>
      </c>
      <c r="C277" s="1">
        <v>24.22</v>
      </c>
      <c r="D277" s="9">
        <v>18.894500000004982</v>
      </c>
      <c r="E277" s="1">
        <v>2.6066099999999999</v>
      </c>
      <c r="F277" s="1">
        <v>8.6120300000000007</v>
      </c>
      <c r="G277" s="1">
        <v>13.126300000000001</v>
      </c>
      <c r="H277" s="1">
        <v>5.7520600000000002</v>
      </c>
    </row>
    <row r="278" spans="1:8" x14ac:dyDescent="0.3">
      <c r="A278" t="e">
        <f t="shared" si="8"/>
        <v>#REF!</v>
      </c>
      <c r="B278">
        <v>2903</v>
      </c>
      <c r="C278" s="1">
        <v>24.270573317875691</v>
      </c>
      <c r="D278" s="9">
        <v>18.941722222227291</v>
      </c>
      <c r="E278" s="1">
        <v>3.1504300000000001</v>
      </c>
      <c r="F278" s="1">
        <v>9.7916600000000003</v>
      </c>
      <c r="G278" s="1">
        <v>13.4628</v>
      </c>
      <c r="H278" s="1">
        <v>5.9691400000000003</v>
      </c>
    </row>
    <row r="279" spans="1:8" x14ac:dyDescent="0.3">
      <c r="A279" t="e">
        <f t="shared" si="8"/>
        <v>#REF!</v>
      </c>
      <c r="B279">
        <v>2953</v>
      </c>
      <c r="C279" s="1">
        <v>24.139209670464279</v>
      </c>
      <c r="D279" s="9">
        <v>18.988944444449601</v>
      </c>
      <c r="E279" s="1">
        <v>3.2960699999999998</v>
      </c>
      <c r="F279" s="1">
        <v>11.176500000000001</v>
      </c>
      <c r="G279" s="1">
        <v>14.3673</v>
      </c>
      <c r="H279" s="1">
        <v>6.29758</v>
      </c>
    </row>
    <row r="280" spans="1:8" x14ac:dyDescent="0.3">
      <c r="A280" t="e">
        <f t="shared" si="8"/>
        <v>#REF!</v>
      </c>
      <c r="B280">
        <v>3003</v>
      </c>
      <c r="C280" s="1">
        <v>24</v>
      </c>
      <c r="D280" s="9">
        <v>19.03616666667191</v>
      </c>
      <c r="E280" s="1">
        <v>3.4264000000000001</v>
      </c>
      <c r="F280" s="1">
        <v>12.409000000000001</v>
      </c>
      <c r="G280" s="1">
        <v>15.581099999999999</v>
      </c>
      <c r="H280" s="1">
        <v>6.6388100000000003</v>
      </c>
    </row>
    <row r="281" spans="1:8" x14ac:dyDescent="0.3">
      <c r="A281" t="e">
        <f t="shared" si="8"/>
        <v>#REF!</v>
      </c>
      <c r="B281">
        <v>3053</v>
      </c>
      <c r="C281" s="1">
        <v>23.845697335365969</v>
      </c>
      <c r="D281" s="9">
        <v>19.08338888889422</v>
      </c>
      <c r="E281" s="1">
        <v>3.9005700000000001</v>
      </c>
      <c r="F281" s="1">
        <v>13.154999999999999</v>
      </c>
      <c r="G281" s="1">
        <v>16.780799999999999</v>
      </c>
      <c r="H281" s="1">
        <v>6.9249999999999998</v>
      </c>
    </row>
    <row r="282" spans="1:8" x14ac:dyDescent="0.3">
      <c r="A282" t="e">
        <f t="shared" si="8"/>
        <v>#REF!</v>
      </c>
      <c r="B282">
        <v>3103</v>
      </c>
      <c r="C282" s="1">
        <v>23.523354660634219</v>
      </c>
      <c r="D282" s="9">
        <v>19.130611111116529</v>
      </c>
      <c r="E282" s="1">
        <v>4.7184100000000004</v>
      </c>
      <c r="F282" s="1">
        <v>13.215999999999999</v>
      </c>
      <c r="G282" s="1">
        <v>17.639700000000001</v>
      </c>
      <c r="H282" s="1">
        <v>7.3162599999999998</v>
      </c>
    </row>
    <row r="283" spans="1:8" x14ac:dyDescent="0.3">
      <c r="A283" t="e">
        <f t="shared" si="8"/>
        <v>#REF!</v>
      </c>
      <c r="B283">
        <v>3153</v>
      </c>
      <c r="C283" s="1">
        <v>23.11930746462809</v>
      </c>
      <c r="D283" s="9">
        <v>19.177833333338839</v>
      </c>
      <c r="E283" s="1">
        <v>5.7683600000000004</v>
      </c>
      <c r="F283" s="1">
        <v>12.5589</v>
      </c>
      <c r="G283" s="1">
        <v>17.951599999999999</v>
      </c>
      <c r="H283" s="1">
        <v>7.9610000000000003</v>
      </c>
    </row>
    <row r="284" spans="1:8" x14ac:dyDescent="0.3">
      <c r="A284" t="e">
        <f t="shared" si="8"/>
        <v>#REF!</v>
      </c>
      <c r="B284">
        <v>3203</v>
      </c>
      <c r="C284" s="1">
        <v>22.768865617542591</v>
      </c>
      <c r="D284" s="9">
        <v>19.225055555561148</v>
      </c>
      <c r="E284" s="1">
        <v>6.8274900000000001</v>
      </c>
      <c r="F284" s="1">
        <v>11.5047</v>
      </c>
      <c r="G284" s="1">
        <v>17.8232</v>
      </c>
      <c r="H284" s="1">
        <v>8.8702100000000002</v>
      </c>
    </row>
    <row r="285" spans="1:8" x14ac:dyDescent="0.3">
      <c r="A285" t="e">
        <f t="shared" ref="A285:A291" si="9">A235</f>
        <v>#REF!</v>
      </c>
      <c r="B285">
        <v>3253</v>
      </c>
      <c r="C285" s="1">
        <v>22.397508616021899</v>
      </c>
      <c r="D285" s="9">
        <v>19.272277777783458</v>
      </c>
      <c r="E285" s="1">
        <v>7.7469299999999999</v>
      </c>
      <c r="F285" s="1">
        <v>10.4115</v>
      </c>
      <c r="G285" s="1">
        <v>17.430599999999998</v>
      </c>
      <c r="H285" s="1">
        <v>10.0116</v>
      </c>
    </row>
    <row r="286" spans="1:8" x14ac:dyDescent="0.3">
      <c r="A286" t="e">
        <f t="shared" si="9"/>
        <v>#REF!</v>
      </c>
      <c r="B286">
        <v>3303</v>
      </c>
      <c r="C286" s="1">
        <v>21.98855730990174</v>
      </c>
      <c r="D286" s="9">
        <v>19.319500000005768</v>
      </c>
      <c r="E286" s="1">
        <v>8.7150300000000005</v>
      </c>
      <c r="F286" s="1">
        <v>9.7698499999999999</v>
      </c>
      <c r="G286" s="1">
        <v>17.0625</v>
      </c>
      <c r="H286" s="1">
        <v>11.318</v>
      </c>
    </row>
    <row r="287" spans="1:8" x14ac:dyDescent="0.3">
      <c r="A287" t="e">
        <f t="shared" si="9"/>
        <v>#REF!</v>
      </c>
      <c r="B287">
        <v>3353</v>
      </c>
      <c r="C287" s="1">
        <v>21.670937332528041</v>
      </c>
      <c r="D287" s="9">
        <v>19.366722222228077</v>
      </c>
      <c r="E287" s="1">
        <v>10.186299999999999</v>
      </c>
      <c r="F287" s="1">
        <v>10.622400000000001</v>
      </c>
      <c r="G287" s="1">
        <v>17.148299999999999</v>
      </c>
      <c r="H287" s="1">
        <v>12.7475</v>
      </c>
    </row>
    <row r="288" spans="1:8" x14ac:dyDescent="0.3">
      <c r="A288" t="e">
        <f t="shared" si="9"/>
        <v>#REF!</v>
      </c>
      <c r="B288">
        <v>3403</v>
      </c>
      <c r="C288" s="1">
        <v>21.339253520166359</v>
      </c>
      <c r="D288" s="9">
        <v>19.413944444450387</v>
      </c>
      <c r="E288" s="1">
        <v>11.9541</v>
      </c>
      <c r="F288" s="1">
        <v>12.164099999999999</v>
      </c>
      <c r="G288" s="1">
        <v>17.425899999999999</v>
      </c>
      <c r="H288" s="1">
        <v>14.167899999999999</v>
      </c>
    </row>
    <row r="289" spans="1:8" x14ac:dyDescent="0.3">
      <c r="A289" t="e">
        <f t="shared" si="9"/>
        <v>#REF!</v>
      </c>
      <c r="B289">
        <v>3453</v>
      </c>
      <c r="C289" s="1">
        <v>20.890576837881859</v>
      </c>
      <c r="D289" s="9">
        <v>19.461166666672696</v>
      </c>
      <c r="E289" s="1">
        <v>13.8346</v>
      </c>
      <c r="F289" s="1">
        <v>13.9339</v>
      </c>
      <c r="G289" s="1">
        <v>17.841899999999999</v>
      </c>
      <c r="H289" s="1">
        <v>15.565099999999999</v>
      </c>
    </row>
    <row r="290" spans="1:8" x14ac:dyDescent="0.3">
      <c r="A290" t="e">
        <f t="shared" si="9"/>
        <v>#REF!</v>
      </c>
      <c r="B290">
        <v>3503</v>
      </c>
      <c r="C290" s="1">
        <v>20.387409061672251</v>
      </c>
      <c r="D290" s="9">
        <v>19.508388888895006</v>
      </c>
      <c r="E290" s="1">
        <v>15.770200000000001</v>
      </c>
      <c r="F290" s="1">
        <v>15.8124</v>
      </c>
      <c r="G290" s="1">
        <v>18.366399999999999</v>
      </c>
      <c r="H290" s="1">
        <v>16.946999999999999</v>
      </c>
    </row>
    <row r="291" spans="1:8" x14ac:dyDescent="0.3">
      <c r="A291" t="e">
        <f t="shared" si="9"/>
        <v>#REF!</v>
      </c>
      <c r="B291">
        <v>3553</v>
      </c>
      <c r="C291" s="1">
        <v>20.007048702814838</v>
      </c>
      <c r="D291" s="9">
        <v>19.555611111117315</v>
      </c>
      <c r="E291" s="1">
        <v>17.735800000000001</v>
      </c>
      <c r="F291" s="1">
        <v>17.748799999999999</v>
      </c>
      <c r="G291" s="1">
        <v>18.9726</v>
      </c>
      <c r="H291" s="1">
        <v>18.318200000000001</v>
      </c>
    </row>
    <row r="292" spans="1:8" x14ac:dyDescent="0.3">
      <c r="A292">
        <v>4</v>
      </c>
      <c r="B292">
        <v>4</v>
      </c>
      <c r="C292" s="1">
        <v>16.19463650232672</v>
      </c>
      <c r="D292" s="9">
        <v>16.203777777777784</v>
      </c>
      <c r="E292" s="1">
        <v>16.051400000000001</v>
      </c>
      <c r="F292" s="1">
        <v>16.041499999999999</v>
      </c>
      <c r="G292" s="1">
        <v>16.150500000000001</v>
      </c>
      <c r="H292" s="1">
        <v>16.050999999999998</v>
      </c>
    </row>
    <row r="293" spans="1:8" x14ac:dyDescent="0.3">
      <c r="A293" t="e">
        <f t="shared" ref="A293:A324" si="10">A243</f>
        <v>#REF!</v>
      </c>
      <c r="B293">
        <v>54</v>
      </c>
      <c r="C293" s="1">
        <v>16.16990457550159</v>
      </c>
      <c r="D293" s="9">
        <v>16.251000000000094</v>
      </c>
      <c r="E293" s="1">
        <v>14.2049</v>
      </c>
      <c r="F293" s="1">
        <v>14.072699999999999</v>
      </c>
      <c r="G293" s="1">
        <v>15.5589</v>
      </c>
      <c r="H293" s="1">
        <v>14.184200000000001</v>
      </c>
    </row>
    <row r="294" spans="1:8" x14ac:dyDescent="0.3">
      <c r="A294" t="e">
        <f t="shared" si="10"/>
        <v>#REF!</v>
      </c>
      <c r="B294">
        <v>104</v>
      </c>
      <c r="C294" s="1">
        <v>16.23</v>
      </c>
      <c r="D294" s="9">
        <v>16.298222222222403</v>
      </c>
      <c r="E294" s="1">
        <v>12.384399999999999</v>
      </c>
      <c r="F294" s="1">
        <v>12.1386</v>
      </c>
      <c r="G294" s="1">
        <v>15.027100000000001</v>
      </c>
      <c r="H294" s="1">
        <v>12.3079</v>
      </c>
    </row>
    <row r="295" spans="1:8" x14ac:dyDescent="0.3">
      <c r="A295" t="e">
        <f t="shared" si="10"/>
        <v>#REF!</v>
      </c>
      <c r="B295">
        <v>154</v>
      </c>
      <c r="C295" s="1">
        <v>16.443347906838529</v>
      </c>
      <c r="D295" s="9">
        <v>16.345444444444713</v>
      </c>
      <c r="E295" s="1">
        <v>10.602</v>
      </c>
      <c r="F295" s="1">
        <v>10.263999999999999</v>
      </c>
      <c r="G295" s="1">
        <v>14.569900000000001</v>
      </c>
      <c r="H295" s="1">
        <v>10.4215</v>
      </c>
    </row>
    <row r="296" spans="1:8" x14ac:dyDescent="0.3">
      <c r="A296" t="e">
        <f t="shared" si="10"/>
        <v>#REF!</v>
      </c>
      <c r="B296">
        <v>204</v>
      </c>
      <c r="C296" s="1">
        <v>16.8</v>
      </c>
      <c r="D296" s="9">
        <v>16.392666666667022</v>
      </c>
      <c r="E296" s="1">
        <v>8.8795300000000008</v>
      </c>
      <c r="F296" s="1">
        <v>8.5017499999999995</v>
      </c>
      <c r="G296" s="1">
        <v>14.2051</v>
      </c>
      <c r="H296" s="1">
        <v>8.5261999999999993</v>
      </c>
    </row>
    <row r="297" spans="1:8" x14ac:dyDescent="0.3">
      <c r="A297" t="e">
        <f t="shared" si="10"/>
        <v>#REF!</v>
      </c>
      <c r="B297">
        <v>254</v>
      </c>
      <c r="C297" s="1">
        <v>16.886657309804949</v>
      </c>
      <c r="D297" s="9">
        <v>16.439888888889332</v>
      </c>
      <c r="E297" s="1">
        <v>7.2589600000000001</v>
      </c>
      <c r="F297" s="1">
        <v>6.9756900000000002</v>
      </c>
      <c r="G297" s="1">
        <v>13.935700000000001</v>
      </c>
      <c r="H297" s="1">
        <v>6.6335800000000003</v>
      </c>
    </row>
    <row r="298" spans="1:8" x14ac:dyDescent="0.3">
      <c r="A298">
        <f t="shared" si="10"/>
        <v>2</v>
      </c>
      <c r="B298">
        <v>304</v>
      </c>
      <c r="C298" s="1">
        <v>17.104471589359981</v>
      </c>
      <c r="D298" s="9">
        <v>16.487111111111641</v>
      </c>
      <c r="E298" s="1">
        <v>5.9255599999999999</v>
      </c>
      <c r="F298" s="1">
        <v>6.19536</v>
      </c>
      <c r="G298" s="1">
        <v>13.814399999999999</v>
      </c>
      <c r="H298" s="1">
        <v>4.93588</v>
      </c>
    </row>
    <row r="299" spans="1:8" x14ac:dyDescent="0.3">
      <c r="A299" t="e">
        <f t="shared" si="10"/>
        <v>#REF!</v>
      </c>
      <c r="B299">
        <v>354</v>
      </c>
      <c r="C299" s="1">
        <v>17.316846825437018</v>
      </c>
      <c r="D299" s="9">
        <v>16.534333333333951</v>
      </c>
      <c r="E299" s="1">
        <v>5.0724099999999996</v>
      </c>
      <c r="F299" s="1">
        <v>6.4238099999999996</v>
      </c>
      <c r="G299" s="1">
        <v>13.9963</v>
      </c>
      <c r="H299" s="1">
        <v>3.75528</v>
      </c>
    </row>
    <row r="300" spans="1:8" x14ac:dyDescent="0.3">
      <c r="A300" t="e">
        <f t="shared" si="10"/>
        <v>#REF!</v>
      </c>
      <c r="B300">
        <v>404</v>
      </c>
      <c r="C300" s="1">
        <v>17.510000000000002</v>
      </c>
      <c r="D300" s="9">
        <v>16.58155555555626</v>
      </c>
      <c r="E300" s="1">
        <v>4.4946700000000002</v>
      </c>
      <c r="F300" s="1">
        <v>6.7086699999999997</v>
      </c>
      <c r="G300" s="1">
        <v>14.0648</v>
      </c>
      <c r="H300" s="1">
        <v>2.9402900000000001</v>
      </c>
    </row>
    <row r="301" spans="1:8" x14ac:dyDescent="0.3">
      <c r="A301" t="e">
        <f t="shared" si="10"/>
        <v>#REF!</v>
      </c>
      <c r="B301">
        <v>454</v>
      </c>
      <c r="C301" s="1">
        <v>17.829999999999998</v>
      </c>
      <c r="D301" s="9">
        <v>16.62877777777857</v>
      </c>
      <c r="E301" s="1">
        <v>4.1088300000000002</v>
      </c>
      <c r="F301" s="1">
        <v>6.6756799999999998</v>
      </c>
      <c r="G301" s="1">
        <v>13.8507</v>
      </c>
      <c r="H301" s="1">
        <v>2.4419200000000001</v>
      </c>
    </row>
    <row r="302" spans="1:8" x14ac:dyDescent="0.3">
      <c r="A302">
        <f t="shared" si="10"/>
        <v>0</v>
      </c>
      <c r="B302">
        <v>504</v>
      </c>
      <c r="C302" s="1">
        <v>17.989999999999998</v>
      </c>
      <c r="D302" s="9">
        <v>16.676000000000879</v>
      </c>
      <c r="E302" s="1">
        <v>3.6268400000000001</v>
      </c>
      <c r="F302" s="1">
        <v>6.23841</v>
      </c>
      <c r="G302" s="1">
        <v>13.5059</v>
      </c>
      <c r="H302" s="1">
        <v>1.96709</v>
      </c>
    </row>
    <row r="303" spans="1:8" x14ac:dyDescent="0.3">
      <c r="A303">
        <f t="shared" si="10"/>
        <v>0</v>
      </c>
      <c r="B303">
        <v>554</v>
      </c>
      <c r="C303" s="1">
        <v>18.19474129108233</v>
      </c>
      <c r="D303" s="9">
        <v>16.723222222223189</v>
      </c>
      <c r="E303" s="1">
        <v>2.8324799999999999</v>
      </c>
      <c r="F303" s="1">
        <v>5.4061500000000002</v>
      </c>
      <c r="G303" s="1">
        <v>13.177199999999999</v>
      </c>
      <c r="H303" s="1">
        <v>1.28498</v>
      </c>
    </row>
    <row r="304" spans="1:8" x14ac:dyDescent="0.3">
      <c r="A304" t="e">
        <f t="shared" si="10"/>
        <v>#REF!</v>
      </c>
      <c r="B304">
        <v>604</v>
      </c>
      <c r="C304" s="1">
        <v>18.398202078551069</v>
      </c>
      <c r="D304" s="9">
        <v>16.770444444445499</v>
      </c>
      <c r="E304" s="1">
        <v>1.90988</v>
      </c>
      <c r="F304" s="1">
        <v>4.38117</v>
      </c>
      <c r="G304" s="1">
        <v>12.806800000000001</v>
      </c>
      <c r="H304" s="1">
        <v>0.56010899999999997</v>
      </c>
    </row>
    <row r="305" spans="1:8" x14ac:dyDescent="0.3">
      <c r="A305" t="e">
        <f t="shared" si="10"/>
        <v>#REF!</v>
      </c>
      <c r="B305">
        <v>654</v>
      </c>
      <c r="C305" s="1">
        <v>18.502245006443289</v>
      </c>
      <c r="D305" s="9">
        <v>16.817666666667808</v>
      </c>
      <c r="E305" s="1">
        <v>1.11852</v>
      </c>
      <c r="F305" s="1">
        <v>3.4033600000000002</v>
      </c>
      <c r="G305" s="1">
        <v>12.377599999999999</v>
      </c>
      <c r="H305" s="1">
        <v>5.1300499999999999E-2</v>
      </c>
    </row>
    <row r="306" spans="1:8" x14ac:dyDescent="0.3">
      <c r="A306" t="e">
        <f t="shared" si="10"/>
        <v>#REF!</v>
      </c>
      <c r="B306">
        <v>704</v>
      </c>
      <c r="C306" s="1">
        <v>18.700356154708832</v>
      </c>
      <c r="D306" s="9">
        <v>16.864888888890118</v>
      </c>
      <c r="E306" s="1">
        <v>0.68245599999999995</v>
      </c>
      <c r="F306" s="1">
        <v>2.68336</v>
      </c>
      <c r="G306" s="1">
        <v>12.1257</v>
      </c>
      <c r="H306" s="1">
        <v>5.0891699999999998E-2</v>
      </c>
    </row>
    <row r="307" spans="1:8" x14ac:dyDescent="0.3">
      <c r="A307" t="e">
        <f t="shared" si="10"/>
        <v>#REF!</v>
      </c>
      <c r="B307">
        <v>754</v>
      </c>
      <c r="C307" s="1">
        <v>18.829999999999998</v>
      </c>
      <c r="D307" s="9">
        <v>16.912111111112427</v>
      </c>
      <c r="E307" s="1">
        <v>0.70855400000000002</v>
      </c>
      <c r="F307" s="1">
        <v>2.3161299999999998</v>
      </c>
      <c r="G307" s="1">
        <v>12.241899999999999</v>
      </c>
      <c r="H307" s="1">
        <v>0.71207500000000001</v>
      </c>
    </row>
    <row r="308" spans="1:8" x14ac:dyDescent="0.3">
      <c r="A308" t="e">
        <f t="shared" si="10"/>
        <v>#REF!</v>
      </c>
      <c r="B308">
        <v>804</v>
      </c>
      <c r="C308" s="1">
        <v>19.20181289298937</v>
      </c>
      <c r="D308" s="9">
        <v>16.959333333334737</v>
      </c>
      <c r="E308" s="1">
        <v>0.96976099999999998</v>
      </c>
      <c r="F308" s="1">
        <v>2.0644</v>
      </c>
      <c r="G308" s="1">
        <v>12.6304</v>
      </c>
      <c r="H308" s="1">
        <v>1.74752</v>
      </c>
    </row>
    <row r="309" spans="1:8" x14ac:dyDescent="0.3">
      <c r="A309" t="e">
        <f t="shared" si="10"/>
        <v>#REF!</v>
      </c>
      <c r="B309">
        <v>854</v>
      </c>
      <c r="C309" s="1">
        <v>19.41134740523173</v>
      </c>
      <c r="D309" s="9">
        <v>17.006555555557046</v>
      </c>
      <c r="E309" s="1">
        <v>1.25508</v>
      </c>
      <c r="F309" s="1">
        <v>1.7601599999999999</v>
      </c>
      <c r="G309" s="1">
        <v>13.1013</v>
      </c>
      <c r="H309" s="1">
        <v>2.7836400000000001</v>
      </c>
    </row>
    <row r="310" spans="1:8" x14ac:dyDescent="0.3">
      <c r="A310" t="e">
        <f t="shared" si="10"/>
        <v>#REF!</v>
      </c>
      <c r="B310">
        <v>904</v>
      </c>
      <c r="C310" s="1">
        <v>19.707603635660089</v>
      </c>
      <c r="D310" s="9">
        <v>17.053777777779356</v>
      </c>
      <c r="E310" s="1">
        <v>1.59328</v>
      </c>
      <c r="F310" s="1">
        <v>1.63517</v>
      </c>
      <c r="G310" s="1">
        <v>13.3428</v>
      </c>
      <c r="H310" s="1">
        <v>3.4368699999999999</v>
      </c>
    </row>
    <row r="311" spans="1:8" x14ac:dyDescent="0.3">
      <c r="A311" t="e">
        <f t="shared" si="10"/>
        <v>#REF!</v>
      </c>
      <c r="B311">
        <v>954</v>
      </c>
      <c r="C311" s="1">
        <v>20.015196176684849</v>
      </c>
      <c r="D311" s="9">
        <v>17.101000000001665</v>
      </c>
      <c r="E311" s="1">
        <v>1.9954499999999999</v>
      </c>
      <c r="F311" s="1">
        <v>1.89425</v>
      </c>
      <c r="G311" s="1">
        <v>13.168900000000001</v>
      </c>
      <c r="H311" s="1">
        <v>3.4723299999999999</v>
      </c>
    </row>
    <row r="312" spans="1:8" x14ac:dyDescent="0.3">
      <c r="A312" t="e">
        <f t="shared" si="10"/>
        <v>#REF!</v>
      </c>
      <c r="B312">
        <v>1004</v>
      </c>
      <c r="C312" s="1">
        <v>20.398032697973498</v>
      </c>
      <c r="D312" s="9">
        <v>17.148222222223975</v>
      </c>
      <c r="E312" s="1">
        <v>2.2822399999999998</v>
      </c>
      <c r="F312" s="1">
        <v>2.43316</v>
      </c>
      <c r="G312" s="1">
        <v>12.8462</v>
      </c>
      <c r="H312" s="1">
        <v>3.1085099999999999</v>
      </c>
    </row>
    <row r="313" spans="1:8" x14ac:dyDescent="0.3">
      <c r="A313" t="e">
        <f t="shared" si="10"/>
        <v>#REF!</v>
      </c>
      <c r="B313">
        <v>1054</v>
      </c>
      <c r="C313" s="1">
        <v>20.850858608728949</v>
      </c>
      <c r="D313" s="9">
        <v>17.195444444446284</v>
      </c>
      <c r="E313" s="1">
        <v>2.3321700000000001</v>
      </c>
      <c r="F313" s="1">
        <v>3.04922</v>
      </c>
      <c r="G313" s="1">
        <v>12.6607</v>
      </c>
      <c r="H313" s="1">
        <v>2.67394</v>
      </c>
    </row>
    <row r="314" spans="1:8" x14ac:dyDescent="0.3">
      <c r="A314" t="e">
        <f t="shared" si="10"/>
        <v>#REF!</v>
      </c>
      <c r="B314">
        <v>1104</v>
      </c>
      <c r="C314" s="1">
        <v>21.221657245515509</v>
      </c>
      <c r="D314" s="9">
        <v>17.242666666668594</v>
      </c>
      <c r="E314" s="1">
        <v>2.3062299999999998</v>
      </c>
      <c r="F314" s="1">
        <v>3.4188399999999999</v>
      </c>
      <c r="G314" s="1">
        <v>12.699199999999999</v>
      </c>
      <c r="H314" s="1">
        <v>2.5722399999999999</v>
      </c>
    </row>
    <row r="315" spans="1:8" x14ac:dyDescent="0.3">
      <c r="A315" t="e">
        <f t="shared" si="10"/>
        <v>#REF!</v>
      </c>
      <c r="B315">
        <v>1154</v>
      </c>
      <c r="C315" s="1">
        <v>21.542794870684059</v>
      </c>
      <c r="D315" s="9">
        <v>17.289888888890903</v>
      </c>
      <c r="E315" s="1">
        <v>2.3255400000000002</v>
      </c>
      <c r="F315" s="1">
        <v>3.3569599999999999</v>
      </c>
      <c r="G315" s="1">
        <v>12.936299999999999</v>
      </c>
      <c r="H315" s="1">
        <v>3.0552800000000002</v>
      </c>
    </row>
    <row r="316" spans="1:8" x14ac:dyDescent="0.3">
      <c r="A316" t="e">
        <f t="shared" si="10"/>
        <v>#REF!</v>
      </c>
      <c r="B316">
        <v>1204</v>
      </c>
      <c r="C316" s="1">
        <v>21.971823580353831</v>
      </c>
      <c r="D316" s="9">
        <v>17.337111111113213</v>
      </c>
      <c r="E316" s="1">
        <v>2.23203</v>
      </c>
      <c r="F316" s="1">
        <v>3.1616399999999998</v>
      </c>
      <c r="G316" s="1">
        <v>13.122999999999999</v>
      </c>
      <c r="H316" s="1">
        <v>3.8797100000000002</v>
      </c>
    </row>
    <row r="317" spans="1:8" x14ac:dyDescent="0.3">
      <c r="A317" t="e">
        <f t="shared" si="10"/>
        <v>#REF!</v>
      </c>
      <c r="B317">
        <v>1254</v>
      </c>
      <c r="C317" s="1">
        <v>22.38317491795511</v>
      </c>
      <c r="D317" s="9">
        <v>17.384333333335523</v>
      </c>
      <c r="E317" s="1">
        <v>1.9347700000000001</v>
      </c>
      <c r="F317" s="1">
        <v>3.1347100000000001</v>
      </c>
      <c r="G317" s="1">
        <v>13.0901</v>
      </c>
      <c r="H317" s="1">
        <v>4.7356199999999999</v>
      </c>
    </row>
    <row r="318" spans="1:8" x14ac:dyDescent="0.3">
      <c r="A318" t="e">
        <f t="shared" si="10"/>
        <v>#REF!</v>
      </c>
      <c r="B318">
        <v>1304</v>
      </c>
      <c r="C318" s="1">
        <v>22.833724413883541</v>
      </c>
      <c r="D318" s="9">
        <v>17.431555555557832</v>
      </c>
      <c r="E318" s="1">
        <v>1.70017</v>
      </c>
      <c r="F318" s="1">
        <v>3.3199100000000001</v>
      </c>
      <c r="G318" s="1">
        <v>13.034800000000001</v>
      </c>
      <c r="H318" s="1">
        <v>5.38924</v>
      </c>
    </row>
    <row r="319" spans="1:8" x14ac:dyDescent="0.3">
      <c r="A319" t="e">
        <f t="shared" si="10"/>
        <v>#REF!</v>
      </c>
      <c r="B319">
        <v>1354</v>
      </c>
      <c r="C319" s="1">
        <v>23.100673043099551</v>
      </c>
      <c r="D319" s="9">
        <v>17.478777777780142</v>
      </c>
      <c r="E319" s="1">
        <v>1.7717400000000001</v>
      </c>
      <c r="F319" s="1">
        <v>3.6780499999999998</v>
      </c>
      <c r="G319" s="1">
        <v>13.1165</v>
      </c>
      <c r="H319" s="1">
        <v>5.7212800000000001</v>
      </c>
    </row>
    <row r="320" spans="1:8" x14ac:dyDescent="0.3">
      <c r="A320">
        <f t="shared" si="10"/>
        <v>3</v>
      </c>
      <c r="B320">
        <v>1404</v>
      </c>
      <c r="C320" s="1">
        <v>23.22</v>
      </c>
      <c r="D320" s="9">
        <v>17.526000000002451</v>
      </c>
      <c r="E320" s="1">
        <v>2.1255500000000001</v>
      </c>
      <c r="F320" s="1">
        <v>4.0658899999999996</v>
      </c>
      <c r="G320" s="1">
        <v>13.177199999999999</v>
      </c>
      <c r="H320" s="1">
        <v>5.9099399999999997</v>
      </c>
    </row>
    <row r="321" spans="1:8" x14ac:dyDescent="0.3">
      <c r="A321" t="e">
        <f t="shared" si="10"/>
        <v>#REF!</v>
      </c>
      <c r="B321">
        <v>1454</v>
      </c>
      <c r="C321" s="1">
        <v>23.252614603048109</v>
      </c>
      <c r="D321" s="9">
        <v>17.573222222224761</v>
      </c>
      <c r="E321" s="1">
        <v>2.63815</v>
      </c>
      <c r="F321" s="1">
        <v>4.3644999999999996</v>
      </c>
      <c r="G321" s="1">
        <v>13.099299999999999</v>
      </c>
      <c r="H321" s="1">
        <v>6.0932599999999999</v>
      </c>
    </row>
    <row r="322" spans="1:8" x14ac:dyDescent="0.3">
      <c r="A322" t="e">
        <f t="shared" si="10"/>
        <v>#REF!</v>
      </c>
      <c r="B322">
        <v>1504</v>
      </c>
      <c r="C322" s="1">
        <v>23.102555183784499</v>
      </c>
      <c r="D322" s="9">
        <v>17.62044444444707</v>
      </c>
      <c r="E322" s="1">
        <v>3.0379999999999998</v>
      </c>
      <c r="F322" s="1">
        <v>4.5843800000000003</v>
      </c>
      <c r="G322" s="1">
        <v>13.059699999999999</v>
      </c>
      <c r="H322" s="1">
        <v>6.1287799999999999</v>
      </c>
    </row>
    <row r="323" spans="1:8" x14ac:dyDescent="0.3">
      <c r="A323" t="e">
        <f t="shared" si="10"/>
        <v>#REF!</v>
      </c>
      <c r="B323">
        <v>1554</v>
      </c>
      <c r="C323" s="1">
        <v>22.83860946648246</v>
      </c>
      <c r="D323" s="9">
        <v>17.66766666666938</v>
      </c>
      <c r="E323" s="1">
        <v>3.1880700000000002</v>
      </c>
      <c r="F323" s="1">
        <v>4.8136000000000001</v>
      </c>
      <c r="G323" s="1">
        <v>13.190300000000001</v>
      </c>
      <c r="H323" s="1">
        <v>5.8700900000000003</v>
      </c>
    </row>
    <row r="324" spans="1:8" x14ac:dyDescent="0.3">
      <c r="A324" t="e">
        <f t="shared" si="10"/>
        <v>#REF!</v>
      </c>
      <c r="B324">
        <v>1604</v>
      </c>
      <c r="C324" s="1">
        <v>22.484499386725108</v>
      </c>
      <c r="D324" s="9">
        <v>17.714888888891689</v>
      </c>
      <c r="E324" s="1">
        <v>3.4315199999999999</v>
      </c>
      <c r="F324" s="1">
        <v>5.2991099999999998</v>
      </c>
      <c r="G324" s="1">
        <v>13.3284</v>
      </c>
      <c r="H324" s="1">
        <v>5.3108300000000002</v>
      </c>
    </row>
    <row r="325" spans="1:8" x14ac:dyDescent="0.3">
      <c r="A325" t="e">
        <f t="shared" ref="A325:A356" si="11">A275</f>
        <v>#REF!</v>
      </c>
      <c r="B325">
        <v>1654</v>
      </c>
      <c r="C325" s="1">
        <v>22.050299241192839</v>
      </c>
      <c r="D325" s="9">
        <v>17.762111111113999</v>
      </c>
      <c r="E325" s="1">
        <v>4.0496999999999996</v>
      </c>
      <c r="F325" s="1">
        <v>6.1907500000000004</v>
      </c>
      <c r="G325" s="1">
        <v>13.347</v>
      </c>
      <c r="H325" s="1">
        <v>4.4879499999999997</v>
      </c>
    </row>
    <row r="326" spans="1:8" x14ac:dyDescent="0.3">
      <c r="A326">
        <f t="shared" si="11"/>
        <v>1</v>
      </c>
      <c r="B326">
        <v>1704</v>
      </c>
      <c r="C326" s="1">
        <v>21.63724930816209</v>
      </c>
      <c r="D326" s="9">
        <v>17.809333333336308</v>
      </c>
      <c r="E326" s="1">
        <v>4.8796499999999998</v>
      </c>
      <c r="F326" s="1">
        <v>7.2652599999999996</v>
      </c>
      <c r="G326" s="1">
        <v>13.3835</v>
      </c>
      <c r="H326" s="1">
        <v>3.4902600000000001</v>
      </c>
    </row>
    <row r="327" spans="1:8" x14ac:dyDescent="0.3">
      <c r="A327" t="e">
        <f t="shared" si="11"/>
        <v>#REF!</v>
      </c>
      <c r="B327">
        <v>1754</v>
      </c>
      <c r="C327" s="1">
        <v>21.25</v>
      </c>
      <c r="D327" s="9">
        <v>17.856555555558618</v>
      </c>
      <c r="E327" s="1">
        <v>5.63565</v>
      </c>
      <c r="F327" s="1">
        <v>8.2398500000000006</v>
      </c>
      <c r="G327" s="1">
        <v>13.5322</v>
      </c>
      <c r="H327" s="1">
        <v>2.4032399999999998</v>
      </c>
    </row>
    <row r="328" spans="1:8" x14ac:dyDescent="0.3">
      <c r="A328" t="e">
        <f t="shared" si="11"/>
        <v>#REF!</v>
      </c>
      <c r="B328">
        <v>1804</v>
      </c>
      <c r="C328" s="1">
        <v>20.881936788107112</v>
      </c>
      <c r="D328" s="9">
        <v>17.903777777780927</v>
      </c>
      <c r="E328" s="1">
        <v>5.91092</v>
      </c>
      <c r="F328" s="1">
        <v>8.8580900000000007</v>
      </c>
      <c r="G328" s="1">
        <v>13.617699999999999</v>
      </c>
      <c r="H328" s="1">
        <v>1.2750300000000001</v>
      </c>
    </row>
    <row r="329" spans="1:8" x14ac:dyDescent="0.3">
      <c r="A329" t="e">
        <f t="shared" si="11"/>
        <v>#REF!</v>
      </c>
      <c r="B329">
        <v>1854</v>
      </c>
      <c r="C329" s="1">
        <v>20.53082496505407</v>
      </c>
      <c r="D329" s="9">
        <v>17.951000000003237</v>
      </c>
      <c r="E329" s="1">
        <v>5.4621300000000002</v>
      </c>
      <c r="F329" s="1">
        <v>9.01</v>
      </c>
      <c r="G329" s="1">
        <v>13.5215</v>
      </c>
      <c r="H329" s="1">
        <v>0.124025</v>
      </c>
    </row>
    <row r="330" spans="1:8" x14ac:dyDescent="0.3">
      <c r="A330" t="e">
        <f t="shared" si="11"/>
        <v>#REF!</v>
      </c>
      <c r="B330">
        <v>1904</v>
      </c>
      <c r="C330" s="1">
        <v>20.115466501789349</v>
      </c>
      <c r="D330" s="9">
        <v>17.998222222225547</v>
      </c>
      <c r="E330" s="1">
        <v>4.5894399999999997</v>
      </c>
      <c r="F330" s="1">
        <v>8.9995700000000003</v>
      </c>
      <c r="G330" s="1">
        <v>13.435</v>
      </c>
      <c r="H330" s="1">
        <v>-1.0980399999999999</v>
      </c>
    </row>
    <row r="331" spans="1:8" x14ac:dyDescent="0.3">
      <c r="A331" t="e">
        <f t="shared" si="11"/>
        <v>#REF!</v>
      </c>
      <c r="B331">
        <v>1954</v>
      </c>
      <c r="C331" s="1">
        <v>19.782621575907591</v>
      </c>
      <c r="D331" s="9">
        <v>18.045444444447856</v>
      </c>
      <c r="E331" s="1">
        <v>3.6728499999999999</v>
      </c>
      <c r="F331" s="1">
        <v>9.0725499999999997</v>
      </c>
      <c r="G331" s="1">
        <v>13.5108</v>
      </c>
      <c r="H331" s="1">
        <v>-2.4066399999999999</v>
      </c>
    </row>
    <row r="332" spans="1:8" x14ac:dyDescent="0.3">
      <c r="A332" t="e">
        <f t="shared" si="11"/>
        <v>#REF!</v>
      </c>
      <c r="B332">
        <v>2004</v>
      </c>
      <c r="C332" s="1">
        <v>19.495809237778769</v>
      </c>
      <c r="D332" s="9">
        <v>18.092666666670166</v>
      </c>
      <c r="E332" s="1">
        <v>3.0365099999999998</v>
      </c>
      <c r="F332" s="1">
        <v>9.0860400000000006</v>
      </c>
      <c r="G332" s="1">
        <v>13.6248</v>
      </c>
      <c r="H332" s="1">
        <v>-3.6871700000000001</v>
      </c>
    </row>
    <row r="333" spans="1:8" x14ac:dyDescent="0.3">
      <c r="A333" t="e">
        <f t="shared" si="11"/>
        <v>#REF!</v>
      </c>
      <c r="B333">
        <v>2054</v>
      </c>
      <c r="C333" s="1">
        <v>19.302731559893719</v>
      </c>
      <c r="D333" s="9">
        <v>18.139888888892475</v>
      </c>
      <c r="E333" s="1">
        <v>2.8418800000000002</v>
      </c>
      <c r="F333" s="1">
        <v>8.9111899999999995</v>
      </c>
      <c r="G333" s="1">
        <v>13.6751</v>
      </c>
      <c r="H333" s="1">
        <v>-4.8161399999999999</v>
      </c>
    </row>
    <row r="334" spans="1:8" x14ac:dyDescent="0.3">
      <c r="A334" t="e">
        <f t="shared" si="11"/>
        <v>#REF!</v>
      </c>
      <c r="B334">
        <v>2104</v>
      </c>
      <c r="C334" s="1">
        <v>19.2</v>
      </c>
      <c r="D334" s="9">
        <v>18.187111111114785</v>
      </c>
      <c r="E334" s="1">
        <v>2.8078400000000001</v>
      </c>
      <c r="F334" s="1">
        <v>8.6641999999999992</v>
      </c>
      <c r="G334" s="1">
        <v>13.770300000000001</v>
      </c>
      <c r="H334" s="1">
        <v>-5.7120899999999999</v>
      </c>
    </row>
    <row r="335" spans="1:8" x14ac:dyDescent="0.3">
      <c r="A335" t="e">
        <f t="shared" si="11"/>
        <v>#REF!</v>
      </c>
      <c r="B335">
        <v>2154</v>
      </c>
      <c r="C335" s="1">
        <v>19.19177166237867</v>
      </c>
      <c r="D335" s="9">
        <v>18.234333333337094</v>
      </c>
      <c r="E335" s="1">
        <v>2.7011400000000001</v>
      </c>
      <c r="F335" s="1">
        <v>8.4883799999999994</v>
      </c>
      <c r="G335" s="1">
        <v>13.970499999999999</v>
      </c>
      <c r="H335" s="1">
        <v>-6.2766599999999997</v>
      </c>
    </row>
    <row r="336" spans="1:8" x14ac:dyDescent="0.3">
      <c r="A336" t="e">
        <f t="shared" si="11"/>
        <v>#REF!</v>
      </c>
      <c r="B336">
        <v>2204</v>
      </c>
      <c r="C336" s="1">
        <v>19.18</v>
      </c>
      <c r="D336" s="9">
        <v>18.281555555559404</v>
      </c>
      <c r="E336" s="1">
        <v>2.6574</v>
      </c>
      <c r="F336" s="1">
        <v>8.4774499999999993</v>
      </c>
      <c r="G336" s="1">
        <v>14.0868</v>
      </c>
      <c r="H336" s="1">
        <v>-6.3411299999999997</v>
      </c>
    </row>
    <row r="337" spans="1:8" x14ac:dyDescent="0.3">
      <c r="A337" t="e">
        <f t="shared" si="11"/>
        <v>#REF!</v>
      </c>
      <c r="B337">
        <v>2254</v>
      </c>
      <c r="C337" s="1">
        <v>19.353753904330048</v>
      </c>
      <c r="D337" s="9">
        <v>18.328777777781713</v>
      </c>
      <c r="E337" s="1">
        <v>2.7813400000000001</v>
      </c>
      <c r="F337" s="1">
        <v>8.6317199999999996</v>
      </c>
      <c r="G337" s="1">
        <v>13.991899999999999</v>
      </c>
      <c r="H337" s="1">
        <v>-5.8287500000000003</v>
      </c>
    </row>
    <row r="338" spans="1:8" x14ac:dyDescent="0.3">
      <c r="A338" t="e">
        <f t="shared" si="11"/>
        <v>#REF!</v>
      </c>
      <c r="B338">
        <v>2304</v>
      </c>
      <c r="C338" s="1">
        <v>19.61047608532078</v>
      </c>
      <c r="D338" s="9">
        <v>18.376000000004023</v>
      </c>
      <c r="E338" s="1">
        <v>2.8980700000000001</v>
      </c>
      <c r="F338" s="1">
        <v>8.7077299999999997</v>
      </c>
      <c r="G338" s="1">
        <v>13.8652</v>
      </c>
      <c r="H338" s="1">
        <v>-4.9620600000000001</v>
      </c>
    </row>
    <row r="339" spans="1:8" x14ac:dyDescent="0.3">
      <c r="A339" t="e">
        <f t="shared" si="11"/>
        <v>#REF!</v>
      </c>
      <c r="B339">
        <v>2354</v>
      </c>
      <c r="C339" s="1">
        <v>19.99061826079587</v>
      </c>
      <c r="D339" s="9">
        <v>18.423222222226332</v>
      </c>
      <c r="E339" s="1">
        <v>2.8726699999999998</v>
      </c>
      <c r="F339" s="1">
        <v>8.5227199999999996</v>
      </c>
      <c r="G339" s="1">
        <v>13.8462</v>
      </c>
      <c r="H339" s="1">
        <v>-3.96116</v>
      </c>
    </row>
    <row r="340" spans="1:8" x14ac:dyDescent="0.3">
      <c r="A340" t="e">
        <f t="shared" si="11"/>
        <v>#REF!</v>
      </c>
      <c r="B340">
        <v>2404</v>
      </c>
      <c r="C340" s="1">
        <v>20.471471604899929</v>
      </c>
      <c r="D340" s="9">
        <v>18.470444444448642</v>
      </c>
      <c r="E340" s="1">
        <v>2.82877</v>
      </c>
      <c r="F340" s="1">
        <v>8.1946899999999996</v>
      </c>
      <c r="G340" s="1">
        <v>13.8033</v>
      </c>
      <c r="H340" s="1">
        <v>-2.8872200000000001</v>
      </c>
    </row>
    <row r="341" spans="1:8" x14ac:dyDescent="0.3">
      <c r="A341" t="e">
        <f t="shared" si="11"/>
        <v>#REF!</v>
      </c>
      <c r="B341">
        <v>2454</v>
      </c>
      <c r="C341" s="1">
        <v>21.100432616705518</v>
      </c>
      <c r="D341" s="9">
        <v>18.517666666670952</v>
      </c>
      <c r="E341" s="1">
        <v>2.8305899999999999</v>
      </c>
      <c r="F341" s="1">
        <v>7.9031099999999999</v>
      </c>
      <c r="G341" s="1">
        <v>13.6614</v>
      </c>
      <c r="H341" s="1">
        <v>-1.7614700000000001</v>
      </c>
    </row>
    <row r="342" spans="1:8" x14ac:dyDescent="0.3">
      <c r="A342">
        <f t="shared" si="11"/>
        <v>4</v>
      </c>
      <c r="B342">
        <v>2504</v>
      </c>
      <c r="C342" s="1">
        <v>21.61031620226418</v>
      </c>
      <c r="D342" s="9">
        <v>18.564888888893261</v>
      </c>
      <c r="E342" s="1">
        <v>2.6406000000000001</v>
      </c>
      <c r="F342" s="1">
        <v>7.8493899999999996</v>
      </c>
      <c r="G342" s="1">
        <v>13.644500000000001</v>
      </c>
      <c r="H342" s="1">
        <v>-0.57155999999999996</v>
      </c>
    </row>
    <row r="343" spans="1:8" x14ac:dyDescent="0.3">
      <c r="A343" t="e">
        <f t="shared" si="11"/>
        <v>#REF!</v>
      </c>
      <c r="B343">
        <v>2554</v>
      </c>
      <c r="C343" s="1">
        <v>22.08545174150391</v>
      </c>
      <c r="D343" s="9">
        <v>18.612111111115571</v>
      </c>
      <c r="E343" s="1">
        <v>2.0937700000000001</v>
      </c>
      <c r="F343" s="1">
        <v>8.1034100000000002</v>
      </c>
      <c r="G343" s="1">
        <v>13.9018</v>
      </c>
      <c r="H343" s="1">
        <v>0.68130000000000002</v>
      </c>
    </row>
    <row r="344" spans="1:8" x14ac:dyDescent="0.3">
      <c r="A344" t="e">
        <f t="shared" si="11"/>
        <v>#REF!</v>
      </c>
      <c r="B344">
        <v>2604</v>
      </c>
      <c r="C344" s="1">
        <v>22.443022420446319</v>
      </c>
      <c r="D344" s="9">
        <v>18.65933333333788</v>
      </c>
      <c r="E344" s="1">
        <v>1.38493</v>
      </c>
      <c r="F344" s="1">
        <v>8.34788</v>
      </c>
      <c r="G344" s="1">
        <v>14.2188</v>
      </c>
      <c r="H344" s="1">
        <v>1.9407300000000001</v>
      </c>
    </row>
    <row r="345" spans="1:8" x14ac:dyDescent="0.3">
      <c r="A345" t="e">
        <f t="shared" si="11"/>
        <v>#REF!</v>
      </c>
      <c r="B345">
        <v>2654</v>
      </c>
      <c r="C345" s="1">
        <v>22.8155752547624</v>
      </c>
      <c r="D345" s="9">
        <v>18.70655555556019</v>
      </c>
      <c r="E345" s="1">
        <v>0.78706600000000004</v>
      </c>
      <c r="F345" s="1">
        <v>8.3145699999999998</v>
      </c>
      <c r="G345" s="1">
        <v>14.357900000000001</v>
      </c>
      <c r="H345" s="1">
        <v>3.1344699999999999</v>
      </c>
    </row>
    <row r="346" spans="1:8" x14ac:dyDescent="0.3">
      <c r="A346" t="e">
        <f t="shared" si="11"/>
        <v>#REF!</v>
      </c>
      <c r="B346">
        <v>2704</v>
      </c>
      <c r="C346" s="1">
        <v>23.24529848273788</v>
      </c>
      <c r="D346" s="9">
        <v>18.753777777782499</v>
      </c>
      <c r="E346" s="1">
        <v>0.61396799999999996</v>
      </c>
      <c r="F346" s="1">
        <v>8.0711499999999994</v>
      </c>
      <c r="G346" s="1">
        <v>14.197800000000001</v>
      </c>
      <c r="H346" s="1">
        <v>4.17286</v>
      </c>
    </row>
    <row r="347" spans="1:8" x14ac:dyDescent="0.3">
      <c r="A347" t="e">
        <f t="shared" si="11"/>
        <v>#REF!</v>
      </c>
      <c r="B347">
        <v>2754</v>
      </c>
      <c r="C347" s="1">
        <v>23.706580374254091</v>
      </c>
      <c r="D347" s="9">
        <v>18.801000000004809</v>
      </c>
      <c r="E347" s="1">
        <v>1.0383599999999999</v>
      </c>
      <c r="F347" s="1">
        <v>7.8100899999999998</v>
      </c>
      <c r="G347" s="1">
        <v>13.741</v>
      </c>
      <c r="H347" s="1">
        <v>4.9751799999999999</v>
      </c>
    </row>
    <row r="348" spans="1:8" x14ac:dyDescent="0.3">
      <c r="A348">
        <f t="shared" si="11"/>
        <v>2</v>
      </c>
      <c r="B348">
        <v>2804</v>
      </c>
      <c r="C348" s="1">
        <v>24.021896161528321</v>
      </c>
      <c r="D348" s="9">
        <v>18.848222222227118</v>
      </c>
      <c r="E348" s="1">
        <v>1.81308</v>
      </c>
      <c r="F348" s="1">
        <v>7.9095300000000002</v>
      </c>
      <c r="G348" s="1">
        <v>13.2819</v>
      </c>
      <c r="H348" s="1">
        <v>5.4942500000000001</v>
      </c>
    </row>
    <row r="349" spans="1:8" x14ac:dyDescent="0.3">
      <c r="A349" t="e">
        <f t="shared" si="11"/>
        <v>#REF!</v>
      </c>
      <c r="B349">
        <v>2854</v>
      </c>
      <c r="C349" s="1">
        <v>24.225083643643671</v>
      </c>
      <c r="D349" s="9">
        <v>18.895444444449428</v>
      </c>
      <c r="E349" s="1">
        <v>2.6211199999999999</v>
      </c>
      <c r="F349" s="1">
        <v>8.6318000000000001</v>
      </c>
      <c r="G349" s="1">
        <v>13.1275</v>
      </c>
      <c r="H349" s="1">
        <v>5.7560599999999997</v>
      </c>
    </row>
    <row r="350" spans="1:8" x14ac:dyDescent="0.3">
      <c r="A350" t="e">
        <f t="shared" si="11"/>
        <v>#REF!</v>
      </c>
      <c r="B350">
        <v>2904</v>
      </c>
      <c r="C350" s="1">
        <v>24.26229274448967</v>
      </c>
      <c r="D350" s="9">
        <v>18.942666666671737</v>
      </c>
      <c r="E350" s="1">
        <v>3.15659</v>
      </c>
      <c r="F350" s="1">
        <v>9.8184199999999997</v>
      </c>
      <c r="G350" s="1">
        <v>13.4758</v>
      </c>
      <c r="H350" s="1">
        <v>5.97464</v>
      </c>
    </row>
    <row r="351" spans="1:8" x14ac:dyDescent="0.3">
      <c r="A351" t="e">
        <f t="shared" si="11"/>
        <v>#REF!</v>
      </c>
      <c r="B351">
        <v>2954</v>
      </c>
      <c r="C351" s="1">
        <v>24.135179638667331</v>
      </c>
      <c r="D351" s="9">
        <v>18.989888888894047</v>
      </c>
      <c r="E351" s="1">
        <v>3.2972299999999999</v>
      </c>
      <c r="F351" s="1">
        <v>11.203900000000001</v>
      </c>
      <c r="G351" s="1">
        <v>14.3896</v>
      </c>
      <c r="H351" s="1">
        <v>6.3047700000000004</v>
      </c>
    </row>
    <row r="352" spans="1:8" x14ac:dyDescent="0.3">
      <c r="A352">
        <f t="shared" si="11"/>
        <v>0</v>
      </c>
      <c r="B352">
        <v>3004</v>
      </c>
      <c r="C352" s="1">
        <v>24</v>
      </c>
      <c r="D352" s="9">
        <v>19.037111111116356</v>
      </c>
      <c r="E352" s="1">
        <v>3.43208</v>
      </c>
      <c r="F352" s="1">
        <v>12.429500000000001</v>
      </c>
      <c r="G352" s="1">
        <v>15.606299999999999</v>
      </c>
      <c r="H352" s="1">
        <v>6.6448</v>
      </c>
    </row>
    <row r="353" spans="1:8" x14ac:dyDescent="0.3">
      <c r="A353">
        <f t="shared" si="11"/>
        <v>0</v>
      </c>
      <c r="B353">
        <v>3054</v>
      </c>
      <c r="C353" s="1">
        <v>23.841403001739192</v>
      </c>
      <c r="D353" s="9">
        <v>19.084333333338666</v>
      </c>
      <c r="E353" s="1">
        <v>3.9137900000000001</v>
      </c>
      <c r="F353" s="1">
        <v>13.163500000000001</v>
      </c>
      <c r="G353" s="1">
        <v>16.802399999999999</v>
      </c>
      <c r="H353" s="1">
        <v>6.9311400000000001</v>
      </c>
    </row>
    <row r="354" spans="1:8" x14ac:dyDescent="0.3">
      <c r="A354" t="e">
        <f t="shared" si="11"/>
        <v>#REF!</v>
      </c>
      <c r="B354">
        <v>3104</v>
      </c>
      <c r="C354" s="1">
        <v>23.514919372857811</v>
      </c>
      <c r="D354" s="9">
        <v>19.131555555560976</v>
      </c>
      <c r="E354" s="1">
        <v>4.7377599999999997</v>
      </c>
      <c r="F354" s="1">
        <v>13.209199999999999</v>
      </c>
      <c r="G354" s="1">
        <v>17.651299999999999</v>
      </c>
      <c r="H354" s="1">
        <v>7.3264699999999996</v>
      </c>
    </row>
    <row r="355" spans="1:8" x14ac:dyDescent="0.3">
      <c r="A355" t="e">
        <f t="shared" si="11"/>
        <v>#REF!</v>
      </c>
      <c r="B355">
        <v>3154</v>
      </c>
      <c r="C355" s="1">
        <v>23.111074267554169</v>
      </c>
      <c r="D355" s="9">
        <v>19.178777777783285</v>
      </c>
      <c r="E355" s="1">
        <v>5.7902399999999998</v>
      </c>
      <c r="F355" s="1">
        <v>12.5404</v>
      </c>
      <c r="G355" s="1">
        <v>17.9528</v>
      </c>
      <c r="H355" s="1">
        <v>7.9766399999999997</v>
      </c>
    </row>
    <row r="356" spans="1:8" x14ac:dyDescent="0.3">
      <c r="A356" t="e">
        <f t="shared" si="11"/>
        <v>#REF!</v>
      </c>
      <c r="B356">
        <v>3204</v>
      </c>
      <c r="C356" s="1">
        <v>22.760665064825339</v>
      </c>
      <c r="D356" s="9">
        <v>19.226000000005595</v>
      </c>
      <c r="E356" s="1">
        <v>6.8472</v>
      </c>
      <c r="F356" s="1">
        <v>11.482100000000001</v>
      </c>
      <c r="G356" s="1">
        <v>17.8172</v>
      </c>
      <c r="H356" s="1">
        <v>8.8909900000000004</v>
      </c>
    </row>
    <row r="357" spans="1:8" x14ac:dyDescent="0.3">
      <c r="A357" t="e">
        <f t="shared" ref="A357:A363" si="12">A307</f>
        <v>#REF!</v>
      </c>
      <c r="B357">
        <v>3254</v>
      </c>
      <c r="C357" s="1">
        <v>22.388914080427629</v>
      </c>
      <c r="D357" s="9">
        <v>19.273222222227904</v>
      </c>
      <c r="E357" s="1">
        <v>7.7647000000000004</v>
      </c>
      <c r="F357" s="1">
        <v>10.3917</v>
      </c>
      <c r="G357" s="1">
        <v>17.421800000000001</v>
      </c>
      <c r="H357" s="1">
        <v>10.036300000000001</v>
      </c>
    </row>
    <row r="358" spans="1:8" x14ac:dyDescent="0.3">
      <c r="A358" t="e">
        <f t="shared" si="12"/>
        <v>#REF!</v>
      </c>
      <c r="B358">
        <v>3304</v>
      </c>
      <c r="C358" s="1">
        <v>21.980059400387479</v>
      </c>
      <c r="D358" s="9">
        <v>19.320444444450214</v>
      </c>
      <c r="E358" s="1">
        <v>8.7383600000000001</v>
      </c>
      <c r="F358" s="1">
        <v>9.7700399999999998</v>
      </c>
      <c r="G358" s="1">
        <v>17.0593</v>
      </c>
      <c r="H358" s="1">
        <v>11.345599999999999</v>
      </c>
    </row>
    <row r="359" spans="1:8" x14ac:dyDescent="0.3">
      <c r="A359" t="e">
        <f t="shared" si="12"/>
        <v>#REF!</v>
      </c>
      <c r="B359">
        <v>3354</v>
      </c>
      <c r="C359" s="1">
        <v>21.666692685575612</v>
      </c>
      <c r="D359" s="9">
        <v>19.367666666672523</v>
      </c>
      <c r="E359" s="1">
        <v>10.219900000000001</v>
      </c>
      <c r="F359" s="1">
        <v>10.6495</v>
      </c>
      <c r="G359" s="1">
        <v>17.1525</v>
      </c>
      <c r="H359" s="1">
        <v>12.776199999999999</v>
      </c>
    </row>
    <row r="360" spans="1:8" x14ac:dyDescent="0.3">
      <c r="A360" t="e">
        <f t="shared" si="12"/>
        <v>#REF!</v>
      </c>
      <c r="B360">
        <v>3404</v>
      </c>
      <c r="C360" s="1">
        <v>21.33499181753092</v>
      </c>
      <c r="D360" s="9">
        <v>19.414888888894833</v>
      </c>
      <c r="E360" s="1">
        <v>11.9909</v>
      </c>
      <c r="F360" s="1">
        <v>12.197900000000001</v>
      </c>
      <c r="G360" s="1">
        <v>17.433</v>
      </c>
      <c r="H360" s="1">
        <v>14.196</v>
      </c>
    </row>
    <row r="361" spans="1:8" x14ac:dyDescent="0.3">
      <c r="A361" t="e">
        <f t="shared" si="12"/>
        <v>#REF!</v>
      </c>
      <c r="B361">
        <v>3454</v>
      </c>
      <c r="C361" s="1">
        <v>20.87803870104899</v>
      </c>
      <c r="D361" s="9">
        <v>19.462111111117142</v>
      </c>
      <c r="E361" s="1">
        <v>13.8729</v>
      </c>
      <c r="F361" s="1">
        <v>13.970599999999999</v>
      </c>
      <c r="G361" s="1">
        <v>17.851400000000002</v>
      </c>
      <c r="H361" s="1">
        <v>15.5929</v>
      </c>
    </row>
    <row r="362" spans="1:8" x14ac:dyDescent="0.3">
      <c r="A362" t="e">
        <f t="shared" si="12"/>
        <v>#REF!</v>
      </c>
      <c r="B362">
        <v>3504</v>
      </c>
      <c r="C362" s="1">
        <v>20.37847873205093</v>
      </c>
      <c r="D362" s="9">
        <v>19.509333333339452</v>
      </c>
      <c r="E362" s="1">
        <v>15.809200000000001</v>
      </c>
      <c r="F362" s="1">
        <v>15.8506</v>
      </c>
      <c r="G362" s="1">
        <v>18.377800000000001</v>
      </c>
      <c r="H362" s="1">
        <v>16.974499999999999</v>
      </c>
    </row>
    <row r="363" spans="1:8" x14ac:dyDescent="0.3">
      <c r="A363" t="e">
        <f t="shared" si="12"/>
        <v>#REF!</v>
      </c>
      <c r="B363">
        <v>3554</v>
      </c>
      <c r="C363" s="1">
        <v>20.003221068828509</v>
      </c>
      <c r="D363" s="9">
        <v>19.556555555561761</v>
      </c>
      <c r="E363" s="1">
        <v>17.775300000000001</v>
      </c>
      <c r="F363" s="1">
        <v>17.7879</v>
      </c>
      <c r="G363" s="1">
        <v>18.985399999999998</v>
      </c>
      <c r="H363" s="1">
        <v>18.345500000000001</v>
      </c>
    </row>
    <row r="364" spans="1:8" x14ac:dyDescent="0.3">
      <c r="A364">
        <v>5</v>
      </c>
      <c r="B364">
        <v>5</v>
      </c>
      <c r="C364" s="1">
        <v>16.190803351706901</v>
      </c>
      <c r="D364" s="9">
        <v>16.20472222222223</v>
      </c>
      <c r="E364" s="1">
        <v>16.014299999999999</v>
      </c>
      <c r="F364" s="1">
        <v>16.001799999999999</v>
      </c>
      <c r="G364" s="1">
        <v>16.138100000000001</v>
      </c>
      <c r="H364" s="1">
        <v>16.0138</v>
      </c>
    </row>
    <row r="365" spans="1:8" x14ac:dyDescent="0.3">
      <c r="A365" t="e">
        <f t="shared" ref="A365:A396" si="13">A315</f>
        <v>#REF!</v>
      </c>
      <c r="B365">
        <v>55</v>
      </c>
      <c r="C365" s="1">
        <v>16.162405597237381</v>
      </c>
      <c r="D365" s="9">
        <v>16.25194444444454</v>
      </c>
      <c r="E365" s="1">
        <v>14.168200000000001</v>
      </c>
      <c r="F365" s="1">
        <v>14.0337</v>
      </c>
      <c r="G365" s="1">
        <v>15.547700000000001</v>
      </c>
      <c r="H365" s="1">
        <v>14.146800000000001</v>
      </c>
    </row>
    <row r="366" spans="1:8" x14ac:dyDescent="0.3">
      <c r="A366" t="e">
        <f t="shared" si="13"/>
        <v>#REF!</v>
      </c>
      <c r="B366">
        <v>105</v>
      </c>
      <c r="C366" s="1">
        <v>16.23</v>
      </c>
      <c r="D366" s="9">
        <v>16.299166666666849</v>
      </c>
      <c r="E366" s="1">
        <v>12.3483</v>
      </c>
      <c r="F366" s="1">
        <v>12.1004</v>
      </c>
      <c r="G366" s="1">
        <v>15.017200000000001</v>
      </c>
      <c r="H366" s="1">
        <v>12.270300000000001</v>
      </c>
    </row>
    <row r="367" spans="1:8" x14ac:dyDescent="0.3">
      <c r="A367" t="e">
        <f t="shared" si="13"/>
        <v>#REF!</v>
      </c>
      <c r="B367">
        <v>155</v>
      </c>
      <c r="C367" s="1">
        <v>16.447062479105529</v>
      </c>
      <c r="D367" s="9">
        <v>16.346388888889159</v>
      </c>
      <c r="E367" s="1">
        <v>10.5669</v>
      </c>
      <c r="F367" s="1">
        <v>10.227499999999999</v>
      </c>
      <c r="G367" s="1">
        <v>14.5617</v>
      </c>
      <c r="H367" s="1">
        <v>10.383699999999999</v>
      </c>
    </row>
    <row r="368" spans="1:8" x14ac:dyDescent="0.3">
      <c r="A368" t="e">
        <f t="shared" si="13"/>
        <v>#REF!</v>
      </c>
      <c r="B368">
        <v>205</v>
      </c>
      <c r="C368" s="1">
        <v>16.8</v>
      </c>
      <c r="D368" s="9">
        <v>16.393611111111468</v>
      </c>
      <c r="E368" s="1">
        <v>8.8459299999999992</v>
      </c>
      <c r="F368" s="1">
        <v>8.4682999999999993</v>
      </c>
      <c r="G368" s="1">
        <v>14.1988</v>
      </c>
      <c r="H368" s="1">
        <v>8.4882500000000007</v>
      </c>
    </row>
    <row r="369" spans="1:8" x14ac:dyDescent="0.3">
      <c r="A369" t="e">
        <f t="shared" si="13"/>
        <v>#REF!</v>
      </c>
      <c r="B369">
        <v>255</v>
      </c>
      <c r="C369" s="1">
        <v>16.90911377794146</v>
      </c>
      <c r="D369" s="9">
        <v>16.440833333333778</v>
      </c>
      <c r="E369" s="1">
        <v>7.2280300000000004</v>
      </c>
      <c r="F369" s="1">
        <v>6.9491800000000001</v>
      </c>
      <c r="G369" s="1">
        <v>13.930899999999999</v>
      </c>
      <c r="H369" s="1">
        <v>6.5959899999999996</v>
      </c>
    </row>
    <row r="370" spans="1:8" x14ac:dyDescent="0.3">
      <c r="A370">
        <f t="shared" si="13"/>
        <v>3</v>
      </c>
      <c r="B370">
        <v>305</v>
      </c>
      <c r="C370" s="1">
        <v>17.108311643427939</v>
      </c>
      <c r="D370" s="9">
        <v>16.488055555556087</v>
      </c>
      <c r="E370" s="1">
        <v>5.9048800000000004</v>
      </c>
      <c r="F370" s="1">
        <v>6.19414</v>
      </c>
      <c r="G370" s="1">
        <v>13.8164</v>
      </c>
      <c r="H370" s="1">
        <v>4.9079899999999999</v>
      </c>
    </row>
    <row r="371" spans="1:8" x14ac:dyDescent="0.3">
      <c r="A371" t="e">
        <f t="shared" si="13"/>
        <v>#REF!</v>
      </c>
      <c r="B371">
        <v>355</v>
      </c>
      <c r="C371" s="1">
        <v>17.322323725955531</v>
      </c>
      <c r="D371" s="9">
        <v>16.535277777778397</v>
      </c>
      <c r="E371" s="1">
        <v>5.0583299999999998</v>
      </c>
      <c r="F371" s="1">
        <v>6.4308300000000003</v>
      </c>
      <c r="G371" s="1">
        <v>13.9998</v>
      </c>
      <c r="H371" s="1">
        <v>3.7354400000000001</v>
      </c>
    </row>
    <row r="372" spans="1:8" x14ac:dyDescent="0.3">
      <c r="A372" t="e">
        <f t="shared" si="13"/>
        <v>#REF!</v>
      </c>
      <c r="B372">
        <v>405</v>
      </c>
      <c r="C372" s="1">
        <v>17.510000000000002</v>
      </c>
      <c r="D372" s="9">
        <v>16.582500000000707</v>
      </c>
      <c r="E372" s="1">
        <v>4.4857699999999996</v>
      </c>
      <c r="F372" s="1">
        <v>6.7116400000000001</v>
      </c>
      <c r="G372" s="1">
        <v>14.0631</v>
      </c>
      <c r="H372" s="1">
        <v>2.9278900000000001</v>
      </c>
    </row>
    <row r="373" spans="1:8" x14ac:dyDescent="0.3">
      <c r="A373" t="e">
        <f t="shared" si="13"/>
        <v>#REF!</v>
      </c>
      <c r="B373">
        <v>455</v>
      </c>
      <c r="C373" s="1">
        <v>17.829999999999998</v>
      </c>
      <c r="D373" s="9">
        <v>16.629722222223016</v>
      </c>
      <c r="E373" s="1">
        <v>4.1012599999999999</v>
      </c>
      <c r="F373" s="1">
        <v>6.6710700000000003</v>
      </c>
      <c r="G373" s="1">
        <v>13.8444</v>
      </c>
      <c r="H373" s="1">
        <v>2.4333499999999999</v>
      </c>
    </row>
    <row r="374" spans="1:8" x14ac:dyDescent="0.3">
      <c r="A374" t="e">
        <f t="shared" si="13"/>
        <v>#REF!</v>
      </c>
      <c r="B374">
        <v>505</v>
      </c>
      <c r="C374" s="1">
        <v>17.989999999999998</v>
      </c>
      <c r="D374" s="9">
        <v>16.676944444445326</v>
      </c>
      <c r="E374" s="1">
        <v>3.6139100000000002</v>
      </c>
      <c r="F374" s="1">
        <v>6.2252099999999997</v>
      </c>
      <c r="G374" s="1">
        <v>13.4991</v>
      </c>
      <c r="H374" s="1">
        <v>1.95543</v>
      </c>
    </row>
    <row r="375" spans="1:8" x14ac:dyDescent="0.3">
      <c r="A375" t="e">
        <f t="shared" si="13"/>
        <v>#REF!</v>
      </c>
      <c r="B375">
        <v>555</v>
      </c>
      <c r="C375" s="1">
        <v>18.199023487849271</v>
      </c>
      <c r="D375" s="9">
        <v>16.724166666667635</v>
      </c>
      <c r="E375" s="1">
        <v>2.8143899999999999</v>
      </c>
      <c r="F375" s="1">
        <v>5.3867200000000004</v>
      </c>
      <c r="G375" s="1">
        <v>13.170500000000001</v>
      </c>
      <c r="H375" s="1">
        <v>1.2700800000000001</v>
      </c>
    </row>
    <row r="376" spans="1:8" x14ac:dyDescent="0.3">
      <c r="A376">
        <f t="shared" si="13"/>
        <v>1</v>
      </c>
      <c r="B376">
        <v>605</v>
      </c>
      <c r="C376" s="1">
        <v>18.399999999999999</v>
      </c>
      <c r="D376" s="9">
        <v>16.771388888889945</v>
      </c>
      <c r="E376" s="1">
        <v>1.89198</v>
      </c>
      <c r="F376" s="1">
        <v>4.3604099999999999</v>
      </c>
      <c r="G376" s="1">
        <v>12.798299999999999</v>
      </c>
      <c r="H376" s="1">
        <v>0.54688000000000003</v>
      </c>
    </row>
    <row r="377" spans="1:8" x14ac:dyDescent="0.3">
      <c r="A377" t="e">
        <f t="shared" si="13"/>
        <v>#REF!</v>
      </c>
      <c r="B377">
        <v>655</v>
      </c>
      <c r="C377" s="1">
        <v>18.494190882731949</v>
      </c>
      <c r="D377" s="9">
        <v>16.818611111112254</v>
      </c>
      <c r="E377" s="1">
        <v>1.1055900000000001</v>
      </c>
      <c r="F377" s="1">
        <v>3.3857599999999999</v>
      </c>
      <c r="G377" s="1">
        <v>12.369899999999999</v>
      </c>
      <c r="H377" s="1">
        <v>4.5316799999999997E-2</v>
      </c>
    </row>
    <row r="378" spans="1:8" x14ac:dyDescent="0.3">
      <c r="A378" t="e">
        <f t="shared" si="13"/>
        <v>#REF!</v>
      </c>
      <c r="B378">
        <v>705</v>
      </c>
      <c r="C378" s="1">
        <v>18.704236681063421</v>
      </c>
      <c r="D378" s="9">
        <v>16.865833333334564</v>
      </c>
      <c r="E378" s="1">
        <v>0.67879699999999998</v>
      </c>
      <c r="F378" s="1">
        <v>2.6729400000000001</v>
      </c>
      <c r="G378" s="1">
        <v>12.1244</v>
      </c>
      <c r="H378" s="1">
        <v>5.8050499999999998E-2</v>
      </c>
    </row>
    <row r="379" spans="1:8" x14ac:dyDescent="0.3">
      <c r="A379" t="e">
        <f t="shared" si="13"/>
        <v>#REF!</v>
      </c>
      <c r="B379">
        <v>755</v>
      </c>
      <c r="C379" s="1">
        <v>18.829999999999998</v>
      </c>
      <c r="D379" s="9">
        <v>16.913055555556873</v>
      </c>
      <c r="E379" s="1">
        <v>0.71244099999999999</v>
      </c>
      <c r="F379" s="1">
        <v>2.3109600000000001</v>
      </c>
      <c r="G379" s="1">
        <v>12.2475</v>
      </c>
      <c r="H379" s="1">
        <v>0.73035000000000005</v>
      </c>
    </row>
    <row r="380" spans="1:8" x14ac:dyDescent="0.3">
      <c r="A380" t="e">
        <f t="shared" si="13"/>
        <v>#REF!</v>
      </c>
      <c r="B380">
        <v>805</v>
      </c>
      <c r="C380" s="1">
        <v>19.205730543965839</v>
      </c>
      <c r="D380" s="9">
        <v>16.960277777779183</v>
      </c>
      <c r="E380" s="1">
        <v>0.97542799999999996</v>
      </c>
      <c r="F380" s="1">
        <v>2.0585499999999999</v>
      </c>
      <c r="G380" s="1">
        <v>12.639900000000001</v>
      </c>
      <c r="H380" s="1">
        <v>1.7695099999999999</v>
      </c>
    </row>
    <row r="381" spans="1:8" x14ac:dyDescent="0.3">
      <c r="A381" t="e">
        <f t="shared" si="13"/>
        <v>#REF!</v>
      </c>
      <c r="B381">
        <v>855</v>
      </c>
      <c r="C381" s="1">
        <v>19.41540426619499</v>
      </c>
      <c r="D381" s="9">
        <v>17.007500000001492</v>
      </c>
      <c r="E381" s="1">
        <v>1.26108</v>
      </c>
      <c r="F381" s="1">
        <v>1.75488</v>
      </c>
      <c r="G381" s="1">
        <v>13.109500000000001</v>
      </c>
      <c r="H381" s="1">
        <v>2.8017400000000001</v>
      </c>
    </row>
    <row r="382" spans="1:8" x14ac:dyDescent="0.3">
      <c r="A382" t="e">
        <f t="shared" si="13"/>
        <v>#REF!</v>
      </c>
      <c r="B382">
        <v>905</v>
      </c>
      <c r="C382" s="1">
        <v>19.71</v>
      </c>
      <c r="D382" s="9">
        <v>17.054722222223802</v>
      </c>
      <c r="E382" s="1">
        <v>1.60107</v>
      </c>
      <c r="F382" s="1">
        <v>1.63656</v>
      </c>
      <c r="G382" s="1">
        <v>13.343</v>
      </c>
      <c r="H382" s="1">
        <v>3.4434499999999999</v>
      </c>
    </row>
    <row r="383" spans="1:8" x14ac:dyDescent="0.3">
      <c r="A383" t="e">
        <f t="shared" si="13"/>
        <v>#REF!</v>
      </c>
      <c r="B383">
        <v>955</v>
      </c>
      <c r="C383" s="1">
        <v>20.02402600384098</v>
      </c>
      <c r="D383" s="9">
        <v>17.101944444446112</v>
      </c>
      <c r="E383" s="1">
        <v>2.0030299999999999</v>
      </c>
      <c r="F383" s="1">
        <v>1.90283</v>
      </c>
      <c r="G383" s="1">
        <v>13.162699999999999</v>
      </c>
      <c r="H383" s="1">
        <v>3.4679500000000001</v>
      </c>
    </row>
    <row r="384" spans="1:8" x14ac:dyDescent="0.3">
      <c r="A384" t="e">
        <f t="shared" si="13"/>
        <v>#REF!</v>
      </c>
      <c r="B384">
        <v>1005</v>
      </c>
      <c r="C384" s="1">
        <v>20.405244491715809</v>
      </c>
      <c r="D384" s="9">
        <v>17.149166666668421</v>
      </c>
      <c r="E384" s="1">
        <v>2.2853699999999999</v>
      </c>
      <c r="F384" s="1">
        <v>2.4456500000000001</v>
      </c>
      <c r="G384" s="1">
        <v>12.8406</v>
      </c>
      <c r="H384" s="1">
        <v>3.0992500000000001</v>
      </c>
    </row>
    <row r="385" spans="1:8" x14ac:dyDescent="0.3">
      <c r="A385" t="e">
        <f t="shared" si="13"/>
        <v>#REF!</v>
      </c>
      <c r="B385">
        <v>1055</v>
      </c>
      <c r="C385" s="1">
        <v>20.860195371766569</v>
      </c>
      <c r="D385" s="9">
        <v>17.196388888890731</v>
      </c>
      <c r="E385" s="1">
        <v>2.33168</v>
      </c>
      <c r="F385" s="1">
        <v>3.0601799999999999</v>
      </c>
      <c r="G385" s="1">
        <v>12.6591</v>
      </c>
      <c r="H385" s="1">
        <v>2.6672600000000002</v>
      </c>
    </row>
    <row r="386" spans="1:8" x14ac:dyDescent="0.3">
      <c r="A386" t="e">
        <f t="shared" si="13"/>
        <v>#REF!</v>
      </c>
      <c r="B386">
        <v>1105</v>
      </c>
      <c r="C386" s="1">
        <v>21.230730585321162</v>
      </c>
      <c r="D386" s="9">
        <v>17.24361111111304</v>
      </c>
      <c r="E386" s="1">
        <v>2.3063600000000002</v>
      </c>
      <c r="F386" s="1">
        <v>3.4214199999999999</v>
      </c>
      <c r="G386" s="1">
        <v>12.702500000000001</v>
      </c>
      <c r="H386" s="1">
        <v>2.5763799999999999</v>
      </c>
    </row>
    <row r="387" spans="1:8" x14ac:dyDescent="0.3">
      <c r="A387" t="e">
        <f t="shared" si="13"/>
        <v>#REF!</v>
      </c>
      <c r="B387">
        <v>1155</v>
      </c>
      <c r="C387" s="1">
        <v>21.547127063206691</v>
      </c>
      <c r="D387" s="9">
        <v>17.29083333333535</v>
      </c>
      <c r="E387" s="1">
        <v>2.3254800000000002</v>
      </c>
      <c r="F387" s="1">
        <v>3.3530600000000002</v>
      </c>
      <c r="G387" s="1">
        <v>12.9415</v>
      </c>
      <c r="H387" s="1">
        <v>3.0695399999999999</v>
      </c>
    </row>
    <row r="388" spans="1:8" x14ac:dyDescent="0.3">
      <c r="A388" t="e">
        <f t="shared" si="13"/>
        <v>#REF!</v>
      </c>
      <c r="B388">
        <v>1205</v>
      </c>
      <c r="C388" s="1">
        <v>21.97624202470795</v>
      </c>
      <c r="D388" s="9">
        <v>17.338055555557659</v>
      </c>
      <c r="E388" s="1">
        <v>2.22763</v>
      </c>
      <c r="F388" s="1">
        <v>3.1589999999999998</v>
      </c>
      <c r="G388" s="1">
        <v>13.1242</v>
      </c>
      <c r="H388" s="1">
        <v>3.8973900000000001</v>
      </c>
    </row>
    <row r="389" spans="1:8" x14ac:dyDescent="0.3">
      <c r="A389" t="e">
        <f t="shared" si="13"/>
        <v>#REF!</v>
      </c>
      <c r="B389">
        <v>1255</v>
      </c>
      <c r="C389" s="1">
        <v>22.39194977273127</v>
      </c>
      <c r="D389" s="9">
        <v>17.385277777779969</v>
      </c>
      <c r="E389" s="1">
        <v>1.92835</v>
      </c>
      <c r="F389" s="1">
        <v>3.1363500000000002</v>
      </c>
      <c r="G389" s="1">
        <v>13.0883</v>
      </c>
      <c r="H389" s="1">
        <v>4.7514099999999999</v>
      </c>
    </row>
    <row r="390" spans="1:8" x14ac:dyDescent="0.3">
      <c r="A390" t="e">
        <f t="shared" si="13"/>
        <v>#REF!</v>
      </c>
      <c r="B390">
        <v>1305</v>
      </c>
      <c r="C390" s="1">
        <v>22.842129330913739</v>
      </c>
      <c r="D390" s="9">
        <v>17.432500000002278</v>
      </c>
      <c r="E390" s="1">
        <v>1.6983600000000001</v>
      </c>
      <c r="F390" s="1">
        <v>3.3257300000000001</v>
      </c>
      <c r="G390" s="1">
        <v>13.035299999999999</v>
      </c>
      <c r="H390" s="1">
        <v>5.3987999999999996</v>
      </c>
    </row>
    <row r="391" spans="1:8" x14ac:dyDescent="0.3">
      <c r="A391" t="e">
        <f t="shared" si="13"/>
        <v>#REF!</v>
      </c>
      <c r="B391">
        <v>1355</v>
      </c>
      <c r="C391" s="1">
        <v>23.109048392770401</v>
      </c>
      <c r="D391" s="9">
        <v>17.479722222224588</v>
      </c>
      <c r="E391" s="1">
        <v>1.7763</v>
      </c>
      <c r="F391" s="1">
        <v>3.6860599999999999</v>
      </c>
      <c r="G391" s="1">
        <v>13.118600000000001</v>
      </c>
      <c r="H391" s="1">
        <v>5.7256900000000002</v>
      </c>
    </row>
    <row r="392" spans="1:8" x14ac:dyDescent="0.3">
      <c r="A392">
        <f t="shared" si="13"/>
        <v>4</v>
      </c>
      <c r="B392">
        <v>1405</v>
      </c>
      <c r="C392" s="1">
        <v>23.22</v>
      </c>
      <c r="D392" s="9">
        <v>17.526944444446897</v>
      </c>
      <c r="E392" s="1">
        <v>2.1349800000000001</v>
      </c>
      <c r="F392" s="1">
        <v>4.0728600000000004</v>
      </c>
      <c r="G392" s="1">
        <v>13.1768</v>
      </c>
      <c r="H392" s="1">
        <v>5.9138000000000002</v>
      </c>
    </row>
    <row r="393" spans="1:8" x14ac:dyDescent="0.3">
      <c r="A393" t="e">
        <f t="shared" si="13"/>
        <v>#REF!</v>
      </c>
      <c r="B393">
        <v>1455</v>
      </c>
      <c r="C393" s="1">
        <v>23.248631413012319</v>
      </c>
      <c r="D393" s="9">
        <v>17.574166666669207</v>
      </c>
      <c r="E393" s="1">
        <v>2.64825</v>
      </c>
      <c r="F393" s="1">
        <v>4.3695500000000003</v>
      </c>
      <c r="G393" s="1">
        <v>13.0974</v>
      </c>
      <c r="H393" s="1">
        <v>6.0960599999999996</v>
      </c>
    </row>
    <row r="394" spans="1:8" x14ac:dyDescent="0.3">
      <c r="A394" t="e">
        <f t="shared" si="13"/>
        <v>#REF!</v>
      </c>
      <c r="B394">
        <v>1505</v>
      </c>
      <c r="C394" s="1">
        <v>23.0970339952388</v>
      </c>
      <c r="D394" s="9">
        <v>17.621388888891516</v>
      </c>
      <c r="E394" s="1">
        <v>3.0428799999999998</v>
      </c>
      <c r="F394" s="1">
        <v>4.5882399999999999</v>
      </c>
      <c r="G394" s="1">
        <v>13.0609</v>
      </c>
      <c r="H394" s="1">
        <v>6.1266800000000003</v>
      </c>
    </row>
    <row r="395" spans="1:8" x14ac:dyDescent="0.3">
      <c r="A395" t="e">
        <f t="shared" si="13"/>
        <v>#REF!</v>
      </c>
      <c r="B395">
        <v>1555</v>
      </c>
      <c r="C395" s="1">
        <v>22.83449789487533</v>
      </c>
      <c r="D395" s="9">
        <v>17.668611111113826</v>
      </c>
      <c r="E395" s="1">
        <v>3.1905800000000002</v>
      </c>
      <c r="F395" s="1">
        <v>4.8198800000000004</v>
      </c>
      <c r="G395" s="1">
        <v>13.1937</v>
      </c>
      <c r="H395" s="1">
        <v>5.8617900000000001</v>
      </c>
    </row>
    <row r="396" spans="1:8" x14ac:dyDescent="0.3">
      <c r="A396" t="e">
        <f t="shared" si="13"/>
        <v>#REF!</v>
      </c>
      <c r="B396">
        <v>1605</v>
      </c>
      <c r="C396" s="1">
        <v>22.48047791205035</v>
      </c>
      <c r="D396" s="9">
        <v>17.715833333336136</v>
      </c>
      <c r="E396" s="1">
        <v>3.4402200000000001</v>
      </c>
      <c r="F396" s="1">
        <v>5.3132700000000002</v>
      </c>
      <c r="G396" s="1">
        <v>13.329800000000001</v>
      </c>
      <c r="H396" s="1">
        <v>5.2967199999999997</v>
      </c>
    </row>
    <row r="397" spans="1:8" x14ac:dyDescent="0.3">
      <c r="A397" t="e">
        <f t="shared" ref="A397:A428" si="14">A347</f>
        <v>#REF!</v>
      </c>
      <c r="B397">
        <v>1655</v>
      </c>
      <c r="C397" s="1">
        <v>22.042370221774672</v>
      </c>
      <c r="D397" s="9">
        <v>17.763055555558445</v>
      </c>
      <c r="E397" s="1">
        <v>4.0650300000000001</v>
      </c>
      <c r="F397" s="1">
        <v>6.2114200000000004</v>
      </c>
      <c r="G397" s="1">
        <v>13.3469</v>
      </c>
      <c r="H397" s="1">
        <v>4.4693800000000001</v>
      </c>
    </row>
    <row r="398" spans="1:8" x14ac:dyDescent="0.3">
      <c r="A398">
        <f t="shared" si="14"/>
        <v>2</v>
      </c>
      <c r="B398">
        <v>1705</v>
      </c>
      <c r="C398" s="1">
        <v>21.625321068452191</v>
      </c>
      <c r="D398" s="9">
        <v>17.810277777780755</v>
      </c>
      <c r="E398" s="1">
        <v>4.8967099999999997</v>
      </c>
      <c r="F398" s="1">
        <v>7.2866200000000001</v>
      </c>
      <c r="G398" s="1">
        <v>13.3857</v>
      </c>
      <c r="H398" s="1">
        <v>3.4691900000000002</v>
      </c>
    </row>
    <row r="399" spans="1:8" x14ac:dyDescent="0.3">
      <c r="A399" t="e">
        <f t="shared" si="14"/>
        <v>#REF!</v>
      </c>
      <c r="B399">
        <v>1755</v>
      </c>
      <c r="C399" s="1">
        <v>21.25</v>
      </c>
      <c r="D399" s="9">
        <v>17.857500000003064</v>
      </c>
      <c r="E399" s="1">
        <v>5.6473000000000004</v>
      </c>
      <c r="F399" s="1">
        <v>8.2565399999999993</v>
      </c>
      <c r="G399" s="1">
        <v>13.535299999999999</v>
      </c>
      <c r="H399" s="1">
        <v>2.3809499999999999</v>
      </c>
    </row>
    <row r="400" spans="1:8" x14ac:dyDescent="0.3">
      <c r="A400" t="e">
        <f t="shared" si="14"/>
        <v>#REF!</v>
      </c>
      <c r="B400">
        <v>1805</v>
      </c>
      <c r="C400" s="1">
        <v>20.870899397385319</v>
      </c>
      <c r="D400" s="9">
        <v>17.904722222225374</v>
      </c>
      <c r="E400" s="1">
        <v>5.9086800000000004</v>
      </c>
      <c r="F400" s="1">
        <v>8.8651700000000009</v>
      </c>
      <c r="G400" s="1">
        <v>13.6173</v>
      </c>
      <c r="H400" s="1">
        <v>1.25231</v>
      </c>
    </row>
    <row r="401" spans="1:8" x14ac:dyDescent="0.3">
      <c r="A401" t="e">
        <f t="shared" si="14"/>
        <v>#REF!</v>
      </c>
      <c r="B401">
        <v>1855</v>
      </c>
      <c r="C401" s="1">
        <v>20.52360641755978</v>
      </c>
      <c r="D401" s="9">
        <v>17.951944444447683</v>
      </c>
      <c r="E401" s="1">
        <v>5.4474999999999998</v>
      </c>
      <c r="F401" s="1">
        <v>9.0101200000000006</v>
      </c>
      <c r="G401" s="1">
        <v>13.5189</v>
      </c>
      <c r="H401" s="1">
        <v>0.10048</v>
      </c>
    </row>
    <row r="402" spans="1:8" x14ac:dyDescent="0.3">
      <c r="A402">
        <f t="shared" si="14"/>
        <v>0</v>
      </c>
      <c r="B402">
        <v>1905</v>
      </c>
      <c r="C402" s="1">
        <v>20.107277231371452</v>
      </c>
      <c r="D402" s="9">
        <v>17.999166666669993</v>
      </c>
      <c r="E402" s="1">
        <v>4.5704000000000002</v>
      </c>
      <c r="F402" s="1">
        <v>9.0002300000000002</v>
      </c>
      <c r="G402" s="1">
        <v>13.435</v>
      </c>
      <c r="H402" s="1">
        <v>-1.1235900000000001</v>
      </c>
    </row>
    <row r="403" spans="1:8" x14ac:dyDescent="0.3">
      <c r="A403">
        <f t="shared" si="14"/>
        <v>0</v>
      </c>
      <c r="B403">
        <v>1955</v>
      </c>
      <c r="C403" s="1">
        <v>19.778494393160269</v>
      </c>
      <c r="D403" s="9">
        <v>18.046388888892302</v>
      </c>
      <c r="E403" s="1">
        <v>3.6563300000000001</v>
      </c>
      <c r="F403" s="1">
        <v>9.0741099999999992</v>
      </c>
      <c r="G403" s="1">
        <v>13.513299999999999</v>
      </c>
      <c r="H403" s="1">
        <v>-2.4329900000000002</v>
      </c>
    </row>
    <row r="404" spans="1:8" x14ac:dyDescent="0.3">
      <c r="A404" t="e">
        <f t="shared" si="14"/>
        <v>#REF!</v>
      </c>
      <c r="B404">
        <v>2005</v>
      </c>
      <c r="C404" s="1">
        <v>19.491711935033159</v>
      </c>
      <c r="D404" s="9">
        <v>18.093611111114612</v>
      </c>
      <c r="E404" s="1">
        <v>3.0287099999999998</v>
      </c>
      <c r="F404" s="1">
        <v>9.0842799999999997</v>
      </c>
      <c r="G404" s="1">
        <v>13.626300000000001</v>
      </c>
      <c r="H404" s="1">
        <v>-3.7115499999999999</v>
      </c>
    </row>
    <row r="405" spans="1:8" x14ac:dyDescent="0.3">
      <c r="A405" t="e">
        <f t="shared" si="14"/>
        <v>#REF!</v>
      </c>
      <c r="B405">
        <v>2055</v>
      </c>
      <c r="C405" s="1">
        <v>19.3</v>
      </c>
      <c r="D405" s="9">
        <v>18.140833333336921</v>
      </c>
      <c r="E405" s="1">
        <v>2.84083</v>
      </c>
      <c r="F405" s="1">
        <v>8.9064200000000007</v>
      </c>
      <c r="G405" s="1">
        <v>13.6761</v>
      </c>
      <c r="H405" s="1">
        <v>-4.8365799999999997</v>
      </c>
    </row>
    <row r="406" spans="1:8" x14ac:dyDescent="0.3">
      <c r="A406" t="e">
        <f t="shared" si="14"/>
        <v>#REF!</v>
      </c>
      <c r="B406">
        <v>2105</v>
      </c>
      <c r="C406" s="1">
        <v>19.2</v>
      </c>
      <c r="D406" s="9">
        <v>18.188055555559231</v>
      </c>
      <c r="E406" s="1">
        <v>2.8064</v>
      </c>
      <c r="F406" s="1">
        <v>8.6596200000000003</v>
      </c>
      <c r="G406" s="1">
        <v>13.7736</v>
      </c>
      <c r="H406" s="1">
        <v>-5.7271099999999997</v>
      </c>
    </row>
    <row r="407" spans="1:8" x14ac:dyDescent="0.3">
      <c r="A407" t="e">
        <f t="shared" si="14"/>
        <v>#REF!</v>
      </c>
      <c r="B407">
        <v>2155</v>
      </c>
      <c r="C407" s="1">
        <v>19.190000000000001</v>
      </c>
      <c r="D407" s="9">
        <v>18.23527777778154</v>
      </c>
      <c r="E407" s="1">
        <v>2.6989800000000002</v>
      </c>
      <c r="F407" s="1">
        <v>8.4862699999999993</v>
      </c>
      <c r="G407" s="1">
        <v>13.974399999999999</v>
      </c>
      <c r="H407" s="1">
        <v>-6.2834599999999998</v>
      </c>
    </row>
    <row r="408" spans="1:8" x14ac:dyDescent="0.3">
      <c r="A408" t="e">
        <f t="shared" si="14"/>
        <v>#REF!</v>
      </c>
      <c r="B408">
        <v>2205</v>
      </c>
      <c r="C408" s="1">
        <v>19.18</v>
      </c>
      <c r="D408" s="9">
        <v>18.28250000000385</v>
      </c>
      <c r="E408" s="1">
        <v>2.65849</v>
      </c>
      <c r="F408" s="1">
        <v>8.4794499999999999</v>
      </c>
      <c r="G408" s="1">
        <v>14.0867</v>
      </c>
      <c r="H408" s="1">
        <v>-6.3361400000000003</v>
      </c>
    </row>
    <row r="409" spans="1:8" x14ac:dyDescent="0.3">
      <c r="A409" t="e">
        <f t="shared" si="14"/>
        <v>#REF!</v>
      </c>
      <c r="B409">
        <v>2255</v>
      </c>
      <c r="C409" s="1">
        <v>19.357717691173448</v>
      </c>
      <c r="D409" s="9">
        <v>18.32972222222616</v>
      </c>
      <c r="E409" s="1">
        <v>2.7845</v>
      </c>
      <c r="F409" s="1">
        <v>8.6349699999999991</v>
      </c>
      <c r="G409" s="1">
        <v>13.988899999999999</v>
      </c>
      <c r="H409" s="1">
        <v>-5.8139700000000003</v>
      </c>
    </row>
    <row r="410" spans="1:8" x14ac:dyDescent="0.3">
      <c r="A410" t="e">
        <f t="shared" si="14"/>
        <v>#REF!</v>
      </c>
      <c r="B410">
        <v>2305</v>
      </c>
      <c r="C410" s="1">
        <v>19.618654840187141</v>
      </c>
      <c r="D410" s="9">
        <v>18.376944444448469</v>
      </c>
      <c r="E410" s="1">
        <v>2.8988399999999999</v>
      </c>
      <c r="F410" s="1">
        <v>8.7065400000000004</v>
      </c>
      <c r="G410" s="1">
        <v>13.863899999999999</v>
      </c>
      <c r="H410" s="1">
        <v>-4.9429800000000004</v>
      </c>
    </row>
    <row r="411" spans="1:8" x14ac:dyDescent="0.3">
      <c r="A411" t="e">
        <f t="shared" si="14"/>
        <v>#REF!</v>
      </c>
      <c r="B411">
        <v>2355</v>
      </c>
      <c r="C411" s="1">
        <v>20.00272914807984</v>
      </c>
      <c r="D411" s="9">
        <v>18.424166666670779</v>
      </c>
      <c r="E411" s="1">
        <v>2.87141</v>
      </c>
      <c r="F411" s="1">
        <v>8.5169899999999998</v>
      </c>
      <c r="G411" s="1">
        <v>13.8462</v>
      </c>
      <c r="H411" s="1">
        <v>-3.9402900000000001</v>
      </c>
    </row>
    <row r="412" spans="1:8" x14ac:dyDescent="0.3">
      <c r="A412" t="e">
        <f t="shared" si="14"/>
        <v>#REF!</v>
      </c>
      <c r="B412">
        <v>2405</v>
      </c>
      <c r="C412" s="1">
        <v>20.487004243325419</v>
      </c>
      <c r="D412" s="9">
        <v>18.471388888893088</v>
      </c>
      <c r="E412" s="1">
        <v>2.8288000000000002</v>
      </c>
      <c r="F412" s="1">
        <v>8.1878600000000006</v>
      </c>
      <c r="G412" s="1">
        <v>13.801</v>
      </c>
      <c r="H412" s="1">
        <v>-2.8652099999999998</v>
      </c>
    </row>
    <row r="413" spans="1:8" x14ac:dyDescent="0.3">
      <c r="A413" t="e">
        <f t="shared" si="14"/>
        <v>#REF!</v>
      </c>
      <c r="B413">
        <v>2455</v>
      </c>
      <c r="C413" s="1">
        <v>21.111910905522219</v>
      </c>
      <c r="D413" s="9">
        <v>18.518611111115398</v>
      </c>
      <c r="E413" s="1">
        <v>2.8296399999999999</v>
      </c>
      <c r="F413" s="1">
        <v>7.8990200000000002</v>
      </c>
      <c r="G413" s="1">
        <v>13.658899999999999</v>
      </c>
      <c r="H413" s="1">
        <v>-1.7383599999999999</v>
      </c>
    </row>
    <row r="414" spans="1:8" x14ac:dyDescent="0.3">
      <c r="A414">
        <f t="shared" si="14"/>
        <v>5</v>
      </c>
      <c r="B414">
        <v>2505</v>
      </c>
      <c r="C414" s="1">
        <v>21.617835875609568</v>
      </c>
      <c r="D414" s="9">
        <v>18.565833333337707</v>
      </c>
      <c r="E414" s="1">
        <v>2.6329199999999999</v>
      </c>
      <c r="F414" s="1">
        <v>7.8520599999999998</v>
      </c>
      <c r="G414" s="1">
        <v>13.6473</v>
      </c>
      <c r="H414" s="1">
        <v>-0.54699399999999998</v>
      </c>
    </row>
    <row r="415" spans="1:8" x14ac:dyDescent="0.3">
      <c r="A415" t="e">
        <f t="shared" si="14"/>
        <v>#REF!</v>
      </c>
      <c r="B415">
        <v>2555</v>
      </c>
      <c r="C415" s="1">
        <v>22.09451476856918</v>
      </c>
      <c r="D415" s="9">
        <v>18.613055555560017</v>
      </c>
      <c r="E415" s="1">
        <v>2.0803199999999999</v>
      </c>
      <c r="F415" s="1">
        <v>8.1096699999999995</v>
      </c>
      <c r="G415" s="1">
        <v>13.9085</v>
      </c>
      <c r="H415" s="1">
        <v>0.70664499999999997</v>
      </c>
    </row>
    <row r="416" spans="1:8" x14ac:dyDescent="0.3">
      <c r="A416" t="e">
        <f t="shared" si="14"/>
        <v>#REF!</v>
      </c>
      <c r="B416">
        <v>2605</v>
      </c>
      <c r="C416" s="1">
        <v>22.450269088171641</v>
      </c>
      <c r="D416" s="9">
        <v>18.660277777782326</v>
      </c>
      <c r="E416" s="1">
        <v>1.3708899999999999</v>
      </c>
      <c r="F416" s="1">
        <v>8.3500999999999994</v>
      </c>
      <c r="G416" s="1">
        <v>14.2239</v>
      </c>
      <c r="H416" s="1">
        <v>1.96553</v>
      </c>
    </row>
    <row r="417" spans="1:8" x14ac:dyDescent="0.3">
      <c r="A417" t="e">
        <f t="shared" si="14"/>
        <v>#REF!</v>
      </c>
      <c r="B417">
        <v>2655</v>
      </c>
      <c r="C417" s="1">
        <v>22.826827181654881</v>
      </c>
      <c r="D417" s="9">
        <v>18.707500000004636</v>
      </c>
      <c r="E417" s="1">
        <v>0.77837299999999998</v>
      </c>
      <c r="F417" s="1">
        <v>8.3113399999999995</v>
      </c>
      <c r="G417" s="1">
        <v>14.358000000000001</v>
      </c>
      <c r="H417" s="1">
        <v>3.15707</v>
      </c>
    </row>
    <row r="418" spans="1:8" x14ac:dyDescent="0.3">
      <c r="A418" t="e">
        <f t="shared" si="14"/>
        <v>#REF!</v>
      </c>
      <c r="B418">
        <v>2705</v>
      </c>
      <c r="C418" s="1">
        <v>23.25659323820642</v>
      </c>
      <c r="D418" s="9">
        <v>18.754722222226945</v>
      </c>
      <c r="E418" s="1">
        <v>0.61694700000000002</v>
      </c>
      <c r="F418" s="1">
        <v>8.0650499999999994</v>
      </c>
      <c r="G418" s="1">
        <v>14.190899999999999</v>
      </c>
      <c r="H418" s="1">
        <v>4.1914199999999999</v>
      </c>
    </row>
    <row r="419" spans="1:8" x14ac:dyDescent="0.3">
      <c r="A419" t="e">
        <f t="shared" si="14"/>
        <v>#REF!</v>
      </c>
      <c r="B419">
        <v>2755</v>
      </c>
      <c r="C419" s="1">
        <v>23.714370841837951</v>
      </c>
      <c r="D419" s="9">
        <v>18.801944444449255</v>
      </c>
      <c r="E419" s="1">
        <v>1.05149</v>
      </c>
      <c r="F419" s="1">
        <v>7.8071799999999998</v>
      </c>
      <c r="G419" s="1">
        <v>13.730600000000001</v>
      </c>
      <c r="H419" s="1">
        <v>4.98848</v>
      </c>
    </row>
    <row r="420" spans="1:8" x14ac:dyDescent="0.3">
      <c r="A420">
        <f t="shared" si="14"/>
        <v>3</v>
      </c>
      <c r="B420">
        <v>2805</v>
      </c>
      <c r="C420" s="1">
        <v>24.025923093650349</v>
      </c>
      <c r="D420" s="9">
        <v>18.849166666671564</v>
      </c>
      <c r="E420" s="1">
        <v>1.8299399999999999</v>
      </c>
      <c r="F420" s="1">
        <v>7.9179199999999996</v>
      </c>
      <c r="G420" s="1">
        <v>13.2751</v>
      </c>
      <c r="H420" s="1">
        <v>5.5015099999999997</v>
      </c>
    </row>
    <row r="421" spans="1:8" x14ac:dyDescent="0.3">
      <c r="A421" t="e">
        <f t="shared" si="14"/>
        <v>#REF!</v>
      </c>
      <c r="B421">
        <v>2855</v>
      </c>
      <c r="C421" s="1">
        <v>24.23309165165168</v>
      </c>
      <c r="D421" s="9">
        <v>18.896388888893874</v>
      </c>
      <c r="E421" s="1">
        <v>2.63551</v>
      </c>
      <c r="F421" s="1">
        <v>8.6517599999999995</v>
      </c>
      <c r="G421" s="1">
        <v>13.129</v>
      </c>
      <c r="H421" s="1">
        <v>5.7600300000000004</v>
      </c>
    </row>
    <row r="422" spans="1:8" x14ac:dyDescent="0.3">
      <c r="A422" t="e">
        <f t="shared" si="14"/>
        <v>#REF!</v>
      </c>
      <c r="B422">
        <v>2905</v>
      </c>
      <c r="C422" s="1">
        <v>24.254202751406609</v>
      </c>
      <c r="D422" s="9">
        <v>18.943611111116184</v>
      </c>
      <c r="E422" s="1">
        <v>3.16255</v>
      </c>
      <c r="F422" s="1">
        <v>9.8452699999999993</v>
      </c>
      <c r="G422" s="1">
        <v>13.489000000000001</v>
      </c>
      <c r="H422" s="1">
        <v>5.9802099999999996</v>
      </c>
    </row>
    <row r="423" spans="1:8" x14ac:dyDescent="0.3">
      <c r="A423" t="e">
        <f t="shared" si="14"/>
        <v>#REF!</v>
      </c>
      <c r="B423">
        <v>2955</v>
      </c>
      <c r="C423" s="1">
        <v>24.13114960687038</v>
      </c>
      <c r="D423" s="9">
        <v>18.990833333338493</v>
      </c>
      <c r="E423" s="1">
        <v>3.2983899999999999</v>
      </c>
      <c r="F423" s="1">
        <v>11.231299999999999</v>
      </c>
      <c r="G423" s="1">
        <v>14.412100000000001</v>
      </c>
      <c r="H423" s="1">
        <v>6.31196</v>
      </c>
    </row>
    <row r="424" spans="1:8" x14ac:dyDescent="0.3">
      <c r="A424" t="e">
        <f t="shared" si="14"/>
        <v>#REF!</v>
      </c>
      <c r="B424">
        <v>3005</v>
      </c>
      <c r="C424" s="1">
        <v>24</v>
      </c>
      <c r="D424" s="9">
        <v>19.038055555560803</v>
      </c>
      <c r="E424" s="1">
        <v>3.4379200000000001</v>
      </c>
      <c r="F424" s="1">
        <v>12.4498</v>
      </c>
      <c r="G424" s="1">
        <v>15.631500000000001</v>
      </c>
      <c r="H424" s="1">
        <v>6.65076</v>
      </c>
    </row>
    <row r="425" spans="1:8" x14ac:dyDescent="0.3">
      <c r="A425" t="e">
        <f t="shared" si="14"/>
        <v>#REF!</v>
      </c>
      <c r="B425">
        <v>3055</v>
      </c>
      <c r="C425" s="1">
        <v>23.84</v>
      </c>
      <c r="D425" s="9">
        <v>19.085277777783112</v>
      </c>
      <c r="E425" s="1">
        <v>3.9271500000000001</v>
      </c>
      <c r="F425" s="1">
        <v>13.1717</v>
      </c>
      <c r="G425" s="1">
        <v>16.823899999999998</v>
      </c>
      <c r="H425" s="1">
        <v>6.9373100000000001</v>
      </c>
    </row>
    <row r="426" spans="1:8" x14ac:dyDescent="0.3">
      <c r="A426">
        <f t="shared" si="14"/>
        <v>1</v>
      </c>
      <c r="B426">
        <v>3105</v>
      </c>
      <c r="C426" s="1">
        <v>23.50648777629285</v>
      </c>
      <c r="D426" s="9">
        <v>19.132500000005422</v>
      </c>
      <c r="E426" s="1">
        <v>4.7572099999999997</v>
      </c>
      <c r="F426" s="1">
        <v>13.202199999999999</v>
      </c>
      <c r="G426" s="1">
        <v>17.662600000000001</v>
      </c>
      <c r="H426" s="1">
        <v>7.3367899999999997</v>
      </c>
    </row>
    <row r="427" spans="1:8" x14ac:dyDescent="0.3">
      <c r="A427" t="e">
        <f t="shared" si="14"/>
        <v>#REF!</v>
      </c>
      <c r="B427">
        <v>3155</v>
      </c>
      <c r="C427" s="1">
        <v>23.106417836662029</v>
      </c>
      <c r="D427" s="9">
        <v>19.179722222227731</v>
      </c>
      <c r="E427" s="1">
        <v>5.8121099999999997</v>
      </c>
      <c r="F427" s="1">
        <v>12.521800000000001</v>
      </c>
      <c r="G427" s="1">
        <v>17.953900000000001</v>
      </c>
      <c r="H427" s="1">
        <v>7.9923799999999998</v>
      </c>
    </row>
    <row r="428" spans="1:8" x14ac:dyDescent="0.3">
      <c r="A428" t="e">
        <f t="shared" si="14"/>
        <v>#REF!</v>
      </c>
      <c r="B428">
        <v>3205</v>
      </c>
      <c r="C428" s="1">
        <v>22.75246451210808</v>
      </c>
      <c r="D428" s="9">
        <v>19.226944444450041</v>
      </c>
      <c r="E428" s="1">
        <v>6.8668199999999997</v>
      </c>
      <c r="F428" s="1">
        <v>11.4594</v>
      </c>
      <c r="G428" s="1">
        <v>17.8111</v>
      </c>
      <c r="H428" s="1">
        <v>8.9118700000000004</v>
      </c>
    </row>
    <row r="429" spans="1:8" x14ac:dyDescent="0.3">
      <c r="A429" t="e">
        <f t="shared" ref="A429:A435" si="15">A379</f>
        <v>#REF!</v>
      </c>
      <c r="B429">
        <v>3255</v>
      </c>
      <c r="C429" s="1">
        <v>22.380319544833359</v>
      </c>
      <c r="D429" s="9">
        <v>19.27416666667235</v>
      </c>
      <c r="E429" s="1">
        <v>7.7824799999999996</v>
      </c>
      <c r="F429" s="1">
        <v>10.3721</v>
      </c>
      <c r="G429" s="1">
        <v>17.4129</v>
      </c>
      <c r="H429" s="1">
        <v>10.061</v>
      </c>
    </row>
    <row r="430" spans="1:8" x14ac:dyDescent="0.3">
      <c r="A430" t="e">
        <f t="shared" si="15"/>
        <v>#REF!</v>
      </c>
      <c r="B430">
        <v>3305</v>
      </c>
      <c r="C430" s="1">
        <v>21.975773760123921</v>
      </c>
      <c r="D430" s="9">
        <v>19.32138888889466</v>
      </c>
      <c r="E430" s="1">
        <v>8.7619699999999998</v>
      </c>
      <c r="F430" s="1">
        <v>9.7710299999999997</v>
      </c>
      <c r="G430" s="1">
        <v>17.0563</v>
      </c>
      <c r="H430" s="1">
        <v>11.3733</v>
      </c>
    </row>
    <row r="431" spans="1:8" x14ac:dyDescent="0.3">
      <c r="A431" t="e">
        <f t="shared" si="15"/>
        <v>#REF!</v>
      </c>
      <c r="B431">
        <v>3355</v>
      </c>
      <c r="C431" s="1">
        <v>21.662450472158341</v>
      </c>
      <c r="D431" s="9">
        <v>19.368611111116969</v>
      </c>
      <c r="E431" s="1">
        <v>10.253500000000001</v>
      </c>
      <c r="F431" s="1">
        <v>10.6769</v>
      </c>
      <c r="G431" s="1">
        <v>17.156700000000001</v>
      </c>
      <c r="H431" s="1">
        <v>12.8049</v>
      </c>
    </row>
    <row r="432" spans="1:8" x14ac:dyDescent="0.3">
      <c r="A432" t="e">
        <f t="shared" si="15"/>
        <v>#REF!</v>
      </c>
      <c r="B432">
        <v>3405</v>
      </c>
      <c r="C432" s="1">
        <v>21.330730114895491</v>
      </c>
      <c r="D432" s="9">
        <v>19.415833333339279</v>
      </c>
      <c r="E432" s="1">
        <v>12.027699999999999</v>
      </c>
      <c r="F432" s="1">
        <v>12.2317</v>
      </c>
      <c r="G432" s="1">
        <v>17.440100000000001</v>
      </c>
      <c r="H432" s="1">
        <v>14.2242</v>
      </c>
    </row>
    <row r="433" spans="1:8" x14ac:dyDescent="0.3">
      <c r="A433" t="e">
        <f t="shared" si="15"/>
        <v>#REF!</v>
      </c>
      <c r="B433">
        <v>3455</v>
      </c>
      <c r="C433" s="1">
        <v>20.86850164716099</v>
      </c>
      <c r="D433" s="9">
        <v>19.463055555561589</v>
      </c>
      <c r="E433" s="1">
        <v>13.911199999999999</v>
      </c>
      <c r="F433" s="1">
        <v>14.007400000000001</v>
      </c>
      <c r="G433" s="1">
        <v>17.861000000000001</v>
      </c>
      <c r="H433" s="1">
        <v>15.620699999999999</v>
      </c>
    </row>
    <row r="434" spans="1:8" x14ac:dyDescent="0.3">
      <c r="A434" t="e">
        <f t="shared" si="15"/>
        <v>#REF!</v>
      </c>
      <c r="B434">
        <v>3505</v>
      </c>
      <c r="C434" s="1">
        <v>20.374494477823639</v>
      </c>
      <c r="D434" s="9">
        <v>19.510277777783898</v>
      </c>
      <c r="E434" s="1">
        <v>15.8483</v>
      </c>
      <c r="F434" s="1">
        <v>15.8889</v>
      </c>
      <c r="G434" s="1">
        <v>18.389199999999999</v>
      </c>
      <c r="H434" s="1">
        <v>17.001999999999999</v>
      </c>
    </row>
    <row r="435" spans="1:8" x14ac:dyDescent="0.3">
      <c r="A435" t="e">
        <f t="shared" si="15"/>
        <v>#REF!</v>
      </c>
      <c r="B435">
        <v>3555</v>
      </c>
      <c r="C435" s="1">
        <v>19.998792981975079</v>
      </c>
      <c r="D435" s="9">
        <v>19.557500000006208</v>
      </c>
      <c r="E435" s="1">
        <v>17.814900000000002</v>
      </c>
      <c r="F435" s="1">
        <v>17.827100000000002</v>
      </c>
      <c r="G435" s="1">
        <v>18.998200000000001</v>
      </c>
      <c r="H435" s="1">
        <v>18.372900000000001</v>
      </c>
    </row>
    <row r="436" spans="1:8" x14ac:dyDescent="0.3">
      <c r="A436">
        <v>6</v>
      </c>
      <c r="B436">
        <v>6</v>
      </c>
      <c r="C436" s="1">
        <v>16.190000000000001</v>
      </c>
      <c r="D436" s="9">
        <v>16.205666666666676</v>
      </c>
      <c r="E436" s="1">
        <v>15.9771</v>
      </c>
      <c r="F436" s="1">
        <v>15.962199999999999</v>
      </c>
      <c r="G436" s="1">
        <v>16.125800000000002</v>
      </c>
      <c r="H436" s="1">
        <v>15.9765</v>
      </c>
    </row>
    <row r="437" spans="1:8" x14ac:dyDescent="0.3">
      <c r="A437" t="e">
        <f t="shared" ref="A437:A468" si="16">A387</f>
        <v>#REF!</v>
      </c>
      <c r="B437">
        <v>56</v>
      </c>
      <c r="C437" s="1">
        <v>16.154919097240409</v>
      </c>
      <c r="D437" s="9">
        <v>16.252888888888986</v>
      </c>
      <c r="E437" s="1">
        <v>14.131500000000001</v>
      </c>
      <c r="F437" s="1">
        <v>13.9946</v>
      </c>
      <c r="G437" s="1">
        <v>15.5364</v>
      </c>
      <c r="H437" s="1">
        <v>14.109299999999999</v>
      </c>
    </row>
    <row r="438" spans="1:8" x14ac:dyDescent="0.3">
      <c r="A438" t="e">
        <f t="shared" si="16"/>
        <v>#REF!</v>
      </c>
      <c r="B438">
        <v>106</v>
      </c>
      <c r="C438" s="1">
        <v>16.23</v>
      </c>
      <c r="D438" s="9">
        <v>16.300111111111296</v>
      </c>
      <c r="E438" s="1">
        <v>12.3123</v>
      </c>
      <c r="F438" s="1">
        <v>12.062200000000001</v>
      </c>
      <c r="G438" s="1">
        <v>15.007300000000001</v>
      </c>
      <c r="H438" s="1">
        <v>12.232699999999999</v>
      </c>
    </row>
    <row r="439" spans="1:8" x14ac:dyDescent="0.3">
      <c r="A439" t="e">
        <f t="shared" si="16"/>
        <v>#REF!</v>
      </c>
      <c r="B439">
        <v>156</v>
      </c>
      <c r="C439" s="1">
        <v>16.45</v>
      </c>
      <c r="D439" s="9">
        <v>16.347333333333605</v>
      </c>
      <c r="E439" s="1">
        <v>10.5318</v>
      </c>
      <c r="F439" s="1">
        <v>10.190899999999999</v>
      </c>
      <c r="G439" s="1">
        <v>14.5535</v>
      </c>
      <c r="H439" s="1">
        <v>10.345800000000001</v>
      </c>
    </row>
    <row r="440" spans="1:8" x14ac:dyDescent="0.3">
      <c r="A440" t="e">
        <f t="shared" si="16"/>
        <v>#REF!</v>
      </c>
      <c r="B440">
        <v>206</v>
      </c>
      <c r="C440" s="1">
        <v>16.8</v>
      </c>
      <c r="D440" s="9">
        <v>16.394555555555915</v>
      </c>
      <c r="E440" s="1">
        <v>8.8123699999999996</v>
      </c>
      <c r="F440" s="1">
        <v>8.4349399999999992</v>
      </c>
      <c r="G440" s="1">
        <v>14.192600000000001</v>
      </c>
      <c r="H440" s="1">
        <v>8.4503000000000004</v>
      </c>
    </row>
    <row r="441" spans="1:8" x14ac:dyDescent="0.3">
      <c r="A441" t="e">
        <f t="shared" si="16"/>
        <v>#REF!</v>
      </c>
      <c r="B441">
        <v>256</v>
      </c>
      <c r="C441" s="1">
        <v>16.92195639379246</v>
      </c>
      <c r="D441" s="9">
        <v>16.441777777778224</v>
      </c>
      <c r="E441" s="1">
        <v>7.1971699999999998</v>
      </c>
      <c r="F441" s="1">
        <v>6.9228699999999996</v>
      </c>
      <c r="G441" s="1">
        <v>13.9262</v>
      </c>
      <c r="H441" s="1">
        <v>6.5584300000000004</v>
      </c>
    </row>
    <row r="442" spans="1:8" x14ac:dyDescent="0.3">
      <c r="A442">
        <f t="shared" si="16"/>
        <v>4</v>
      </c>
      <c r="B442">
        <v>306</v>
      </c>
      <c r="C442" s="1">
        <v>17.112150211248959</v>
      </c>
      <c r="D442" s="9">
        <v>16.489000000000534</v>
      </c>
      <c r="E442" s="1">
        <v>5.8844000000000003</v>
      </c>
      <c r="F442" s="1">
        <v>6.1933800000000003</v>
      </c>
      <c r="G442" s="1">
        <v>13.8186</v>
      </c>
      <c r="H442" s="1">
        <v>4.8803400000000003</v>
      </c>
    </row>
    <row r="443" spans="1:8" x14ac:dyDescent="0.3">
      <c r="A443" t="e">
        <f t="shared" si="16"/>
        <v>#REF!</v>
      </c>
      <c r="B443">
        <v>356</v>
      </c>
      <c r="C443" s="1">
        <v>17.32622704846365</v>
      </c>
      <c r="D443" s="9">
        <v>16.536222222222843</v>
      </c>
      <c r="E443" s="1">
        <v>5.0443499999999997</v>
      </c>
      <c r="F443" s="1">
        <v>6.4378500000000001</v>
      </c>
      <c r="G443" s="1">
        <v>14.003299999999999</v>
      </c>
      <c r="H443" s="1">
        <v>3.7157399999999998</v>
      </c>
    </row>
    <row r="444" spans="1:8" x14ac:dyDescent="0.3">
      <c r="A444" t="e">
        <f t="shared" si="16"/>
        <v>#REF!</v>
      </c>
      <c r="B444">
        <v>406</v>
      </c>
      <c r="C444" s="1">
        <v>17.510000000000002</v>
      </c>
      <c r="D444" s="9">
        <v>16.583444444445153</v>
      </c>
      <c r="E444" s="1">
        <v>4.4769500000000004</v>
      </c>
      <c r="F444" s="1">
        <v>6.7144700000000004</v>
      </c>
      <c r="G444" s="1">
        <v>14.061299999999999</v>
      </c>
      <c r="H444" s="1">
        <v>2.9156200000000001</v>
      </c>
    </row>
    <row r="445" spans="1:8" x14ac:dyDescent="0.3">
      <c r="A445" t="e">
        <f t="shared" si="16"/>
        <v>#REF!</v>
      </c>
      <c r="B445">
        <v>456</v>
      </c>
      <c r="C445" s="1">
        <v>17.829999999999998</v>
      </c>
      <c r="D445" s="9">
        <v>16.630666666667462</v>
      </c>
      <c r="E445" s="1">
        <v>4.0936399999999997</v>
      </c>
      <c r="F445" s="1">
        <v>6.66629</v>
      </c>
      <c r="G445" s="1">
        <v>13.837999999999999</v>
      </c>
      <c r="H445" s="1">
        <v>2.4247999999999998</v>
      </c>
    </row>
    <row r="446" spans="1:8" x14ac:dyDescent="0.3">
      <c r="A446" t="e">
        <f t="shared" si="16"/>
        <v>#REF!</v>
      </c>
      <c r="B446">
        <v>506</v>
      </c>
      <c r="C446" s="1">
        <v>17.991225190244968</v>
      </c>
      <c r="D446" s="9">
        <v>16.677888888889772</v>
      </c>
      <c r="E446" s="1">
        <v>3.6008300000000002</v>
      </c>
      <c r="F446" s="1">
        <v>6.2118500000000001</v>
      </c>
      <c r="G446" s="1">
        <v>13.4923</v>
      </c>
      <c r="H446" s="1">
        <v>1.94367</v>
      </c>
    </row>
    <row r="447" spans="1:8" x14ac:dyDescent="0.3">
      <c r="A447" t="e">
        <f t="shared" si="16"/>
        <v>#REF!</v>
      </c>
      <c r="B447">
        <v>556</v>
      </c>
      <c r="C447" s="1">
        <v>18.2</v>
      </c>
      <c r="D447" s="9">
        <v>16.725111111112081</v>
      </c>
      <c r="E447" s="1">
        <v>2.7962500000000001</v>
      </c>
      <c r="F447" s="1">
        <v>5.36721</v>
      </c>
      <c r="G447" s="1">
        <v>13.1638</v>
      </c>
      <c r="H447" s="1">
        <v>1.2551699999999999</v>
      </c>
    </row>
    <row r="448" spans="1:8" x14ac:dyDescent="0.3">
      <c r="A448">
        <f t="shared" si="16"/>
        <v>2</v>
      </c>
      <c r="B448">
        <v>606</v>
      </c>
      <c r="C448" s="1">
        <v>18.399999999999999</v>
      </c>
      <c r="D448" s="9">
        <v>16.772333333334391</v>
      </c>
      <c r="E448" s="1">
        <v>1.8741300000000001</v>
      </c>
      <c r="F448" s="1">
        <v>4.3396800000000004</v>
      </c>
      <c r="G448" s="1">
        <v>12.7898</v>
      </c>
      <c r="H448" s="1">
        <v>0.53373800000000005</v>
      </c>
    </row>
    <row r="449" spans="1:8" x14ac:dyDescent="0.3">
      <c r="A449" t="e">
        <f t="shared" si="16"/>
        <v>#REF!</v>
      </c>
      <c r="B449">
        <v>656</v>
      </c>
      <c r="C449" s="1">
        <v>18.489999999999998</v>
      </c>
      <c r="D449" s="9">
        <v>16.8195555555567</v>
      </c>
      <c r="E449" s="1">
        <v>1.0928100000000001</v>
      </c>
      <c r="F449" s="1">
        <v>3.3682599999999998</v>
      </c>
      <c r="G449" s="1">
        <v>12.3622</v>
      </c>
      <c r="H449" s="1">
        <v>3.9538900000000002E-2</v>
      </c>
    </row>
    <row r="450" spans="1:8" x14ac:dyDescent="0.3">
      <c r="A450" t="e">
        <f t="shared" si="16"/>
        <v>#REF!</v>
      </c>
      <c r="B450">
        <v>706</v>
      </c>
      <c r="C450" s="1">
        <v>18.70811720741802</v>
      </c>
      <c r="D450" s="9">
        <v>16.86677777777901</v>
      </c>
      <c r="E450" s="1">
        <v>0.67534499999999997</v>
      </c>
      <c r="F450" s="1">
        <v>2.66269</v>
      </c>
      <c r="G450" s="1">
        <v>12.1233</v>
      </c>
      <c r="H450" s="1">
        <v>6.5504199999999999E-2</v>
      </c>
    </row>
    <row r="451" spans="1:8" x14ac:dyDescent="0.3">
      <c r="A451" t="e">
        <f t="shared" si="16"/>
        <v>#REF!</v>
      </c>
      <c r="B451">
        <v>756</v>
      </c>
      <c r="C451" s="1">
        <v>18.829999999999998</v>
      </c>
      <c r="D451" s="9">
        <v>16.91400000000132</v>
      </c>
      <c r="E451" s="1">
        <v>0.71641900000000003</v>
      </c>
      <c r="F451" s="1">
        <v>2.3058399999999999</v>
      </c>
      <c r="G451" s="1">
        <v>12.2532</v>
      </c>
      <c r="H451" s="1">
        <v>0.74877199999999999</v>
      </c>
    </row>
    <row r="452" spans="1:8" x14ac:dyDescent="0.3">
      <c r="A452">
        <f t="shared" si="16"/>
        <v>0</v>
      </c>
      <c r="B452">
        <v>806</v>
      </c>
      <c r="C452" s="1">
        <v>19.209648194942321</v>
      </c>
      <c r="D452" s="9">
        <v>16.961222222223629</v>
      </c>
      <c r="E452" s="1">
        <v>0.98108700000000004</v>
      </c>
      <c r="F452" s="1">
        <v>2.0526399999999998</v>
      </c>
      <c r="G452" s="1">
        <v>12.6495</v>
      </c>
      <c r="H452" s="1">
        <v>1.79149</v>
      </c>
    </row>
    <row r="453" spans="1:8" x14ac:dyDescent="0.3">
      <c r="A453">
        <f t="shared" si="16"/>
        <v>0</v>
      </c>
      <c r="B453">
        <v>856</v>
      </c>
      <c r="C453" s="1">
        <v>19.41946112715825</v>
      </c>
      <c r="D453" s="9">
        <v>17.008444444445939</v>
      </c>
      <c r="E453" s="1">
        <v>1.2670999999999999</v>
      </c>
      <c r="F453" s="1">
        <v>1.7496799999999999</v>
      </c>
      <c r="G453" s="1">
        <v>13.117599999999999</v>
      </c>
      <c r="H453" s="1">
        <v>2.81968</v>
      </c>
    </row>
    <row r="454" spans="1:8" x14ac:dyDescent="0.3">
      <c r="A454" t="e">
        <f t="shared" si="16"/>
        <v>#REF!</v>
      </c>
      <c r="B454">
        <v>906</v>
      </c>
      <c r="C454" s="1">
        <v>19.71</v>
      </c>
      <c r="D454" s="9">
        <v>17.055666666668248</v>
      </c>
      <c r="E454" s="1">
        <v>1.6088899999999999</v>
      </c>
      <c r="F454" s="1">
        <v>1.63812</v>
      </c>
      <c r="G454" s="1">
        <v>13.3431</v>
      </c>
      <c r="H454" s="1">
        <v>3.4497599999999999</v>
      </c>
    </row>
    <row r="455" spans="1:8" x14ac:dyDescent="0.3">
      <c r="A455" t="e">
        <f t="shared" si="16"/>
        <v>#REF!</v>
      </c>
      <c r="B455">
        <v>956</v>
      </c>
      <c r="C455" s="1">
        <v>20.031430384673222</v>
      </c>
      <c r="D455" s="9">
        <v>17.102888888890558</v>
      </c>
      <c r="E455" s="1">
        <v>2.0105599999999999</v>
      </c>
      <c r="F455" s="1">
        <v>1.9115200000000001</v>
      </c>
      <c r="G455" s="1">
        <v>13.156499999999999</v>
      </c>
      <c r="H455" s="1">
        <v>3.4634200000000002</v>
      </c>
    </row>
    <row r="456" spans="1:8" x14ac:dyDescent="0.3">
      <c r="A456" t="e">
        <f t="shared" si="16"/>
        <v>#REF!</v>
      </c>
      <c r="B456">
        <v>1006</v>
      </c>
      <c r="C456" s="1">
        <v>20.41441350412148</v>
      </c>
      <c r="D456" s="9">
        <v>17.150111111112867</v>
      </c>
      <c r="E456" s="1">
        <v>2.2883800000000001</v>
      </c>
      <c r="F456" s="1">
        <v>2.4581900000000001</v>
      </c>
      <c r="G456" s="1">
        <v>12.835100000000001</v>
      </c>
      <c r="H456" s="1">
        <v>3.0899700000000001</v>
      </c>
    </row>
    <row r="457" spans="1:8" x14ac:dyDescent="0.3">
      <c r="A457" t="e">
        <f t="shared" si="16"/>
        <v>#REF!</v>
      </c>
      <c r="B457">
        <v>1056</v>
      </c>
      <c r="C457" s="1">
        <v>20.869532134804189</v>
      </c>
      <c r="D457" s="9">
        <v>17.197333333335177</v>
      </c>
      <c r="E457" s="1">
        <v>2.3311600000000001</v>
      </c>
      <c r="F457" s="1">
        <v>3.07104</v>
      </c>
      <c r="G457" s="1">
        <v>12.6576</v>
      </c>
      <c r="H457" s="1">
        <v>2.6607099999999999</v>
      </c>
    </row>
    <row r="458" spans="1:8" x14ac:dyDescent="0.3">
      <c r="A458" t="e">
        <f t="shared" si="16"/>
        <v>#REF!</v>
      </c>
      <c r="B458">
        <v>1106</v>
      </c>
      <c r="C458" s="1">
        <v>21.239803925126811</v>
      </c>
      <c r="D458" s="9">
        <v>17.244555555557486</v>
      </c>
      <c r="E458" s="1">
        <v>2.30653</v>
      </c>
      <c r="F458" s="1">
        <v>3.4238</v>
      </c>
      <c r="G458" s="1">
        <v>12.706</v>
      </c>
      <c r="H458" s="1">
        <v>2.5808</v>
      </c>
    </row>
    <row r="459" spans="1:8" x14ac:dyDescent="0.3">
      <c r="A459" t="e">
        <f t="shared" si="16"/>
        <v>#REF!</v>
      </c>
      <c r="B459">
        <v>1156</v>
      </c>
      <c r="C459" s="1">
        <v>21.552916729805919</v>
      </c>
      <c r="D459" s="9">
        <v>17.291777777779796</v>
      </c>
      <c r="E459" s="1">
        <v>2.3253699999999999</v>
      </c>
      <c r="F459" s="1">
        <v>3.3491200000000001</v>
      </c>
      <c r="G459" s="1">
        <v>12.9467</v>
      </c>
      <c r="H459" s="1">
        <v>3.0839300000000001</v>
      </c>
    </row>
    <row r="460" spans="1:8" x14ac:dyDescent="0.3">
      <c r="A460" t="e">
        <f t="shared" si="16"/>
        <v>#REF!</v>
      </c>
      <c r="B460">
        <v>1206</v>
      </c>
      <c r="C460" s="1">
        <v>21.981319166210721</v>
      </c>
      <c r="D460" s="9">
        <v>17.339000000002105</v>
      </c>
      <c r="E460" s="1">
        <v>2.2231200000000002</v>
      </c>
      <c r="F460" s="1">
        <v>3.1564399999999999</v>
      </c>
      <c r="G460" s="1">
        <v>13.125400000000001</v>
      </c>
      <c r="H460" s="1">
        <v>3.9150700000000001</v>
      </c>
    </row>
    <row r="461" spans="1:8" x14ac:dyDescent="0.3">
      <c r="A461" t="e">
        <f t="shared" si="16"/>
        <v>#REF!</v>
      </c>
      <c r="B461">
        <v>1256</v>
      </c>
      <c r="C461" s="1">
        <v>22.400723713038751</v>
      </c>
      <c r="D461" s="9">
        <v>17.386222222224415</v>
      </c>
      <c r="E461" s="1">
        <v>1.9219599999999999</v>
      </c>
      <c r="F461" s="1">
        <v>3.1380699999999999</v>
      </c>
      <c r="G461" s="1">
        <v>13.086499999999999</v>
      </c>
      <c r="H461" s="1">
        <v>4.7671099999999997</v>
      </c>
    </row>
    <row r="462" spans="1:8" x14ac:dyDescent="0.3">
      <c r="A462" t="e">
        <f t="shared" si="16"/>
        <v>#REF!</v>
      </c>
      <c r="B462">
        <v>1306</v>
      </c>
      <c r="C462" s="1">
        <v>22.850530715461911</v>
      </c>
      <c r="D462" s="9">
        <v>17.433444444446724</v>
      </c>
      <c r="E462" s="1">
        <v>1.69669</v>
      </c>
      <c r="F462" s="1">
        <v>3.33162</v>
      </c>
      <c r="G462" s="1">
        <v>13.0358</v>
      </c>
      <c r="H462" s="1">
        <v>5.4081999999999999</v>
      </c>
    </row>
    <row r="463" spans="1:8" x14ac:dyDescent="0.3">
      <c r="A463" t="e">
        <f t="shared" si="16"/>
        <v>#REF!</v>
      </c>
      <c r="B463">
        <v>1356</v>
      </c>
      <c r="C463" s="1">
        <v>23.11</v>
      </c>
      <c r="D463" s="9">
        <v>17.480666666669034</v>
      </c>
      <c r="E463" s="1">
        <v>1.7809600000000001</v>
      </c>
      <c r="F463" s="1">
        <v>3.69407</v>
      </c>
      <c r="G463" s="1">
        <v>13.120799999999999</v>
      </c>
      <c r="H463" s="1">
        <v>5.7300300000000002</v>
      </c>
    </row>
    <row r="464" spans="1:8" x14ac:dyDescent="0.3">
      <c r="A464">
        <f t="shared" si="16"/>
        <v>5</v>
      </c>
      <c r="B464">
        <v>1406</v>
      </c>
      <c r="C464" s="1">
        <v>23.222713674595472</v>
      </c>
      <c r="D464" s="9">
        <v>17.527888888891344</v>
      </c>
      <c r="E464" s="1">
        <v>2.1444700000000001</v>
      </c>
      <c r="F464" s="1">
        <v>4.0797800000000004</v>
      </c>
      <c r="G464" s="1">
        <v>13.1762</v>
      </c>
      <c r="H464" s="1">
        <v>5.9176799999999998</v>
      </c>
    </row>
    <row r="465" spans="1:8" x14ac:dyDescent="0.3">
      <c r="A465" t="e">
        <f t="shared" si="16"/>
        <v>#REF!</v>
      </c>
      <c r="B465">
        <v>1456</v>
      </c>
      <c r="C465" s="1">
        <v>23.244650648068529</v>
      </c>
      <c r="D465" s="9">
        <v>17.575111111113653</v>
      </c>
      <c r="E465" s="1">
        <v>2.6583000000000001</v>
      </c>
      <c r="F465" s="1">
        <v>4.3745799999999999</v>
      </c>
      <c r="G465" s="1">
        <v>13.095499999999999</v>
      </c>
      <c r="H465" s="1">
        <v>6.0988100000000003</v>
      </c>
    </row>
    <row r="466" spans="1:8" x14ac:dyDescent="0.3">
      <c r="A466" t="e">
        <f t="shared" si="16"/>
        <v>#REF!</v>
      </c>
      <c r="B466">
        <v>1506</v>
      </c>
      <c r="C466" s="1">
        <v>23.08895047632134</v>
      </c>
      <c r="D466" s="9">
        <v>17.622333333335963</v>
      </c>
      <c r="E466" s="1">
        <v>3.0476200000000002</v>
      </c>
      <c r="F466" s="1">
        <v>4.5920899999999998</v>
      </c>
      <c r="G466" s="1">
        <v>13.062099999999999</v>
      </c>
      <c r="H466" s="1">
        <v>6.1244500000000004</v>
      </c>
    </row>
    <row r="467" spans="1:8" x14ac:dyDescent="0.3">
      <c r="A467" t="e">
        <f t="shared" si="16"/>
        <v>#REF!</v>
      </c>
      <c r="B467">
        <v>1556</v>
      </c>
      <c r="C467" s="1">
        <v>22.8303863232682</v>
      </c>
      <c r="D467" s="9">
        <v>17.669555555558272</v>
      </c>
      <c r="E467" s="1">
        <v>3.1931400000000001</v>
      </c>
      <c r="F467" s="1">
        <v>4.8262600000000004</v>
      </c>
      <c r="G467" s="1">
        <v>13.197100000000001</v>
      </c>
      <c r="H467" s="1">
        <v>5.85337</v>
      </c>
    </row>
    <row r="468" spans="1:8" x14ac:dyDescent="0.3">
      <c r="A468" t="e">
        <f t="shared" si="16"/>
        <v>#REF!</v>
      </c>
      <c r="B468">
        <v>1606</v>
      </c>
      <c r="C468" s="1">
        <v>22.4729009414011</v>
      </c>
      <c r="D468" s="9">
        <v>17.716777777780582</v>
      </c>
      <c r="E468" s="1">
        <v>3.4491100000000001</v>
      </c>
      <c r="F468" s="1">
        <v>5.32761</v>
      </c>
      <c r="G468" s="1">
        <v>13.331099999999999</v>
      </c>
      <c r="H468" s="1">
        <v>5.2824999999999998</v>
      </c>
    </row>
    <row r="469" spans="1:8" x14ac:dyDescent="0.3">
      <c r="A469" t="e">
        <f t="shared" ref="A469:A500" si="17">A419</f>
        <v>#REF!</v>
      </c>
      <c r="B469">
        <v>1656</v>
      </c>
      <c r="C469" s="1">
        <v>22.034431378155858</v>
      </c>
      <c r="D469" s="9">
        <v>17.764000000002891</v>
      </c>
      <c r="E469" s="1">
        <v>4.0804600000000004</v>
      </c>
      <c r="F469" s="1">
        <v>6.2321600000000004</v>
      </c>
      <c r="G469" s="1">
        <v>13.3468</v>
      </c>
      <c r="H469" s="1">
        <v>4.4507500000000002</v>
      </c>
    </row>
    <row r="470" spans="1:8" x14ac:dyDescent="0.3">
      <c r="A470">
        <f t="shared" si="17"/>
        <v>3</v>
      </c>
      <c r="B470">
        <v>1706</v>
      </c>
      <c r="C470" s="1">
        <v>21.61340135568183</v>
      </c>
      <c r="D470" s="9">
        <v>17.811222222225201</v>
      </c>
      <c r="E470" s="1">
        <v>4.9137399999999998</v>
      </c>
      <c r="F470" s="1">
        <v>7.3079299999999998</v>
      </c>
      <c r="G470" s="1">
        <v>13.3879</v>
      </c>
      <c r="H470" s="1">
        <v>3.4480900000000001</v>
      </c>
    </row>
    <row r="471" spans="1:8" x14ac:dyDescent="0.3">
      <c r="A471" t="e">
        <f t="shared" si="17"/>
        <v>#REF!</v>
      </c>
      <c r="B471">
        <v>1756</v>
      </c>
      <c r="C471" s="1">
        <v>21.25</v>
      </c>
      <c r="D471" s="9">
        <v>17.85844444444751</v>
      </c>
      <c r="E471" s="1">
        <v>5.6587399999999999</v>
      </c>
      <c r="F471" s="1">
        <v>8.2730899999999998</v>
      </c>
      <c r="G471" s="1">
        <v>13.5383</v>
      </c>
      <c r="H471" s="1">
        <v>2.3586299999999998</v>
      </c>
    </row>
    <row r="472" spans="1:8" x14ac:dyDescent="0.3">
      <c r="A472" t="e">
        <f t="shared" si="17"/>
        <v>#REF!</v>
      </c>
      <c r="B472">
        <v>1806</v>
      </c>
      <c r="C472" s="1">
        <v>20.858887144887781</v>
      </c>
      <c r="D472" s="9">
        <v>17.90566666666982</v>
      </c>
      <c r="E472" s="1">
        <v>5.90611</v>
      </c>
      <c r="F472" s="1">
        <v>8.8720400000000001</v>
      </c>
      <c r="G472" s="1">
        <v>13.6168</v>
      </c>
      <c r="H472" s="1">
        <v>1.22959</v>
      </c>
    </row>
    <row r="473" spans="1:8" x14ac:dyDescent="0.3">
      <c r="A473" t="e">
        <f t="shared" si="17"/>
        <v>#REF!</v>
      </c>
      <c r="B473">
        <v>1856</v>
      </c>
      <c r="C473" s="1">
        <v>20.515560329567759</v>
      </c>
      <c r="D473" s="9">
        <v>17.952888888892129</v>
      </c>
      <c r="E473" s="1">
        <v>5.4327100000000002</v>
      </c>
      <c r="F473" s="1">
        <v>9.0101700000000005</v>
      </c>
      <c r="G473" s="1">
        <v>13.5162</v>
      </c>
      <c r="H473" s="1">
        <v>7.6907500000000004E-2</v>
      </c>
    </row>
    <row r="474" spans="1:8" x14ac:dyDescent="0.3">
      <c r="A474" t="e">
        <f t="shared" si="17"/>
        <v>#REF!</v>
      </c>
      <c r="B474">
        <v>1906</v>
      </c>
      <c r="C474" s="1">
        <v>20.099088490939739</v>
      </c>
      <c r="D474" s="9">
        <v>18.000111111114439</v>
      </c>
      <c r="E474" s="1">
        <v>4.5513399999999997</v>
      </c>
      <c r="F474" s="1">
        <v>9.0009499999999996</v>
      </c>
      <c r="G474" s="1">
        <v>13.4351</v>
      </c>
      <c r="H474" s="1">
        <v>-1.1491899999999999</v>
      </c>
    </row>
    <row r="475" spans="1:8" x14ac:dyDescent="0.3">
      <c r="A475" t="e">
        <f t="shared" si="17"/>
        <v>#REF!</v>
      </c>
      <c r="B475">
        <v>1956</v>
      </c>
      <c r="C475" s="1">
        <v>19.77436412448629</v>
      </c>
      <c r="D475" s="9">
        <v>18.047333333336748</v>
      </c>
      <c r="E475" s="1">
        <v>3.6399300000000001</v>
      </c>
      <c r="F475" s="1">
        <v>9.0756499999999996</v>
      </c>
      <c r="G475" s="1">
        <v>13.5158</v>
      </c>
      <c r="H475" s="1">
        <v>-2.45932</v>
      </c>
    </row>
    <row r="476" spans="1:8" x14ac:dyDescent="0.3">
      <c r="A476">
        <f t="shared" si="17"/>
        <v>1</v>
      </c>
      <c r="B476">
        <v>2006</v>
      </c>
      <c r="C476" s="1">
        <v>19.48761463228756</v>
      </c>
      <c r="D476" s="9">
        <v>18.094555555559058</v>
      </c>
      <c r="E476" s="1">
        <v>3.0211100000000002</v>
      </c>
      <c r="F476" s="1">
        <v>9.0824400000000001</v>
      </c>
      <c r="G476" s="1">
        <v>13.627700000000001</v>
      </c>
      <c r="H476" s="1">
        <v>-3.7358799999999999</v>
      </c>
    </row>
    <row r="477" spans="1:8" x14ac:dyDescent="0.3">
      <c r="A477" t="e">
        <f t="shared" si="17"/>
        <v>#REF!</v>
      </c>
      <c r="B477">
        <v>2056</v>
      </c>
      <c r="C477" s="1">
        <v>19.3</v>
      </c>
      <c r="D477" s="9">
        <v>18.141777777781368</v>
      </c>
      <c r="E477" s="1">
        <v>2.8398400000000001</v>
      </c>
      <c r="F477" s="1">
        <v>8.9016300000000008</v>
      </c>
      <c r="G477" s="1">
        <v>13.677099999999999</v>
      </c>
      <c r="H477" s="1">
        <v>-4.8569399999999998</v>
      </c>
    </row>
    <row r="478" spans="1:8" x14ac:dyDescent="0.3">
      <c r="A478" t="e">
        <f t="shared" si="17"/>
        <v>#REF!</v>
      </c>
      <c r="B478">
        <v>2106</v>
      </c>
      <c r="C478" s="1">
        <v>19.2</v>
      </c>
      <c r="D478" s="9">
        <v>18.189000000003677</v>
      </c>
      <c r="E478" s="1">
        <v>2.8048999999999999</v>
      </c>
      <c r="F478" s="1">
        <v>8.6550700000000003</v>
      </c>
      <c r="G478" s="1">
        <v>13.776899999999999</v>
      </c>
      <c r="H478" s="1">
        <v>-5.742</v>
      </c>
    </row>
    <row r="479" spans="1:8" x14ac:dyDescent="0.3">
      <c r="A479" t="e">
        <f t="shared" si="17"/>
        <v>#REF!</v>
      </c>
      <c r="B479">
        <v>2156</v>
      </c>
      <c r="C479" s="1">
        <v>19.190000000000001</v>
      </c>
      <c r="D479" s="9">
        <v>18.236222222225987</v>
      </c>
      <c r="E479" s="1">
        <v>2.6968399999999999</v>
      </c>
      <c r="F479" s="1">
        <v>8.4842200000000005</v>
      </c>
      <c r="G479" s="1">
        <v>13.978300000000001</v>
      </c>
      <c r="H479" s="1">
        <v>-6.2900499999999999</v>
      </c>
    </row>
    <row r="480" spans="1:8" x14ac:dyDescent="0.3">
      <c r="A480" t="e">
        <f t="shared" si="17"/>
        <v>#REF!</v>
      </c>
      <c r="B480">
        <v>2206</v>
      </c>
      <c r="C480" s="1">
        <v>19.18</v>
      </c>
      <c r="D480" s="9">
        <v>18.283444444448296</v>
      </c>
      <c r="E480" s="1">
        <v>2.6596700000000002</v>
      </c>
      <c r="F480" s="1">
        <v>8.4815199999999997</v>
      </c>
      <c r="G480" s="1">
        <v>14.086499999999999</v>
      </c>
      <c r="H480" s="1">
        <v>-6.3308999999999997</v>
      </c>
    </row>
    <row r="481" spans="1:8" x14ac:dyDescent="0.3">
      <c r="A481" t="e">
        <f t="shared" si="17"/>
        <v>#REF!</v>
      </c>
      <c r="B481">
        <v>2256</v>
      </c>
      <c r="C481" s="1">
        <v>19.361687800142441</v>
      </c>
      <c r="D481" s="9">
        <v>18.330666666670606</v>
      </c>
      <c r="E481" s="1">
        <v>2.7876500000000002</v>
      </c>
      <c r="F481" s="1">
        <v>8.6381800000000002</v>
      </c>
      <c r="G481" s="1">
        <v>13.985900000000001</v>
      </c>
      <c r="H481" s="1">
        <v>-5.7990500000000003</v>
      </c>
    </row>
    <row r="482" spans="1:8" x14ac:dyDescent="0.3">
      <c r="A482" t="e">
        <f t="shared" si="17"/>
        <v>#REF!</v>
      </c>
      <c r="B482">
        <v>2306</v>
      </c>
      <c r="C482" s="1">
        <v>19.626871389155038</v>
      </c>
      <c r="D482" s="9">
        <v>18.377888888892915</v>
      </c>
      <c r="E482" s="1">
        <v>2.89954</v>
      </c>
      <c r="F482" s="1">
        <v>8.7052300000000002</v>
      </c>
      <c r="G482" s="1">
        <v>13.8627</v>
      </c>
      <c r="H482" s="1">
        <v>-4.9238400000000002</v>
      </c>
    </row>
    <row r="483" spans="1:8" x14ac:dyDescent="0.3">
      <c r="A483" t="e">
        <f t="shared" si="17"/>
        <v>#REF!</v>
      </c>
      <c r="B483">
        <v>2356</v>
      </c>
      <c r="C483" s="1">
        <v>20.014840035363811</v>
      </c>
      <c r="D483" s="9">
        <v>18.425111111115225</v>
      </c>
      <c r="E483" s="1">
        <v>2.8701400000000001</v>
      </c>
      <c r="F483" s="1">
        <v>8.5112000000000005</v>
      </c>
      <c r="G483" s="1">
        <v>13.8462</v>
      </c>
      <c r="H483" s="1">
        <v>-3.9193799999999999</v>
      </c>
    </row>
    <row r="484" spans="1:8" x14ac:dyDescent="0.3">
      <c r="A484" t="e">
        <f t="shared" si="17"/>
        <v>#REF!</v>
      </c>
      <c r="B484">
        <v>2406</v>
      </c>
      <c r="C484" s="1">
        <v>20.502533339027359</v>
      </c>
      <c r="D484" s="9">
        <v>18.472333333337534</v>
      </c>
      <c r="E484" s="1">
        <v>2.8288700000000002</v>
      </c>
      <c r="F484" s="1">
        <v>8.1810399999999994</v>
      </c>
      <c r="G484" s="1">
        <v>13.7987</v>
      </c>
      <c r="H484" s="1">
        <v>-2.8431899999999999</v>
      </c>
    </row>
    <row r="485" spans="1:8" x14ac:dyDescent="0.3">
      <c r="A485" t="e">
        <f t="shared" si="17"/>
        <v>#REF!</v>
      </c>
      <c r="B485">
        <v>2456</v>
      </c>
      <c r="C485" s="1">
        <v>21.12338919433893</v>
      </c>
      <c r="D485" s="9">
        <v>18.519555555559844</v>
      </c>
      <c r="E485" s="1">
        <v>2.8286099999999998</v>
      </c>
      <c r="F485" s="1">
        <v>7.8950300000000002</v>
      </c>
      <c r="G485" s="1">
        <v>13.6564</v>
      </c>
      <c r="H485" s="1">
        <v>-1.71523</v>
      </c>
    </row>
    <row r="486" spans="1:8" x14ac:dyDescent="0.3">
      <c r="A486">
        <f t="shared" si="17"/>
        <v>6</v>
      </c>
      <c r="B486">
        <v>2506</v>
      </c>
      <c r="C486" s="1">
        <v>21.62535554895496</v>
      </c>
      <c r="D486" s="9">
        <v>18.566777777782153</v>
      </c>
      <c r="E486" s="1">
        <v>2.6250800000000001</v>
      </c>
      <c r="F486" s="1">
        <v>7.8548900000000001</v>
      </c>
      <c r="G486" s="1">
        <v>13.6501</v>
      </c>
      <c r="H486" s="1">
        <v>-0.52239999999999998</v>
      </c>
    </row>
    <row r="487" spans="1:8" x14ac:dyDescent="0.3">
      <c r="A487" t="e">
        <f t="shared" si="17"/>
        <v>#REF!</v>
      </c>
      <c r="B487">
        <v>2556</v>
      </c>
      <c r="C487" s="1">
        <v>22.102059376060971</v>
      </c>
      <c r="D487" s="9">
        <v>18.614000000004463</v>
      </c>
      <c r="E487" s="1">
        <v>2.0668000000000002</v>
      </c>
      <c r="F487" s="1">
        <v>8.1159400000000002</v>
      </c>
      <c r="G487" s="1">
        <v>13.9152</v>
      </c>
      <c r="H487" s="1">
        <v>0.73199099999999995</v>
      </c>
    </row>
    <row r="488" spans="1:8" x14ac:dyDescent="0.3">
      <c r="A488" t="e">
        <f t="shared" si="17"/>
        <v>#REF!</v>
      </c>
      <c r="B488">
        <v>2606</v>
      </c>
      <c r="C488" s="1">
        <v>22.45403308553685</v>
      </c>
      <c r="D488" s="9">
        <v>18.661222222226773</v>
      </c>
      <c r="E488" s="1">
        <v>1.3568899999999999</v>
      </c>
      <c r="F488" s="1">
        <v>8.3521800000000006</v>
      </c>
      <c r="G488" s="1">
        <v>14.228899999999999</v>
      </c>
      <c r="H488" s="1">
        <v>1.9903</v>
      </c>
    </row>
    <row r="489" spans="1:8" x14ac:dyDescent="0.3">
      <c r="A489" t="e">
        <f t="shared" si="17"/>
        <v>#REF!</v>
      </c>
      <c r="B489">
        <v>2656</v>
      </c>
      <c r="C489" s="1">
        <v>22.83536747089277</v>
      </c>
      <c r="D489" s="9">
        <v>18.708444444449082</v>
      </c>
      <c r="E489" s="1">
        <v>0.76985199999999998</v>
      </c>
      <c r="F489" s="1">
        <v>8.3080300000000005</v>
      </c>
      <c r="G489" s="1">
        <v>14.357900000000001</v>
      </c>
      <c r="H489" s="1">
        <v>3.1796000000000002</v>
      </c>
    </row>
    <row r="490" spans="1:8" x14ac:dyDescent="0.3">
      <c r="A490" t="e">
        <f t="shared" si="17"/>
        <v>#REF!</v>
      </c>
      <c r="B490">
        <v>2706</v>
      </c>
      <c r="C490" s="1">
        <v>23.267887993674961</v>
      </c>
      <c r="D490" s="9">
        <v>18.755666666671392</v>
      </c>
      <c r="E490" s="1">
        <v>0.62019199999999997</v>
      </c>
      <c r="F490" s="1">
        <v>8.0589399999999998</v>
      </c>
      <c r="G490" s="1">
        <v>14.1839</v>
      </c>
      <c r="H490" s="1">
        <v>4.2098800000000001</v>
      </c>
    </row>
    <row r="491" spans="1:8" x14ac:dyDescent="0.3">
      <c r="A491" t="e">
        <f t="shared" si="17"/>
        <v>#REF!</v>
      </c>
      <c r="B491">
        <v>2756</v>
      </c>
      <c r="C491" s="1">
        <v>23.72108319049833</v>
      </c>
      <c r="D491" s="9">
        <v>18.802888888893701</v>
      </c>
      <c r="E491" s="1">
        <v>1.0647500000000001</v>
      </c>
      <c r="F491" s="1">
        <v>7.8044099999999998</v>
      </c>
      <c r="G491" s="1">
        <v>13.7203</v>
      </c>
      <c r="H491" s="1">
        <v>5.0016600000000002</v>
      </c>
    </row>
    <row r="492" spans="1:8" x14ac:dyDescent="0.3">
      <c r="A492">
        <f t="shared" si="17"/>
        <v>4</v>
      </c>
      <c r="B492">
        <v>2806</v>
      </c>
      <c r="C492" s="1">
        <v>24.029950025772379</v>
      </c>
      <c r="D492" s="9">
        <v>18.850111111116011</v>
      </c>
      <c r="E492" s="1">
        <v>1.8468199999999999</v>
      </c>
      <c r="F492" s="1">
        <v>7.92659</v>
      </c>
      <c r="G492" s="1">
        <v>13.2684</v>
      </c>
      <c r="H492" s="1">
        <v>5.5086500000000003</v>
      </c>
    </row>
    <row r="493" spans="1:8" x14ac:dyDescent="0.3">
      <c r="A493" t="e">
        <f t="shared" si="17"/>
        <v>#REF!</v>
      </c>
      <c r="B493">
        <v>2856</v>
      </c>
      <c r="C493" s="1">
        <v>24.24</v>
      </c>
      <c r="D493" s="9">
        <v>18.89733333333832</v>
      </c>
      <c r="E493" s="1">
        <v>2.6497899999999999</v>
      </c>
      <c r="F493" s="1">
        <v>8.6719000000000008</v>
      </c>
      <c r="G493" s="1">
        <v>13.130599999999999</v>
      </c>
      <c r="H493" s="1">
        <v>5.7639899999999997</v>
      </c>
    </row>
    <row r="494" spans="1:8" x14ac:dyDescent="0.3">
      <c r="A494" t="e">
        <f t="shared" si="17"/>
        <v>#REF!</v>
      </c>
      <c r="B494">
        <v>2906</v>
      </c>
      <c r="C494" s="1">
        <v>24.24611897502167</v>
      </c>
      <c r="D494" s="9">
        <v>18.94455555556063</v>
      </c>
      <c r="E494" s="1">
        <v>3.16832</v>
      </c>
      <c r="F494" s="1">
        <v>9.8722100000000008</v>
      </c>
      <c r="G494" s="1">
        <v>13.5025</v>
      </c>
      <c r="H494" s="1">
        <v>5.98583</v>
      </c>
    </row>
    <row r="495" spans="1:8" x14ac:dyDescent="0.3">
      <c r="A495" t="e">
        <f t="shared" si="17"/>
        <v>#REF!</v>
      </c>
      <c r="B495">
        <v>2956</v>
      </c>
      <c r="C495" s="1">
        <v>24.127117646821581</v>
      </c>
      <c r="D495" s="9">
        <v>18.991777777782939</v>
      </c>
      <c r="E495" s="1">
        <v>3.29955</v>
      </c>
      <c r="F495" s="1">
        <v>11.2585</v>
      </c>
      <c r="G495" s="1">
        <v>14.4346</v>
      </c>
      <c r="H495" s="1">
        <v>6.3191499999999996</v>
      </c>
    </row>
    <row r="496" spans="1:8" x14ac:dyDescent="0.3">
      <c r="A496" t="e">
        <f t="shared" si="17"/>
        <v>#REF!</v>
      </c>
      <c r="B496">
        <v>3006</v>
      </c>
      <c r="C496" s="1">
        <v>24</v>
      </c>
      <c r="D496" s="9">
        <v>19.039000000005249</v>
      </c>
      <c r="E496" s="1">
        <v>3.4439299999999999</v>
      </c>
      <c r="F496" s="1">
        <v>12.469900000000001</v>
      </c>
      <c r="G496" s="1">
        <v>15.656700000000001</v>
      </c>
      <c r="H496" s="1">
        <v>6.6566799999999997</v>
      </c>
    </row>
    <row r="497" spans="1:8" x14ac:dyDescent="0.3">
      <c r="A497" t="e">
        <f t="shared" si="17"/>
        <v>#REF!</v>
      </c>
      <c r="B497">
        <v>3056</v>
      </c>
      <c r="C497" s="1">
        <v>23.84</v>
      </c>
      <c r="D497" s="9">
        <v>19.086222222227558</v>
      </c>
      <c r="E497" s="1">
        <v>3.9406500000000002</v>
      </c>
      <c r="F497" s="1">
        <v>13.179600000000001</v>
      </c>
      <c r="G497" s="1">
        <v>16.845199999999998</v>
      </c>
      <c r="H497" s="1">
        <v>6.9435399999999996</v>
      </c>
    </row>
    <row r="498" spans="1:8" x14ac:dyDescent="0.3">
      <c r="A498">
        <f t="shared" si="17"/>
        <v>2</v>
      </c>
      <c r="B498">
        <v>3106</v>
      </c>
      <c r="C498" s="1">
        <v>23.4990306439948</v>
      </c>
      <c r="D498" s="9">
        <v>19.133444444449868</v>
      </c>
      <c r="E498" s="1">
        <v>4.7767600000000003</v>
      </c>
      <c r="F498" s="1">
        <v>13.194800000000001</v>
      </c>
      <c r="G498" s="1">
        <v>17.6737</v>
      </c>
      <c r="H498" s="1">
        <v>7.3472299999999997</v>
      </c>
    </row>
    <row r="499" spans="1:8" x14ac:dyDescent="0.3">
      <c r="A499" t="e">
        <f t="shared" si="17"/>
        <v>#REF!</v>
      </c>
      <c r="B499">
        <v>3156</v>
      </c>
      <c r="C499" s="1">
        <v>23.10229813459889</v>
      </c>
      <c r="D499" s="9">
        <v>19.180666666672177</v>
      </c>
      <c r="E499" s="1">
        <v>5.83399</v>
      </c>
      <c r="F499" s="1">
        <v>12.5031</v>
      </c>
      <c r="G499" s="1">
        <v>17.954699999999999</v>
      </c>
      <c r="H499" s="1">
        <v>8.0082400000000007</v>
      </c>
    </row>
    <row r="500" spans="1:8" x14ac:dyDescent="0.3">
      <c r="A500" t="e">
        <f t="shared" si="17"/>
        <v>#REF!</v>
      </c>
      <c r="B500">
        <v>3206</v>
      </c>
      <c r="C500" s="1">
        <v>22.7442504274347</v>
      </c>
      <c r="D500" s="9">
        <v>19.227888888894487</v>
      </c>
      <c r="E500" s="1">
        <v>6.8863599999999998</v>
      </c>
      <c r="F500" s="1">
        <v>11.4368</v>
      </c>
      <c r="G500" s="1">
        <v>17.8049</v>
      </c>
      <c r="H500" s="1">
        <v>8.9328400000000006</v>
      </c>
    </row>
    <row r="501" spans="1:8" x14ac:dyDescent="0.3">
      <c r="A501" t="e">
        <f t="shared" ref="A501:A507" si="18">A451</f>
        <v>#REF!</v>
      </c>
      <c r="B501">
        <v>3256</v>
      </c>
      <c r="C501" s="1">
        <v>22.37172827945254</v>
      </c>
      <c r="D501" s="9">
        <v>19.275111111116797</v>
      </c>
      <c r="E501" s="1">
        <v>7.8002599999999997</v>
      </c>
      <c r="F501" s="1">
        <v>10.352600000000001</v>
      </c>
      <c r="G501" s="1">
        <v>17.404</v>
      </c>
      <c r="H501" s="1">
        <v>10.085800000000001</v>
      </c>
    </row>
    <row r="502" spans="1:8" x14ac:dyDescent="0.3">
      <c r="A502">
        <f t="shared" si="18"/>
        <v>0</v>
      </c>
      <c r="B502">
        <v>3306</v>
      </c>
      <c r="C502" s="1">
        <v>21.971517770883061</v>
      </c>
      <c r="D502" s="9">
        <v>19.322333333339106</v>
      </c>
      <c r="E502" s="1">
        <v>8.7858400000000003</v>
      </c>
      <c r="F502" s="1">
        <v>9.7728199999999994</v>
      </c>
      <c r="G502" s="1">
        <v>17.053599999999999</v>
      </c>
      <c r="H502" s="1">
        <v>11.4011</v>
      </c>
    </row>
    <row r="503" spans="1:8" x14ac:dyDescent="0.3">
      <c r="A503">
        <f t="shared" si="18"/>
        <v>0</v>
      </c>
      <c r="B503">
        <v>3356</v>
      </c>
      <c r="C503" s="1">
        <v>21.658209185577139</v>
      </c>
      <c r="D503" s="9">
        <v>19.369555555561416</v>
      </c>
      <c r="E503" s="1">
        <v>10.2873</v>
      </c>
      <c r="F503" s="1">
        <v>10.7044</v>
      </c>
      <c r="G503" s="1">
        <v>17.160900000000002</v>
      </c>
      <c r="H503" s="1">
        <v>12.833500000000001</v>
      </c>
    </row>
    <row r="504" spans="1:8" x14ac:dyDescent="0.3">
      <c r="A504" t="e">
        <f t="shared" si="18"/>
        <v>#REF!</v>
      </c>
      <c r="B504">
        <v>3406</v>
      </c>
      <c r="C504" s="1">
        <v>21.322928687846101</v>
      </c>
      <c r="D504" s="9">
        <v>19.416777777783725</v>
      </c>
      <c r="E504" s="1">
        <v>12.0646</v>
      </c>
      <c r="F504" s="1">
        <v>12.265599999999999</v>
      </c>
      <c r="G504" s="1">
        <v>17.447199999999999</v>
      </c>
      <c r="H504" s="1">
        <v>14.2523</v>
      </c>
    </row>
    <row r="505" spans="1:8" x14ac:dyDescent="0.3">
      <c r="A505" t="e">
        <f t="shared" si="18"/>
        <v>#REF!</v>
      </c>
      <c r="B505">
        <v>3456</v>
      </c>
      <c r="C505" s="1">
        <v>20.864326334116889</v>
      </c>
      <c r="D505" s="9">
        <v>19.464000000006035</v>
      </c>
      <c r="E505" s="1">
        <v>13.9495</v>
      </c>
      <c r="F505" s="1">
        <v>14.0442</v>
      </c>
      <c r="G505" s="1">
        <v>17.8706</v>
      </c>
      <c r="H505" s="1">
        <v>15.648400000000001</v>
      </c>
    </row>
    <row r="506" spans="1:8" x14ac:dyDescent="0.3">
      <c r="A506" t="e">
        <f t="shared" si="18"/>
        <v>#REF!</v>
      </c>
      <c r="B506">
        <v>3506</v>
      </c>
      <c r="C506" s="1">
        <v>20.370510223596341</v>
      </c>
      <c r="D506" s="9">
        <v>19.511222222228344</v>
      </c>
      <c r="E506" s="1">
        <v>15.8874</v>
      </c>
      <c r="F506" s="1">
        <v>15.927300000000001</v>
      </c>
      <c r="G506" s="1">
        <v>18.400700000000001</v>
      </c>
      <c r="H506" s="1">
        <v>17.029499999999999</v>
      </c>
    </row>
    <row r="507" spans="1:8" x14ac:dyDescent="0.3">
      <c r="A507" t="e">
        <f t="shared" si="18"/>
        <v>#REF!</v>
      </c>
      <c r="B507">
        <v>3556</v>
      </c>
      <c r="C507" s="1">
        <v>19.9911762846512</v>
      </c>
      <c r="D507" s="9">
        <v>19.558444444450654</v>
      </c>
      <c r="E507" s="1">
        <v>17.854399999999998</v>
      </c>
      <c r="F507" s="1">
        <v>17.866199999999999</v>
      </c>
      <c r="G507" s="1">
        <v>19.011099999999999</v>
      </c>
      <c r="H507" s="1">
        <v>18.400200000000002</v>
      </c>
    </row>
    <row r="508" spans="1:8" x14ac:dyDescent="0.3">
      <c r="A508">
        <v>7</v>
      </c>
      <c r="B508">
        <v>7</v>
      </c>
      <c r="C508" s="1">
        <v>16.190000000000001</v>
      </c>
      <c r="D508" s="9">
        <v>16.206611111111123</v>
      </c>
      <c r="E508" s="1">
        <v>15.94</v>
      </c>
      <c r="F508" s="1">
        <v>15.922599999999999</v>
      </c>
      <c r="G508" s="1">
        <v>16.113499999999998</v>
      </c>
      <c r="H508" s="1">
        <v>15.939299999999999</v>
      </c>
    </row>
    <row r="509" spans="1:8" x14ac:dyDescent="0.3">
      <c r="A509" t="e">
        <f t="shared" ref="A509:A540" si="19">A459</f>
        <v>#REF!</v>
      </c>
      <c r="B509">
        <v>57</v>
      </c>
      <c r="C509" s="1">
        <v>16.14743849071283</v>
      </c>
      <c r="D509" s="9">
        <v>16.253833333333432</v>
      </c>
      <c r="E509" s="1">
        <v>14.094799999999999</v>
      </c>
      <c r="F509" s="1">
        <v>13.955500000000001</v>
      </c>
      <c r="G509" s="1">
        <v>15.5252</v>
      </c>
      <c r="H509" s="1">
        <v>14.071899999999999</v>
      </c>
    </row>
    <row r="510" spans="1:8" x14ac:dyDescent="0.3">
      <c r="A510" t="e">
        <f t="shared" si="19"/>
        <v>#REF!</v>
      </c>
      <c r="B510">
        <v>107</v>
      </c>
      <c r="C510" s="1">
        <v>16.23088163158048</v>
      </c>
      <c r="D510" s="9">
        <v>16.301055555555742</v>
      </c>
      <c r="E510" s="1">
        <v>12.276199999999999</v>
      </c>
      <c r="F510" s="1">
        <v>12.024100000000001</v>
      </c>
      <c r="G510" s="1">
        <v>14.997400000000001</v>
      </c>
      <c r="H510" s="1">
        <v>12.195</v>
      </c>
    </row>
    <row r="511" spans="1:8" x14ac:dyDescent="0.3">
      <c r="A511" t="e">
        <f t="shared" si="19"/>
        <v>#REF!</v>
      </c>
      <c r="B511">
        <v>157</v>
      </c>
      <c r="C511" s="1">
        <v>16.45</v>
      </c>
      <c r="D511" s="9">
        <v>16.348277777778051</v>
      </c>
      <c r="E511" s="1">
        <v>10.496700000000001</v>
      </c>
      <c r="F511" s="1">
        <v>10.154400000000001</v>
      </c>
      <c r="G511" s="1">
        <v>14.545299999999999</v>
      </c>
      <c r="H511" s="1">
        <v>10.308</v>
      </c>
    </row>
    <row r="512" spans="1:8" x14ac:dyDescent="0.3">
      <c r="A512" t="e">
        <f t="shared" si="19"/>
        <v>#REF!</v>
      </c>
      <c r="B512">
        <v>207</v>
      </c>
      <c r="C512" s="1">
        <v>16.803070880652371</v>
      </c>
      <c r="D512" s="9">
        <v>16.395500000000361</v>
      </c>
      <c r="E512" s="1">
        <v>8.7788500000000003</v>
      </c>
      <c r="F512" s="1">
        <v>8.4016699999999993</v>
      </c>
      <c r="G512" s="1">
        <v>14.186400000000001</v>
      </c>
      <c r="H512" s="1">
        <v>8.4123400000000004</v>
      </c>
    </row>
    <row r="513" spans="1:8" x14ac:dyDescent="0.3">
      <c r="A513" t="e">
        <f t="shared" si="19"/>
        <v>#REF!</v>
      </c>
      <c r="B513">
        <v>257</v>
      </c>
      <c r="C513" s="1">
        <v>16.925753520886101</v>
      </c>
      <c r="D513" s="9">
        <v>16.44272222222267</v>
      </c>
      <c r="E513" s="1">
        <v>7.1663699999999997</v>
      </c>
      <c r="F513" s="1">
        <v>6.8967700000000001</v>
      </c>
      <c r="G513" s="1">
        <v>13.9214</v>
      </c>
      <c r="H513" s="1">
        <v>6.52088</v>
      </c>
    </row>
    <row r="514" spans="1:8" x14ac:dyDescent="0.3">
      <c r="A514">
        <f t="shared" si="19"/>
        <v>5</v>
      </c>
      <c r="B514">
        <v>307</v>
      </c>
      <c r="C514" s="1">
        <v>17.115987612867581</v>
      </c>
      <c r="D514" s="9">
        <v>16.48994444444498</v>
      </c>
      <c r="E514" s="1">
        <v>5.8641199999999998</v>
      </c>
      <c r="F514" s="1">
        <v>6.1930500000000004</v>
      </c>
      <c r="G514" s="1">
        <v>13.821</v>
      </c>
      <c r="H514" s="1">
        <v>4.8529</v>
      </c>
    </row>
    <row r="515" spans="1:8" x14ac:dyDescent="0.3">
      <c r="A515" t="e">
        <f t="shared" si="19"/>
        <v>#REF!</v>
      </c>
      <c r="B515">
        <v>357</v>
      </c>
      <c r="C515" s="1">
        <v>17.330260287797259</v>
      </c>
      <c r="D515" s="9">
        <v>16.537166666667289</v>
      </c>
      <c r="E515" s="1">
        <v>5.0304799999999998</v>
      </c>
      <c r="F515" s="1">
        <v>6.4448699999999999</v>
      </c>
      <c r="G515" s="1">
        <v>14.0067</v>
      </c>
      <c r="H515" s="1">
        <v>3.69617</v>
      </c>
    </row>
    <row r="516" spans="1:8" x14ac:dyDescent="0.3">
      <c r="A516" t="e">
        <f t="shared" si="19"/>
        <v>#REF!</v>
      </c>
      <c r="B516">
        <v>407</v>
      </c>
      <c r="C516" s="1">
        <v>17.510000000000002</v>
      </c>
      <c r="D516" s="9">
        <v>16.584388888889599</v>
      </c>
      <c r="E516" s="1">
        <v>4.4682300000000001</v>
      </c>
      <c r="F516" s="1">
        <v>6.7171500000000002</v>
      </c>
      <c r="G516" s="1">
        <v>14.0593</v>
      </c>
      <c r="H516" s="1">
        <v>2.9034900000000001</v>
      </c>
    </row>
    <row r="517" spans="1:8" x14ac:dyDescent="0.3">
      <c r="A517" t="e">
        <f t="shared" si="19"/>
        <v>#REF!</v>
      </c>
      <c r="B517">
        <v>457</v>
      </c>
      <c r="C517" s="1">
        <v>17.829999999999998</v>
      </c>
      <c r="D517" s="9">
        <v>16.631611111111908</v>
      </c>
      <c r="E517" s="1">
        <v>4.0859899999999998</v>
      </c>
      <c r="F517" s="1">
        <v>6.6613600000000002</v>
      </c>
      <c r="G517" s="1">
        <v>13.8316</v>
      </c>
      <c r="H517" s="1">
        <v>2.4162499999999998</v>
      </c>
    </row>
    <row r="518" spans="1:8" x14ac:dyDescent="0.3">
      <c r="A518" t="e">
        <f t="shared" si="19"/>
        <v>#REF!</v>
      </c>
      <c r="B518">
        <v>507</v>
      </c>
      <c r="C518" s="1">
        <v>17.995436479025681</v>
      </c>
      <c r="D518" s="9">
        <v>16.678833333334218</v>
      </c>
      <c r="E518" s="1">
        <v>3.5876000000000001</v>
      </c>
      <c r="F518" s="1">
        <v>6.1983100000000002</v>
      </c>
      <c r="G518" s="1">
        <v>13.4856</v>
      </c>
      <c r="H518" s="1">
        <v>1.9317899999999999</v>
      </c>
    </row>
    <row r="519" spans="1:8" x14ac:dyDescent="0.3">
      <c r="A519" t="e">
        <f t="shared" si="19"/>
        <v>#REF!</v>
      </c>
      <c r="B519">
        <v>557</v>
      </c>
      <c r="C519" s="1">
        <v>18.2</v>
      </c>
      <c r="D519" s="9">
        <v>16.726055555556528</v>
      </c>
      <c r="E519" s="1">
        <v>2.77807</v>
      </c>
      <c r="F519" s="1">
        <v>5.3476299999999997</v>
      </c>
      <c r="G519" s="1">
        <v>13.1571</v>
      </c>
      <c r="H519" s="1">
        <v>1.24024</v>
      </c>
    </row>
    <row r="520" spans="1:8" x14ac:dyDescent="0.3">
      <c r="A520">
        <f t="shared" si="19"/>
        <v>3</v>
      </c>
      <c r="B520">
        <v>607</v>
      </c>
      <c r="C520" s="1">
        <v>18.401559416819801</v>
      </c>
      <c r="D520" s="9">
        <v>16.773277777778837</v>
      </c>
      <c r="E520" s="1">
        <v>1.85633</v>
      </c>
      <c r="F520" s="1">
        <v>4.3189599999999997</v>
      </c>
      <c r="G520" s="1">
        <v>12.7812</v>
      </c>
      <c r="H520" s="1">
        <v>0.52068499999999995</v>
      </c>
    </row>
    <row r="521" spans="1:8" x14ac:dyDescent="0.3">
      <c r="A521" t="e">
        <f t="shared" si="19"/>
        <v>#REF!</v>
      </c>
      <c r="B521">
        <v>657</v>
      </c>
      <c r="C521" s="1">
        <v>18.489999999999998</v>
      </c>
      <c r="D521" s="9">
        <v>16.820500000001147</v>
      </c>
      <c r="E521" s="1">
        <v>1.0801799999999999</v>
      </c>
      <c r="F521" s="1">
        <v>3.3508599999999999</v>
      </c>
      <c r="G521" s="1">
        <v>12.3546</v>
      </c>
      <c r="H521" s="1">
        <v>3.3969100000000002E-2</v>
      </c>
    </row>
    <row r="522" spans="1:8" x14ac:dyDescent="0.3">
      <c r="A522" t="e">
        <f t="shared" si="19"/>
        <v>#REF!</v>
      </c>
      <c r="B522">
        <v>707</v>
      </c>
      <c r="C522" s="1">
        <v>18.71</v>
      </c>
      <c r="D522" s="9">
        <v>16.867722222223456</v>
      </c>
      <c r="E522" s="1">
        <v>0.672099</v>
      </c>
      <c r="F522" s="1">
        <v>2.6526000000000001</v>
      </c>
      <c r="G522" s="1">
        <v>12.122299999999999</v>
      </c>
      <c r="H522" s="1">
        <v>7.3249999999999996E-2</v>
      </c>
    </row>
    <row r="523" spans="1:8" x14ac:dyDescent="0.3">
      <c r="A523" t="e">
        <f t="shared" si="19"/>
        <v>#REF!</v>
      </c>
      <c r="B523">
        <v>757</v>
      </c>
      <c r="C523" s="1">
        <v>18.829999999999998</v>
      </c>
      <c r="D523" s="9">
        <v>16.914944444445766</v>
      </c>
      <c r="E523" s="1">
        <v>0.72048699999999999</v>
      </c>
      <c r="F523" s="1">
        <v>2.3007599999999999</v>
      </c>
      <c r="G523" s="1">
        <v>12.259</v>
      </c>
      <c r="H523" s="1">
        <v>0.76733799999999996</v>
      </c>
    </row>
    <row r="524" spans="1:8" x14ac:dyDescent="0.3">
      <c r="A524" t="e">
        <f t="shared" si="19"/>
        <v>#REF!</v>
      </c>
      <c r="B524">
        <v>807</v>
      </c>
      <c r="C524" s="1">
        <v>19.213574556322239</v>
      </c>
      <c r="D524" s="9">
        <v>16.962166666668075</v>
      </c>
      <c r="E524" s="1">
        <v>0.98673900000000003</v>
      </c>
      <c r="F524" s="1">
        <v>2.0466899999999999</v>
      </c>
      <c r="G524" s="1">
        <v>12.659000000000001</v>
      </c>
      <c r="H524" s="1">
        <v>1.8134600000000001</v>
      </c>
    </row>
    <row r="525" spans="1:8" x14ac:dyDescent="0.3">
      <c r="A525" t="e">
        <f t="shared" si="19"/>
        <v>#REF!</v>
      </c>
      <c r="B525">
        <v>857</v>
      </c>
      <c r="C525" s="1">
        <v>19.427045465624548</v>
      </c>
      <c r="D525" s="9">
        <v>17.009388888890385</v>
      </c>
      <c r="E525" s="1">
        <v>1.27315</v>
      </c>
      <c r="F525" s="1">
        <v>1.74455</v>
      </c>
      <c r="G525" s="1">
        <v>13.1256</v>
      </c>
      <c r="H525" s="1">
        <v>2.8374700000000002</v>
      </c>
    </row>
    <row r="526" spans="1:8" x14ac:dyDescent="0.3">
      <c r="A526">
        <f t="shared" si="19"/>
        <v>1</v>
      </c>
      <c r="B526">
        <v>907</v>
      </c>
      <c r="C526" s="1">
        <v>19.71049967487777</v>
      </c>
      <c r="D526" s="9">
        <v>17.056611111112694</v>
      </c>
      <c r="E526" s="1">
        <v>1.6167400000000001</v>
      </c>
      <c r="F526" s="1">
        <v>1.6398600000000001</v>
      </c>
      <c r="G526" s="1">
        <v>13.343</v>
      </c>
      <c r="H526" s="1">
        <v>3.4557899999999999</v>
      </c>
    </row>
    <row r="527" spans="1:8" x14ac:dyDescent="0.3">
      <c r="A527" t="e">
        <f t="shared" si="19"/>
        <v>#REF!</v>
      </c>
      <c r="B527">
        <v>957</v>
      </c>
      <c r="C527" s="1">
        <v>20.035852932591531</v>
      </c>
      <c r="D527" s="9">
        <v>17.103833333335004</v>
      </c>
      <c r="E527" s="1">
        <v>2.0180500000000001</v>
      </c>
      <c r="F527" s="1">
        <v>1.92032</v>
      </c>
      <c r="G527" s="1">
        <v>13.1502</v>
      </c>
      <c r="H527" s="1">
        <v>3.4587300000000001</v>
      </c>
    </row>
    <row r="528" spans="1:8" x14ac:dyDescent="0.3">
      <c r="A528" t="e">
        <f t="shared" si="19"/>
        <v>#REF!</v>
      </c>
      <c r="B528">
        <v>1007</v>
      </c>
      <c r="C528" s="1">
        <v>20.423597193835288</v>
      </c>
      <c r="D528" s="9">
        <v>17.151055555557313</v>
      </c>
      <c r="E528" s="1">
        <v>2.29128</v>
      </c>
      <c r="F528" s="1">
        <v>2.4707599999999998</v>
      </c>
      <c r="G528" s="1">
        <v>12.829700000000001</v>
      </c>
      <c r="H528" s="1">
        <v>3.08066</v>
      </c>
    </row>
    <row r="529" spans="1:8" x14ac:dyDescent="0.3">
      <c r="A529" t="e">
        <f t="shared" si="19"/>
        <v>#REF!</v>
      </c>
      <c r="B529">
        <v>1057</v>
      </c>
      <c r="C529" s="1">
        <v>20.87884042122506</v>
      </c>
      <c r="D529" s="9">
        <v>17.198277777779623</v>
      </c>
      <c r="E529" s="1">
        <v>2.3306200000000001</v>
      </c>
      <c r="F529" s="1">
        <v>3.0817899999999998</v>
      </c>
      <c r="G529" s="1">
        <v>12.6562</v>
      </c>
      <c r="H529" s="1">
        <v>2.6543000000000001</v>
      </c>
    </row>
    <row r="530" spans="1:8" x14ac:dyDescent="0.3">
      <c r="A530" t="e">
        <f t="shared" si="19"/>
        <v>#REF!</v>
      </c>
      <c r="B530">
        <v>1107</v>
      </c>
      <c r="C530" s="1">
        <v>21.253300510691918</v>
      </c>
      <c r="D530" s="9">
        <v>17.245500000001933</v>
      </c>
      <c r="E530" s="1">
        <v>2.3067299999999999</v>
      </c>
      <c r="F530" s="1">
        <v>3.42597</v>
      </c>
      <c r="G530" s="1">
        <v>12.7095</v>
      </c>
      <c r="H530" s="1">
        <v>2.58548</v>
      </c>
    </row>
    <row r="531" spans="1:8" x14ac:dyDescent="0.3">
      <c r="A531" t="e">
        <f t="shared" si="19"/>
        <v>#REF!</v>
      </c>
      <c r="B531">
        <v>1157</v>
      </c>
      <c r="C531" s="1">
        <v>21.561575825536551</v>
      </c>
      <c r="D531" s="9">
        <v>17.292722222224242</v>
      </c>
      <c r="E531" s="1">
        <v>2.3252100000000002</v>
      </c>
      <c r="F531" s="1">
        <v>3.3451300000000002</v>
      </c>
      <c r="G531" s="1">
        <v>12.9518</v>
      </c>
      <c r="H531" s="1">
        <v>3.0984600000000002</v>
      </c>
    </row>
    <row r="532" spans="1:8" x14ac:dyDescent="0.3">
      <c r="A532" t="e">
        <f t="shared" si="19"/>
        <v>#REF!</v>
      </c>
      <c r="B532">
        <v>1207</v>
      </c>
      <c r="C532" s="1">
        <v>21.990144201069601</v>
      </c>
      <c r="D532" s="9">
        <v>17.339944444446552</v>
      </c>
      <c r="E532" s="1">
        <v>2.2185000000000001</v>
      </c>
      <c r="F532" s="1">
        <v>3.1539700000000002</v>
      </c>
      <c r="G532" s="1">
        <v>13.1265</v>
      </c>
      <c r="H532" s="1">
        <v>3.93276</v>
      </c>
    </row>
    <row r="533" spans="1:8" x14ac:dyDescent="0.3">
      <c r="A533" t="e">
        <f t="shared" si="19"/>
        <v>#REF!</v>
      </c>
      <c r="B533">
        <v>1257</v>
      </c>
      <c r="C533" s="1">
        <v>22.409487494084448</v>
      </c>
      <c r="D533" s="9">
        <v>17.387166666668861</v>
      </c>
      <c r="E533" s="1">
        <v>1.91561</v>
      </c>
      <c r="F533" s="1">
        <v>3.1398799999999998</v>
      </c>
      <c r="G533" s="1">
        <v>13.0847</v>
      </c>
      <c r="H533" s="1">
        <v>4.7827299999999999</v>
      </c>
    </row>
    <row r="534" spans="1:8" x14ac:dyDescent="0.3">
      <c r="A534" t="e">
        <f t="shared" si="19"/>
        <v>#REF!</v>
      </c>
      <c r="B534">
        <v>1307</v>
      </c>
      <c r="C534" s="1">
        <v>22.85893210001008</v>
      </c>
      <c r="D534" s="9">
        <v>17.434388888891171</v>
      </c>
      <c r="E534" s="1">
        <v>1.69516</v>
      </c>
      <c r="F534" s="1">
        <v>3.3375900000000001</v>
      </c>
      <c r="G534" s="1">
        <v>13.0364</v>
      </c>
      <c r="H534" s="1">
        <v>5.4174600000000002</v>
      </c>
    </row>
    <row r="535" spans="1:8" x14ac:dyDescent="0.3">
      <c r="A535" t="e">
        <f t="shared" si="19"/>
        <v>#REF!</v>
      </c>
      <c r="B535">
        <v>1357</v>
      </c>
      <c r="C535" s="1">
        <v>23.11</v>
      </c>
      <c r="D535" s="9">
        <v>17.48161111111348</v>
      </c>
      <c r="E535" s="1">
        <v>1.7857400000000001</v>
      </c>
      <c r="F535" s="1">
        <v>3.7021000000000002</v>
      </c>
      <c r="G535" s="1">
        <v>13.1229</v>
      </c>
      <c r="H535" s="1">
        <v>5.7343299999999999</v>
      </c>
    </row>
    <row r="536" spans="1:8" x14ac:dyDescent="0.3">
      <c r="A536">
        <f t="shared" si="19"/>
        <v>6</v>
      </c>
      <c r="B536">
        <v>1407</v>
      </c>
      <c r="C536" s="1">
        <v>23.226846845357422</v>
      </c>
      <c r="D536" s="9">
        <v>17.52883333333579</v>
      </c>
      <c r="E536" s="1">
        <v>2.1540400000000002</v>
      </c>
      <c r="F536" s="1">
        <v>4.0866600000000002</v>
      </c>
      <c r="G536" s="1">
        <v>13.175700000000001</v>
      </c>
      <c r="H536" s="1">
        <v>5.92157</v>
      </c>
    </row>
    <row r="537" spans="1:8" x14ac:dyDescent="0.3">
      <c r="A537" t="e">
        <f t="shared" si="19"/>
        <v>#REF!</v>
      </c>
      <c r="B537">
        <v>1457</v>
      </c>
      <c r="C537" s="1">
        <v>23.240669883124738</v>
      </c>
      <c r="D537" s="9">
        <v>17.576055555558099</v>
      </c>
      <c r="E537" s="1">
        <v>2.6682999999999999</v>
      </c>
      <c r="F537" s="1">
        <v>4.3795700000000002</v>
      </c>
      <c r="G537" s="1">
        <v>13.0936</v>
      </c>
      <c r="H537" s="1">
        <v>6.1014900000000001</v>
      </c>
    </row>
    <row r="538" spans="1:8" x14ac:dyDescent="0.3">
      <c r="A538" t="e">
        <f t="shared" si="19"/>
        <v>#REF!</v>
      </c>
      <c r="B538">
        <v>1507</v>
      </c>
      <c r="C538" s="1">
        <v>23.080866957403892</v>
      </c>
      <c r="D538" s="9">
        <v>17.623277777780409</v>
      </c>
      <c r="E538" s="1">
        <v>3.0522399999999998</v>
      </c>
      <c r="F538" s="1">
        <v>4.5959399999999997</v>
      </c>
      <c r="G538" s="1">
        <v>13.0634</v>
      </c>
      <c r="H538" s="1">
        <v>6.12209</v>
      </c>
    </row>
    <row r="539" spans="1:8" x14ac:dyDescent="0.3">
      <c r="A539" t="e">
        <f t="shared" si="19"/>
        <v>#REF!</v>
      </c>
      <c r="B539">
        <v>1557</v>
      </c>
      <c r="C539" s="1">
        <v>22.82252870672345</v>
      </c>
      <c r="D539" s="9">
        <v>17.670500000002718</v>
      </c>
      <c r="E539" s="1">
        <v>3.1957399999999998</v>
      </c>
      <c r="F539" s="1">
        <v>4.8327499999999999</v>
      </c>
      <c r="G539" s="1">
        <v>13.2005</v>
      </c>
      <c r="H539" s="1">
        <v>5.8448200000000003</v>
      </c>
    </row>
    <row r="540" spans="1:8" x14ac:dyDescent="0.3">
      <c r="A540" t="e">
        <f t="shared" si="19"/>
        <v>#REF!</v>
      </c>
      <c r="B540">
        <v>1607</v>
      </c>
      <c r="C540" s="1">
        <v>22.464844449278331</v>
      </c>
      <c r="D540" s="9">
        <v>17.717722222225028</v>
      </c>
      <c r="E540" s="1">
        <v>3.45818</v>
      </c>
      <c r="F540" s="1">
        <v>5.34213</v>
      </c>
      <c r="G540" s="1">
        <v>13.3324</v>
      </c>
      <c r="H540" s="1">
        <v>5.2681800000000001</v>
      </c>
    </row>
    <row r="541" spans="1:8" x14ac:dyDescent="0.3">
      <c r="A541" t="e">
        <f t="shared" ref="A541:A572" si="20">A491</f>
        <v>#REF!</v>
      </c>
      <c r="B541">
        <v>1657</v>
      </c>
      <c r="C541" s="1">
        <v>22.026488345585459</v>
      </c>
      <c r="D541" s="9">
        <v>17.764944444447337</v>
      </c>
      <c r="E541" s="1">
        <v>4.0959599999999998</v>
      </c>
      <c r="F541" s="1">
        <v>6.2529700000000004</v>
      </c>
      <c r="G541" s="1">
        <v>13.3468</v>
      </c>
      <c r="H541" s="1">
        <v>4.4320399999999998</v>
      </c>
    </row>
    <row r="542" spans="1:8" x14ac:dyDescent="0.3">
      <c r="A542">
        <f t="shared" si="20"/>
        <v>4</v>
      </c>
      <c r="B542">
        <v>1707</v>
      </c>
      <c r="C542" s="1">
        <v>21.601488510060399</v>
      </c>
      <c r="D542" s="9">
        <v>17.812166666669647</v>
      </c>
      <c r="E542" s="1">
        <v>4.9307499999999997</v>
      </c>
      <c r="F542" s="1">
        <v>7.3292000000000002</v>
      </c>
      <c r="G542" s="1">
        <v>13.3901</v>
      </c>
      <c r="H542" s="1">
        <v>3.4269500000000002</v>
      </c>
    </row>
    <row r="543" spans="1:8" x14ac:dyDescent="0.3">
      <c r="A543" t="e">
        <f t="shared" si="20"/>
        <v>#REF!</v>
      </c>
      <c r="B543">
        <v>1757</v>
      </c>
      <c r="C543" s="1">
        <v>21.2449428241341</v>
      </c>
      <c r="D543" s="9">
        <v>17.859388888891957</v>
      </c>
      <c r="E543" s="1">
        <v>5.6699900000000003</v>
      </c>
      <c r="F543" s="1">
        <v>8.2895000000000003</v>
      </c>
      <c r="G543" s="1">
        <v>13.541399999999999</v>
      </c>
      <c r="H543" s="1">
        <v>2.3363</v>
      </c>
    </row>
    <row r="544" spans="1:8" x14ac:dyDescent="0.3">
      <c r="A544" t="e">
        <f t="shared" si="20"/>
        <v>#REF!</v>
      </c>
      <c r="B544">
        <v>1807</v>
      </c>
      <c r="C544" s="1">
        <v>20.84791789548661</v>
      </c>
      <c r="D544" s="9">
        <v>17.906611111114266</v>
      </c>
      <c r="E544" s="1">
        <v>5.9032200000000001</v>
      </c>
      <c r="F544" s="1">
        <v>8.8787000000000003</v>
      </c>
      <c r="G544" s="1">
        <v>13.616199999999999</v>
      </c>
      <c r="H544" s="1">
        <v>1.2068700000000001</v>
      </c>
    </row>
    <row r="545" spans="1:8" x14ac:dyDescent="0.3">
      <c r="A545" t="e">
        <f t="shared" si="20"/>
        <v>#REF!</v>
      </c>
      <c r="B545">
        <v>1857</v>
      </c>
      <c r="C545" s="1">
        <v>20.50751217980206</v>
      </c>
      <c r="D545" s="9">
        <v>17.953833333336576</v>
      </c>
      <c r="E545" s="1">
        <v>5.4177499999999998</v>
      </c>
      <c r="F545" s="1">
        <v>9.0101700000000005</v>
      </c>
      <c r="G545" s="1">
        <v>13.5136</v>
      </c>
      <c r="H545" s="1">
        <v>5.3305199999999997E-2</v>
      </c>
    </row>
    <row r="546" spans="1:8" x14ac:dyDescent="0.3">
      <c r="A546" t="e">
        <f t="shared" si="20"/>
        <v>#REF!</v>
      </c>
      <c r="B546">
        <v>1907</v>
      </c>
      <c r="C546" s="1">
        <v>20.090903979309552</v>
      </c>
      <c r="D546" s="9">
        <v>18.001055555558885</v>
      </c>
      <c r="E546" s="1">
        <v>4.5322699999999996</v>
      </c>
      <c r="F546" s="1">
        <v>9.0017300000000002</v>
      </c>
      <c r="G546" s="1">
        <v>13.4353</v>
      </c>
      <c r="H546" s="1">
        <v>-1.17483</v>
      </c>
    </row>
    <row r="547" spans="1:8" x14ac:dyDescent="0.3">
      <c r="A547" t="e">
        <f t="shared" si="20"/>
        <v>#REF!</v>
      </c>
      <c r="B547">
        <v>1957</v>
      </c>
      <c r="C547" s="1">
        <v>19.770233855812322</v>
      </c>
      <c r="D547" s="9">
        <v>18.048277777781195</v>
      </c>
      <c r="E547" s="1">
        <v>3.62364</v>
      </c>
      <c r="F547" s="1">
        <v>9.0771599999999992</v>
      </c>
      <c r="G547" s="1">
        <v>13.5183</v>
      </c>
      <c r="H547" s="1">
        <v>-2.4856400000000001</v>
      </c>
    </row>
    <row r="548" spans="1:8" x14ac:dyDescent="0.3">
      <c r="A548">
        <f t="shared" si="20"/>
        <v>2</v>
      </c>
      <c r="B548">
        <v>2007</v>
      </c>
      <c r="C548" s="1">
        <v>19.483517329541961</v>
      </c>
      <c r="D548" s="9">
        <v>18.095500000003504</v>
      </c>
      <c r="E548" s="1">
        <v>3.0137200000000002</v>
      </c>
      <c r="F548" s="1">
        <v>9.0805000000000007</v>
      </c>
      <c r="G548" s="1">
        <v>13.629200000000001</v>
      </c>
      <c r="H548" s="1">
        <v>-3.7601300000000002</v>
      </c>
    </row>
    <row r="549" spans="1:8" x14ac:dyDescent="0.3">
      <c r="A549" t="e">
        <f t="shared" si="20"/>
        <v>#REF!</v>
      </c>
      <c r="B549">
        <v>2057</v>
      </c>
      <c r="C549" s="1">
        <v>19.3</v>
      </c>
      <c r="D549" s="9">
        <v>18.142722222225814</v>
      </c>
      <c r="E549" s="1">
        <v>2.8389099999999998</v>
      </c>
      <c r="F549" s="1">
        <v>8.8968100000000003</v>
      </c>
      <c r="G549" s="1">
        <v>13.678100000000001</v>
      </c>
      <c r="H549" s="1">
        <v>-4.8772000000000002</v>
      </c>
    </row>
    <row r="550" spans="1:8" x14ac:dyDescent="0.3">
      <c r="A550" t="e">
        <f t="shared" si="20"/>
        <v>#REF!</v>
      </c>
      <c r="B550">
        <v>2107</v>
      </c>
      <c r="C550" s="1">
        <v>19.19995012208442</v>
      </c>
      <c r="D550" s="9">
        <v>18.189944444448123</v>
      </c>
      <c r="E550" s="1">
        <v>2.80335</v>
      </c>
      <c r="F550" s="1">
        <v>8.6505500000000008</v>
      </c>
      <c r="G550" s="1">
        <v>13.7804</v>
      </c>
      <c r="H550" s="1">
        <v>-5.7567599999999999</v>
      </c>
    </row>
    <row r="551" spans="1:8" x14ac:dyDescent="0.3">
      <c r="A551" t="e">
        <f t="shared" si="20"/>
        <v>#REF!</v>
      </c>
      <c r="B551">
        <v>2157</v>
      </c>
      <c r="C551" s="1">
        <v>19.190000000000001</v>
      </c>
      <c r="D551" s="9">
        <v>18.237166666670433</v>
      </c>
      <c r="E551" s="1">
        <v>2.6947299999999998</v>
      </c>
      <c r="F551" s="1">
        <v>8.4822399999999991</v>
      </c>
      <c r="G551" s="1">
        <v>13.982100000000001</v>
      </c>
      <c r="H551" s="1">
        <v>-6.2964399999999996</v>
      </c>
    </row>
    <row r="552" spans="1:8" x14ac:dyDescent="0.3">
      <c r="A552">
        <f t="shared" si="20"/>
        <v>0</v>
      </c>
      <c r="B552">
        <v>2207</v>
      </c>
      <c r="C552" s="1">
        <v>19.18</v>
      </c>
      <c r="D552" s="9">
        <v>18.284388888892742</v>
      </c>
      <c r="E552" s="1">
        <v>2.66093</v>
      </c>
      <c r="F552" s="1">
        <v>8.4836799999999997</v>
      </c>
      <c r="G552" s="1">
        <v>14.0862</v>
      </c>
      <c r="H552" s="1">
        <v>-6.3254099999999998</v>
      </c>
    </row>
    <row r="553" spans="1:8" x14ac:dyDescent="0.3">
      <c r="A553">
        <f t="shared" si="20"/>
        <v>0</v>
      </c>
      <c r="B553">
        <v>2257</v>
      </c>
      <c r="C553" s="1">
        <v>19.36566649027808</v>
      </c>
      <c r="D553" s="9">
        <v>18.331611111115052</v>
      </c>
      <c r="E553" s="1">
        <v>2.7907899999999999</v>
      </c>
      <c r="F553" s="1">
        <v>8.6413499999999992</v>
      </c>
      <c r="G553" s="1">
        <v>13.982900000000001</v>
      </c>
      <c r="H553" s="1">
        <v>-5.7839900000000002</v>
      </c>
    </row>
    <row r="554" spans="1:8" x14ac:dyDescent="0.3">
      <c r="A554" t="e">
        <f t="shared" si="20"/>
        <v>#REF!</v>
      </c>
      <c r="B554">
        <v>2307</v>
      </c>
      <c r="C554" s="1">
        <v>19.635095377707241</v>
      </c>
      <c r="D554" s="9">
        <v>18.378833333337361</v>
      </c>
      <c r="E554" s="1">
        <v>2.9001600000000001</v>
      </c>
      <c r="F554" s="1">
        <v>8.7037899999999997</v>
      </c>
      <c r="G554" s="1">
        <v>13.861499999999999</v>
      </c>
      <c r="H554" s="1">
        <v>-4.9046700000000003</v>
      </c>
    </row>
    <row r="555" spans="1:8" x14ac:dyDescent="0.3">
      <c r="A555" t="e">
        <f t="shared" si="20"/>
        <v>#REF!</v>
      </c>
      <c r="B555">
        <v>2357</v>
      </c>
      <c r="C555" s="1">
        <v>20.024617730236841</v>
      </c>
      <c r="D555" s="9">
        <v>18.426055555559671</v>
      </c>
      <c r="E555" s="1">
        <v>2.8688699999999998</v>
      </c>
      <c r="F555" s="1">
        <v>8.5053599999999996</v>
      </c>
      <c r="G555" s="1">
        <v>13.8461</v>
      </c>
      <c r="H555" s="1">
        <v>-3.89845</v>
      </c>
    </row>
    <row r="556" spans="1:8" x14ac:dyDescent="0.3">
      <c r="A556" t="e">
        <f t="shared" si="20"/>
        <v>#REF!</v>
      </c>
      <c r="B556">
        <v>2407</v>
      </c>
      <c r="C556" s="1">
        <v>20.518062434729291</v>
      </c>
      <c r="D556" s="9">
        <v>18.473277777781981</v>
      </c>
      <c r="E556" s="1">
        <v>2.8289800000000001</v>
      </c>
      <c r="F556" s="1">
        <v>8.1742299999999997</v>
      </c>
      <c r="G556" s="1">
        <v>13.7963</v>
      </c>
      <c r="H556" s="1">
        <v>-2.8211499999999998</v>
      </c>
    </row>
    <row r="557" spans="1:8" x14ac:dyDescent="0.3">
      <c r="A557" t="e">
        <f t="shared" si="20"/>
        <v>#REF!</v>
      </c>
      <c r="B557">
        <v>2457</v>
      </c>
      <c r="C557" s="1">
        <v>21.133250460863941</v>
      </c>
      <c r="D557" s="9">
        <v>18.52050000000429</v>
      </c>
      <c r="E557" s="1">
        <v>2.8275000000000001</v>
      </c>
      <c r="F557" s="1">
        <v>7.89114</v>
      </c>
      <c r="G557" s="1">
        <v>13.6541</v>
      </c>
      <c r="H557" s="1">
        <v>-1.69207</v>
      </c>
    </row>
    <row r="558" spans="1:8" x14ac:dyDescent="0.3">
      <c r="A558">
        <f t="shared" si="20"/>
        <v>7</v>
      </c>
      <c r="B558">
        <v>2507</v>
      </c>
      <c r="C558" s="1">
        <v>21.634304482428671</v>
      </c>
      <c r="D558" s="9">
        <v>18.5677222222266</v>
      </c>
      <c r="E558" s="1">
        <v>2.61707</v>
      </c>
      <c r="F558" s="1">
        <v>7.8578599999999996</v>
      </c>
      <c r="G558" s="1">
        <v>13.6532</v>
      </c>
      <c r="H558" s="1">
        <v>-0.497778</v>
      </c>
    </row>
    <row r="559" spans="1:8" x14ac:dyDescent="0.3">
      <c r="A559" t="e">
        <f t="shared" si="20"/>
        <v>#REF!</v>
      </c>
      <c r="B559">
        <v>2557</v>
      </c>
      <c r="C559" s="1">
        <v>22.10960398355277</v>
      </c>
      <c r="D559" s="9">
        <v>18.614944444448909</v>
      </c>
      <c r="E559" s="1">
        <v>2.0532300000000001</v>
      </c>
      <c r="F559" s="1">
        <v>8.1221899999999998</v>
      </c>
      <c r="G559" s="1">
        <v>13.921900000000001</v>
      </c>
      <c r="H559" s="1">
        <v>0.75733899999999998</v>
      </c>
    </row>
    <row r="560" spans="1:8" x14ac:dyDescent="0.3">
      <c r="A560" t="e">
        <f t="shared" si="20"/>
        <v>#REF!</v>
      </c>
      <c r="B560">
        <v>2607</v>
      </c>
      <c r="C560" s="1">
        <v>22.457797082902051</v>
      </c>
      <c r="D560" s="9">
        <v>18.662166666671219</v>
      </c>
      <c r="E560" s="1">
        <v>1.34293</v>
      </c>
      <c r="F560" s="1">
        <v>8.3541299999999996</v>
      </c>
      <c r="G560" s="1">
        <v>14.2338</v>
      </c>
      <c r="H560" s="1">
        <v>2.0150399999999999</v>
      </c>
    </row>
    <row r="561" spans="1:8" x14ac:dyDescent="0.3">
      <c r="A561" t="e">
        <f t="shared" si="20"/>
        <v>#REF!</v>
      </c>
      <c r="B561">
        <v>2657</v>
      </c>
      <c r="C561" s="1">
        <v>22.84284284886656</v>
      </c>
      <c r="D561" s="9">
        <v>18.709388888893528</v>
      </c>
      <c r="E561" s="1">
        <v>0.76150700000000004</v>
      </c>
      <c r="F561" s="1">
        <v>8.3046299999999995</v>
      </c>
      <c r="G561" s="1">
        <v>14.357799999999999</v>
      </c>
      <c r="H561" s="1">
        <v>3.20207</v>
      </c>
    </row>
    <row r="562" spans="1:8" x14ac:dyDescent="0.3">
      <c r="A562" t="e">
        <f t="shared" si="20"/>
        <v>#REF!</v>
      </c>
      <c r="B562">
        <v>2707</v>
      </c>
      <c r="C562" s="1">
        <v>23.279198853457569</v>
      </c>
      <c r="D562" s="9">
        <v>18.756611111115838</v>
      </c>
      <c r="E562" s="1">
        <v>0.62370000000000003</v>
      </c>
      <c r="F562" s="1">
        <v>8.0528099999999991</v>
      </c>
      <c r="G562" s="1">
        <v>14.1767</v>
      </c>
      <c r="H562" s="1">
        <v>4.2282400000000004</v>
      </c>
    </row>
    <row r="563" spans="1:8" x14ac:dyDescent="0.3">
      <c r="A563" t="e">
        <f t="shared" si="20"/>
        <v>#REF!</v>
      </c>
      <c r="B563">
        <v>2757</v>
      </c>
      <c r="C563" s="1">
        <v>23.7249875645686</v>
      </c>
      <c r="D563" s="9">
        <v>18.803833333338147</v>
      </c>
      <c r="E563" s="1">
        <v>1.07816</v>
      </c>
      <c r="F563" s="1">
        <v>7.8018000000000001</v>
      </c>
      <c r="G563" s="1">
        <v>13.71</v>
      </c>
      <c r="H563" s="1">
        <v>5.0147199999999996</v>
      </c>
    </row>
    <row r="564" spans="1:8" x14ac:dyDescent="0.3">
      <c r="A564">
        <f t="shared" si="20"/>
        <v>5</v>
      </c>
      <c r="B564">
        <v>2807</v>
      </c>
      <c r="C564" s="1">
        <v>24.03</v>
      </c>
      <c r="D564" s="9">
        <v>18.851055555560457</v>
      </c>
      <c r="E564" s="1">
        <v>1.86371</v>
      </c>
      <c r="F564" s="1">
        <v>7.93553</v>
      </c>
      <c r="G564" s="1">
        <v>13.261799999999999</v>
      </c>
      <c r="H564" s="1">
        <v>5.5156799999999997</v>
      </c>
    </row>
    <row r="565" spans="1:8" x14ac:dyDescent="0.3">
      <c r="A565" t="e">
        <f t="shared" si="20"/>
        <v>#REF!</v>
      </c>
      <c r="B565">
        <v>2857</v>
      </c>
      <c r="C565" s="1">
        <v>24.24</v>
      </c>
      <c r="D565" s="9">
        <v>18.898277777782766</v>
      </c>
      <c r="E565" s="1">
        <v>2.6639599999999999</v>
      </c>
      <c r="F565" s="1">
        <v>8.6922200000000007</v>
      </c>
      <c r="G565" s="1">
        <v>13.1325</v>
      </c>
      <c r="H565" s="1">
        <v>5.7679299999999998</v>
      </c>
    </row>
    <row r="566" spans="1:8" x14ac:dyDescent="0.3">
      <c r="A566" t="e">
        <f t="shared" si="20"/>
        <v>#REF!</v>
      </c>
      <c r="B566">
        <v>2907</v>
      </c>
      <c r="C566" s="1">
        <v>24.238041919915961</v>
      </c>
      <c r="D566" s="9">
        <v>18.945500000005076</v>
      </c>
      <c r="E566" s="1">
        <v>3.1739099999999998</v>
      </c>
      <c r="F566" s="1">
        <v>9.8992199999999997</v>
      </c>
      <c r="G566" s="1">
        <v>13.5162</v>
      </c>
      <c r="H566" s="1">
        <v>5.9915099999999999</v>
      </c>
    </row>
    <row r="567" spans="1:8" x14ac:dyDescent="0.3">
      <c r="A567" t="e">
        <f t="shared" si="20"/>
        <v>#REF!</v>
      </c>
      <c r="B567">
        <v>2957</v>
      </c>
      <c r="C567" s="1">
        <v>24.123084917187871</v>
      </c>
      <c r="D567" s="9">
        <v>18.992722222227385</v>
      </c>
      <c r="E567" s="1">
        <v>3.30071</v>
      </c>
      <c r="F567" s="1">
        <v>11.2857</v>
      </c>
      <c r="G567" s="1">
        <v>14.4573</v>
      </c>
      <c r="H567" s="1">
        <v>6.3263400000000001</v>
      </c>
    </row>
    <row r="568" spans="1:8" x14ac:dyDescent="0.3">
      <c r="A568" t="e">
        <f t="shared" si="20"/>
        <v>#REF!</v>
      </c>
      <c r="B568">
        <v>3007</v>
      </c>
      <c r="C568" s="1">
        <v>23.999654625586931</v>
      </c>
      <c r="D568" s="9">
        <v>19.039944444449695</v>
      </c>
      <c r="E568" s="1">
        <v>3.4500999999999999</v>
      </c>
      <c r="F568" s="1">
        <v>12.489800000000001</v>
      </c>
      <c r="G568" s="1">
        <v>15.681900000000001</v>
      </c>
      <c r="H568" s="1">
        <v>6.6625699999999997</v>
      </c>
    </row>
    <row r="569" spans="1:8" x14ac:dyDescent="0.3">
      <c r="A569" t="e">
        <f t="shared" si="20"/>
        <v>#REF!</v>
      </c>
      <c r="B569">
        <v>3057</v>
      </c>
      <c r="C569" s="1">
        <v>23.84</v>
      </c>
      <c r="D569" s="9">
        <v>19.087166666672005</v>
      </c>
      <c r="E569" s="1">
        <v>3.9542799999999998</v>
      </c>
      <c r="F569" s="1">
        <v>13.1873</v>
      </c>
      <c r="G569" s="1">
        <v>16.866299999999999</v>
      </c>
      <c r="H569" s="1">
        <v>6.9498100000000003</v>
      </c>
    </row>
    <row r="570" spans="1:8" x14ac:dyDescent="0.3">
      <c r="A570">
        <f t="shared" si="20"/>
        <v>3</v>
      </c>
      <c r="B570">
        <v>3107</v>
      </c>
      <c r="C570" s="1">
        <v>23.494825924617771</v>
      </c>
      <c r="D570" s="9">
        <v>19.134388888894314</v>
      </c>
      <c r="E570" s="1">
        <v>4.7964099999999998</v>
      </c>
      <c r="F570" s="1">
        <v>13.186999999999999</v>
      </c>
      <c r="G570" s="1">
        <v>17.6846</v>
      </c>
      <c r="H570" s="1">
        <v>7.35778</v>
      </c>
    </row>
    <row r="571" spans="1:8" x14ac:dyDescent="0.3">
      <c r="A571" t="e">
        <f t="shared" si="20"/>
        <v>#REF!</v>
      </c>
      <c r="B571">
        <v>3157</v>
      </c>
      <c r="C571" s="1">
        <v>23.0963553485688</v>
      </c>
      <c r="D571" s="9">
        <v>19.181611111116624</v>
      </c>
      <c r="E571" s="1">
        <v>5.8558599999999998</v>
      </c>
      <c r="F571" s="1">
        <v>12.4842</v>
      </c>
      <c r="G571" s="1">
        <v>17.955400000000001</v>
      </c>
      <c r="H571" s="1">
        <v>8.0241900000000008</v>
      </c>
    </row>
    <row r="572" spans="1:8" x14ac:dyDescent="0.3">
      <c r="A572" t="e">
        <f t="shared" si="20"/>
        <v>#REF!</v>
      </c>
      <c r="B572">
        <v>3207</v>
      </c>
      <c r="C572" s="1">
        <v>22.73603052870385</v>
      </c>
      <c r="D572" s="9">
        <v>19.228833333338933</v>
      </c>
      <c r="E572" s="1">
        <v>6.9058299999999999</v>
      </c>
      <c r="F572" s="1">
        <v>11.414099999999999</v>
      </c>
      <c r="G572" s="1">
        <v>17.7986</v>
      </c>
      <c r="H572" s="1">
        <v>8.9539100000000005</v>
      </c>
    </row>
    <row r="573" spans="1:8" x14ac:dyDescent="0.3">
      <c r="A573" t="e">
        <f t="shared" ref="A573:A579" si="21">A523</f>
        <v>#REF!</v>
      </c>
      <c r="B573">
        <v>3257</v>
      </c>
      <c r="C573" s="1">
        <v>22.363137140353409</v>
      </c>
      <c r="D573" s="9">
        <v>19.276055555561243</v>
      </c>
      <c r="E573" s="1">
        <v>7.81806</v>
      </c>
      <c r="F573" s="1">
        <v>10.333299999999999</v>
      </c>
      <c r="G573" s="1">
        <v>17.395099999999999</v>
      </c>
      <c r="H573" s="1">
        <v>10.1107</v>
      </c>
    </row>
    <row r="574" spans="1:8" x14ac:dyDescent="0.3">
      <c r="A574" t="e">
        <f t="shared" si="21"/>
        <v>#REF!</v>
      </c>
      <c r="B574">
        <v>3307</v>
      </c>
      <c r="C574" s="1">
        <v>21.964528104508432</v>
      </c>
      <c r="D574" s="9">
        <v>19.323277777783552</v>
      </c>
      <c r="E574" s="1">
        <v>8.81</v>
      </c>
      <c r="F574" s="1">
        <v>9.7754300000000001</v>
      </c>
      <c r="G574" s="1">
        <v>17.051200000000001</v>
      </c>
      <c r="H574" s="1">
        <v>11.428900000000001</v>
      </c>
    </row>
    <row r="575" spans="1:8" x14ac:dyDescent="0.3">
      <c r="A575" t="e">
        <f t="shared" si="21"/>
        <v>#REF!</v>
      </c>
      <c r="B575">
        <v>3357</v>
      </c>
      <c r="C575" s="1">
        <v>21.653969166581849</v>
      </c>
      <c r="D575" s="9">
        <v>19.370500000005862</v>
      </c>
      <c r="E575" s="1">
        <v>10.321099999999999</v>
      </c>
      <c r="F575" s="1">
        <v>10.732100000000001</v>
      </c>
      <c r="G575" s="1">
        <v>17.165199999999999</v>
      </c>
      <c r="H575" s="1">
        <v>12.8622</v>
      </c>
    </row>
    <row r="576" spans="1:8" x14ac:dyDescent="0.3">
      <c r="A576">
        <f t="shared" si="21"/>
        <v>1</v>
      </c>
      <c r="B576">
        <v>3407</v>
      </c>
      <c r="C576" s="1">
        <v>21.314395463738041</v>
      </c>
      <c r="D576" s="9">
        <v>19.417722222228171</v>
      </c>
      <c r="E576" s="1">
        <v>12.1015</v>
      </c>
      <c r="F576" s="1">
        <v>12.2996</v>
      </c>
      <c r="G576" s="1">
        <v>17.4544</v>
      </c>
      <c r="H576" s="1">
        <v>14.2804</v>
      </c>
    </row>
    <row r="577" spans="1:8" x14ac:dyDescent="0.3">
      <c r="A577" t="e">
        <f t="shared" si="21"/>
        <v>#REF!</v>
      </c>
      <c r="B577">
        <v>3457</v>
      </c>
      <c r="C577" s="1">
        <v>20.860151021072799</v>
      </c>
      <c r="D577" s="9">
        <v>19.464944444450481</v>
      </c>
      <c r="E577" s="1">
        <v>13.9879</v>
      </c>
      <c r="F577" s="1">
        <v>14.081099999999999</v>
      </c>
      <c r="G577" s="1">
        <v>17.880299999999998</v>
      </c>
      <c r="H577" s="1">
        <v>15.6762</v>
      </c>
    </row>
    <row r="578" spans="1:8" x14ac:dyDescent="0.3">
      <c r="A578" t="e">
        <f t="shared" si="21"/>
        <v>#REF!</v>
      </c>
      <c r="B578">
        <v>3507</v>
      </c>
      <c r="C578" s="1">
        <v>20.363066000787281</v>
      </c>
      <c r="D578" s="9">
        <v>19.51216666667279</v>
      </c>
      <c r="E578" s="1">
        <v>15.926500000000001</v>
      </c>
      <c r="F578" s="1">
        <v>15.9656</v>
      </c>
      <c r="G578" s="1">
        <v>18.412199999999999</v>
      </c>
      <c r="H578" s="1">
        <v>17.056999999999999</v>
      </c>
    </row>
    <row r="579" spans="1:8" x14ac:dyDescent="0.3">
      <c r="A579" t="e">
        <f t="shared" si="21"/>
        <v>#REF!</v>
      </c>
      <c r="B579">
        <v>3557</v>
      </c>
      <c r="C579" s="1">
        <v>19.983559587327331</v>
      </c>
      <c r="D579" s="9">
        <v>19.5593888888951</v>
      </c>
      <c r="E579" s="1">
        <v>17.893899999999999</v>
      </c>
      <c r="F579" s="1">
        <v>17.9054</v>
      </c>
      <c r="G579" s="1">
        <v>19.024000000000001</v>
      </c>
      <c r="H579" s="1">
        <v>18.427499999999998</v>
      </c>
    </row>
    <row r="580" spans="1:8" x14ac:dyDescent="0.3">
      <c r="A580">
        <v>8</v>
      </c>
      <c r="B580">
        <v>8</v>
      </c>
      <c r="C580" s="1">
        <v>16.190000000000001</v>
      </c>
      <c r="D580" s="9">
        <v>16.207555555555569</v>
      </c>
      <c r="E580" s="1">
        <v>15.902900000000001</v>
      </c>
      <c r="F580" s="1">
        <v>15.882999999999999</v>
      </c>
      <c r="G580" s="1">
        <v>16.101199999999999</v>
      </c>
      <c r="H580" s="1">
        <v>15.901999999999999</v>
      </c>
    </row>
    <row r="581" spans="1:8" x14ac:dyDescent="0.3">
      <c r="A581" t="e">
        <f t="shared" ref="A581:A612" si="22">A531</f>
        <v>#REF!</v>
      </c>
      <c r="B581">
        <v>58</v>
      </c>
      <c r="C581" s="1">
        <v>16.139978943116489</v>
      </c>
      <c r="D581" s="9">
        <v>16.254777777777878</v>
      </c>
      <c r="E581" s="1">
        <v>14.058199999999999</v>
      </c>
      <c r="F581" s="1">
        <v>13.916499999999999</v>
      </c>
      <c r="G581" s="1">
        <v>15.513999999999999</v>
      </c>
      <c r="H581" s="1">
        <v>14.0345</v>
      </c>
    </row>
    <row r="582" spans="1:8" x14ac:dyDescent="0.3">
      <c r="A582" t="e">
        <f t="shared" si="22"/>
        <v>#REF!</v>
      </c>
      <c r="B582">
        <v>108</v>
      </c>
      <c r="C582" s="1">
        <v>16.234531373178779</v>
      </c>
      <c r="D582" s="9">
        <v>16.302000000000188</v>
      </c>
      <c r="E582" s="1">
        <v>12.2402</v>
      </c>
      <c r="F582" s="1">
        <v>11.986000000000001</v>
      </c>
      <c r="G582" s="1">
        <v>14.9876</v>
      </c>
      <c r="H582" s="1">
        <v>12.157400000000001</v>
      </c>
    </row>
    <row r="583" spans="1:8" x14ac:dyDescent="0.3">
      <c r="A583" t="e">
        <f t="shared" si="22"/>
        <v>#REF!</v>
      </c>
      <c r="B583">
        <v>158</v>
      </c>
      <c r="C583" s="1">
        <v>16.45</v>
      </c>
      <c r="D583" s="9">
        <v>16.349222222222497</v>
      </c>
      <c r="E583" s="1">
        <v>10.461600000000001</v>
      </c>
      <c r="F583" s="1">
        <v>10.117900000000001</v>
      </c>
      <c r="G583" s="1">
        <v>14.537100000000001</v>
      </c>
      <c r="H583" s="1">
        <v>10.270099999999999</v>
      </c>
    </row>
    <row r="584" spans="1:8" x14ac:dyDescent="0.3">
      <c r="A584" t="e">
        <f t="shared" si="22"/>
        <v>#REF!</v>
      </c>
      <c r="B584">
        <v>208</v>
      </c>
      <c r="C584" s="1">
        <v>16.806910153340549</v>
      </c>
      <c r="D584" s="9">
        <v>16.396444444444807</v>
      </c>
      <c r="E584" s="1">
        <v>8.7453800000000008</v>
      </c>
      <c r="F584" s="1">
        <v>8.3684999999999992</v>
      </c>
      <c r="G584" s="1">
        <v>14.180300000000001</v>
      </c>
      <c r="H584" s="1">
        <v>8.37439</v>
      </c>
    </row>
    <row r="585" spans="1:8" x14ac:dyDescent="0.3">
      <c r="A585" t="e">
        <f t="shared" si="22"/>
        <v>#REF!</v>
      </c>
      <c r="B585">
        <v>258</v>
      </c>
      <c r="C585" s="1">
        <v>16.929550647979742</v>
      </c>
      <c r="D585" s="9">
        <v>16.443666666667117</v>
      </c>
      <c r="E585" s="1">
        <v>7.13565</v>
      </c>
      <c r="F585" s="1">
        <v>6.8708799999999997</v>
      </c>
      <c r="G585" s="1">
        <v>13.916600000000001</v>
      </c>
      <c r="H585" s="1">
        <v>6.4833499999999997</v>
      </c>
    </row>
    <row r="586" spans="1:8" x14ac:dyDescent="0.3">
      <c r="A586">
        <f t="shared" si="22"/>
        <v>6</v>
      </c>
      <c r="B586">
        <v>308</v>
      </c>
      <c r="C586" s="1">
        <v>17.119825014486189</v>
      </c>
      <c r="D586" s="9">
        <v>16.490888888889426</v>
      </c>
      <c r="E586" s="1">
        <v>5.8440300000000001</v>
      </c>
      <c r="F586" s="1">
        <v>6.1931399999999996</v>
      </c>
      <c r="G586" s="1">
        <v>13.823600000000001</v>
      </c>
      <c r="H586" s="1">
        <v>4.8256699999999997</v>
      </c>
    </row>
    <row r="587" spans="1:8" x14ac:dyDescent="0.3">
      <c r="A587" t="e">
        <f t="shared" si="22"/>
        <v>#REF!</v>
      </c>
      <c r="B587">
        <v>358</v>
      </c>
      <c r="C587" s="1">
        <v>17.3380533356193</v>
      </c>
      <c r="D587" s="9">
        <v>16.538111111111736</v>
      </c>
      <c r="E587" s="1">
        <v>5.0167099999999998</v>
      </c>
      <c r="F587" s="1">
        <v>6.4518800000000001</v>
      </c>
      <c r="G587" s="1">
        <v>14.0101</v>
      </c>
      <c r="H587" s="1">
        <v>3.6767400000000001</v>
      </c>
    </row>
    <row r="588" spans="1:8" x14ac:dyDescent="0.3">
      <c r="A588" t="e">
        <f t="shared" si="22"/>
        <v>#REF!</v>
      </c>
      <c r="B588">
        <v>408</v>
      </c>
      <c r="C588" s="1">
        <v>17.510000000000002</v>
      </c>
      <c r="D588" s="9">
        <v>16.585333333334045</v>
      </c>
      <c r="E588" s="1">
        <v>4.4595799999999999</v>
      </c>
      <c r="F588" s="1">
        <v>6.7196999999999996</v>
      </c>
      <c r="G588" s="1">
        <v>14.0573</v>
      </c>
      <c r="H588" s="1">
        <v>2.8915000000000002</v>
      </c>
    </row>
    <row r="589" spans="1:8" x14ac:dyDescent="0.3">
      <c r="A589" t="e">
        <f t="shared" si="22"/>
        <v>#REF!</v>
      </c>
      <c r="B589">
        <v>458</v>
      </c>
      <c r="C589" s="1">
        <v>17.83180104677762</v>
      </c>
      <c r="D589" s="9">
        <v>16.632555555556355</v>
      </c>
      <c r="E589" s="1">
        <v>4.0782800000000003</v>
      </c>
      <c r="F589" s="1">
        <v>6.6562599999999996</v>
      </c>
      <c r="G589" s="1">
        <v>13.825200000000001</v>
      </c>
      <c r="H589" s="1">
        <v>2.4077099999999998</v>
      </c>
    </row>
    <row r="590" spans="1:8" x14ac:dyDescent="0.3">
      <c r="A590" t="e">
        <f t="shared" si="22"/>
        <v>#REF!</v>
      </c>
      <c r="B590">
        <v>508</v>
      </c>
      <c r="C590" s="1">
        <v>17.99964776780638</v>
      </c>
      <c r="D590" s="9">
        <v>16.679777777778664</v>
      </c>
      <c r="E590" s="1">
        <v>3.57422</v>
      </c>
      <c r="F590" s="1">
        <v>6.1846100000000002</v>
      </c>
      <c r="G590" s="1">
        <v>13.4788</v>
      </c>
      <c r="H590" s="1">
        <v>1.91981</v>
      </c>
    </row>
    <row r="591" spans="1:8" x14ac:dyDescent="0.3">
      <c r="A591" t="e">
        <f t="shared" si="22"/>
        <v>#REF!</v>
      </c>
      <c r="B591">
        <v>558</v>
      </c>
      <c r="C591" s="1">
        <v>18.201893928005401</v>
      </c>
      <c r="D591" s="9">
        <v>16.727000000000974</v>
      </c>
      <c r="E591" s="1">
        <v>2.7598400000000001</v>
      </c>
      <c r="F591" s="1">
        <v>5.3279800000000002</v>
      </c>
      <c r="G591" s="1">
        <v>13.150399999999999</v>
      </c>
      <c r="H591" s="1">
        <v>1.2253000000000001</v>
      </c>
    </row>
    <row r="592" spans="1:8" x14ac:dyDescent="0.3">
      <c r="A592">
        <f t="shared" si="22"/>
        <v>4</v>
      </c>
      <c r="B592">
        <v>608</v>
      </c>
      <c r="C592" s="1">
        <v>18.409931225590949</v>
      </c>
      <c r="D592" s="9">
        <v>16.774222222223283</v>
      </c>
      <c r="E592" s="1">
        <v>1.8386</v>
      </c>
      <c r="F592" s="1">
        <v>4.2982800000000001</v>
      </c>
      <c r="G592" s="1">
        <v>12.772600000000001</v>
      </c>
      <c r="H592" s="1">
        <v>0.50772200000000001</v>
      </c>
    </row>
    <row r="593" spans="1:8" x14ac:dyDescent="0.3">
      <c r="A593" t="e">
        <f t="shared" si="22"/>
        <v>#REF!</v>
      </c>
      <c r="B593">
        <v>658</v>
      </c>
      <c r="C593" s="1">
        <v>18.489999999999998</v>
      </c>
      <c r="D593" s="9">
        <v>16.821444444445593</v>
      </c>
      <c r="E593" s="1">
        <v>1.06769</v>
      </c>
      <c r="F593" s="1">
        <v>3.3335699999999999</v>
      </c>
      <c r="G593" s="1">
        <v>12.347099999999999</v>
      </c>
      <c r="H593" s="1">
        <v>2.861E-2</v>
      </c>
    </row>
    <row r="594" spans="1:8" x14ac:dyDescent="0.3">
      <c r="A594" t="e">
        <f t="shared" si="22"/>
        <v>#REF!</v>
      </c>
      <c r="B594">
        <v>708</v>
      </c>
      <c r="C594" s="1">
        <v>18.71</v>
      </c>
      <c r="D594" s="9">
        <v>16.868666666667902</v>
      </c>
      <c r="E594" s="1">
        <v>0.66905599999999998</v>
      </c>
      <c r="F594" s="1">
        <v>2.6426599999999998</v>
      </c>
      <c r="G594" s="1">
        <v>12.121499999999999</v>
      </c>
      <c r="H594" s="1">
        <v>8.1284999999999996E-2</v>
      </c>
    </row>
    <row r="595" spans="1:8" x14ac:dyDescent="0.3">
      <c r="A595" t="e">
        <f t="shared" si="22"/>
        <v>#REF!</v>
      </c>
      <c r="B595">
        <v>758</v>
      </c>
      <c r="C595" s="1">
        <v>18.829999999999998</v>
      </c>
      <c r="D595" s="9">
        <v>16.915888888890212</v>
      </c>
      <c r="E595" s="1">
        <v>0.72464099999999998</v>
      </c>
      <c r="F595" s="1">
        <v>2.2957200000000002</v>
      </c>
      <c r="G595" s="1">
        <v>12.264900000000001</v>
      </c>
      <c r="H595" s="1">
        <v>0.78604499999999999</v>
      </c>
    </row>
    <row r="596" spans="1:8" x14ac:dyDescent="0.3">
      <c r="A596" t="e">
        <f t="shared" si="22"/>
        <v>#REF!</v>
      </c>
      <c r="B596">
        <v>808</v>
      </c>
      <c r="C596" s="1">
        <v>19.21750177706739</v>
      </c>
      <c r="D596" s="9">
        <v>16.963111111112521</v>
      </c>
      <c r="E596" s="1">
        <v>0.99238400000000004</v>
      </c>
      <c r="F596" s="1">
        <v>2.0407000000000002</v>
      </c>
      <c r="G596" s="1">
        <v>12.668699999999999</v>
      </c>
      <c r="H596" s="1">
        <v>1.8354299999999999</v>
      </c>
    </row>
    <row r="597" spans="1:8" x14ac:dyDescent="0.3">
      <c r="A597" t="e">
        <f t="shared" si="22"/>
        <v>#REF!</v>
      </c>
      <c r="B597">
        <v>858</v>
      </c>
      <c r="C597" s="1">
        <v>19.435170130482131</v>
      </c>
      <c r="D597" s="9">
        <v>17.010333333334831</v>
      </c>
      <c r="E597" s="1">
        <v>1.27921</v>
      </c>
      <c r="F597" s="1">
        <v>1.7395</v>
      </c>
      <c r="G597" s="1">
        <v>13.1335</v>
      </c>
      <c r="H597" s="1">
        <v>2.8550900000000001</v>
      </c>
    </row>
    <row r="598" spans="1:8" x14ac:dyDescent="0.3">
      <c r="A598">
        <f t="shared" si="22"/>
        <v>2</v>
      </c>
      <c r="B598">
        <v>908</v>
      </c>
      <c r="C598" s="1">
        <v>19.718944408319761</v>
      </c>
      <c r="D598" s="9">
        <v>17.057555555557141</v>
      </c>
      <c r="E598" s="1">
        <v>1.62463</v>
      </c>
      <c r="F598" s="1">
        <v>1.64177</v>
      </c>
      <c r="G598" s="1">
        <v>13.342599999999999</v>
      </c>
      <c r="H598" s="1">
        <v>3.4615499999999999</v>
      </c>
    </row>
    <row r="599" spans="1:8" x14ac:dyDescent="0.3">
      <c r="A599" t="e">
        <f t="shared" si="22"/>
        <v>#REF!</v>
      </c>
      <c r="B599">
        <v>958</v>
      </c>
      <c r="C599" s="1">
        <v>20.040553280690698</v>
      </c>
      <c r="D599" s="9">
        <v>17.10477777777945</v>
      </c>
      <c r="E599" s="1">
        <v>2.0254799999999999</v>
      </c>
      <c r="F599" s="1">
        <v>1.9292199999999999</v>
      </c>
      <c r="G599" s="1">
        <v>13.1439</v>
      </c>
      <c r="H599" s="1">
        <v>3.4538899999999999</v>
      </c>
    </row>
    <row r="600" spans="1:8" x14ac:dyDescent="0.3">
      <c r="A600" t="e">
        <f t="shared" si="22"/>
        <v>#REF!</v>
      </c>
      <c r="B600">
        <v>1008</v>
      </c>
      <c r="C600" s="1">
        <v>20.432803771014029</v>
      </c>
      <c r="D600" s="9">
        <v>17.15200000000176</v>
      </c>
      <c r="E600" s="1">
        <v>2.2940700000000001</v>
      </c>
      <c r="F600" s="1">
        <v>2.4833599999999998</v>
      </c>
      <c r="G600" s="1">
        <v>12.824299999999999</v>
      </c>
      <c r="H600" s="1">
        <v>3.0713300000000001</v>
      </c>
    </row>
    <row r="601" spans="1:8" x14ac:dyDescent="0.3">
      <c r="A601" t="e">
        <f t="shared" si="22"/>
        <v>#REF!</v>
      </c>
      <c r="B601">
        <v>1058</v>
      </c>
      <c r="C601" s="1">
        <v>20.888147205405389</v>
      </c>
      <c r="D601" s="9">
        <v>17.199222222224069</v>
      </c>
      <c r="E601" s="1">
        <v>2.33005</v>
      </c>
      <c r="F601" s="1">
        <v>3.0924399999999999</v>
      </c>
      <c r="G601" s="1">
        <v>12.6549</v>
      </c>
      <c r="H601" s="1">
        <v>2.6480299999999999</v>
      </c>
    </row>
    <row r="602" spans="1:8" x14ac:dyDescent="0.3">
      <c r="A602">
        <f t="shared" si="22"/>
        <v>0</v>
      </c>
      <c r="B602">
        <v>1108</v>
      </c>
      <c r="C602" s="1">
        <v>21.26689479384272</v>
      </c>
      <c r="D602" s="9">
        <v>17.246444444446379</v>
      </c>
      <c r="E602" s="1">
        <v>2.3069700000000002</v>
      </c>
      <c r="F602" s="1">
        <v>3.42794</v>
      </c>
      <c r="G602" s="1">
        <v>12.713100000000001</v>
      </c>
      <c r="H602" s="1">
        <v>2.5904199999999999</v>
      </c>
    </row>
    <row r="603" spans="1:8" x14ac:dyDescent="0.3">
      <c r="A603">
        <f t="shared" si="22"/>
        <v>0</v>
      </c>
      <c r="B603">
        <v>1158</v>
      </c>
      <c r="C603" s="1">
        <v>21.570117734873051</v>
      </c>
      <c r="D603" s="9">
        <v>17.293666666668688</v>
      </c>
      <c r="E603" s="1">
        <v>2.3250000000000002</v>
      </c>
      <c r="F603" s="1">
        <v>3.3411</v>
      </c>
      <c r="G603" s="1">
        <v>12.957000000000001</v>
      </c>
      <c r="H603" s="1">
        <v>3.1131099999999998</v>
      </c>
    </row>
    <row r="604" spans="1:8" x14ac:dyDescent="0.3">
      <c r="A604" t="e">
        <f t="shared" si="22"/>
        <v>#REF!</v>
      </c>
      <c r="B604">
        <v>1208</v>
      </c>
      <c r="C604" s="1">
        <v>21.998969235928492</v>
      </c>
      <c r="D604" s="9">
        <v>17.340888888890998</v>
      </c>
      <c r="E604" s="1">
        <v>2.2137899999999999</v>
      </c>
      <c r="F604" s="1">
        <v>3.15158</v>
      </c>
      <c r="G604" s="1">
        <v>13.1274</v>
      </c>
      <c r="H604" s="1">
        <v>3.95045</v>
      </c>
    </row>
    <row r="605" spans="1:8" x14ac:dyDescent="0.3">
      <c r="A605" t="e">
        <f t="shared" si="22"/>
        <v>#REF!</v>
      </c>
      <c r="B605">
        <v>1258</v>
      </c>
      <c r="C605" s="1">
        <v>22.418251275130149</v>
      </c>
      <c r="D605" s="9">
        <v>17.388111111113307</v>
      </c>
      <c r="E605" s="1">
        <v>1.9092800000000001</v>
      </c>
      <c r="F605" s="1">
        <v>3.1417799999999998</v>
      </c>
      <c r="G605" s="1">
        <v>13.083</v>
      </c>
      <c r="H605" s="1">
        <v>4.7982699999999996</v>
      </c>
    </row>
    <row r="606" spans="1:8" x14ac:dyDescent="0.3">
      <c r="A606" t="e">
        <f t="shared" si="22"/>
        <v>#REF!</v>
      </c>
      <c r="B606">
        <v>1308</v>
      </c>
      <c r="C606" s="1">
        <v>22.863661589573429</v>
      </c>
      <c r="D606" s="9">
        <v>17.435333333335617</v>
      </c>
      <c r="E606" s="1">
        <v>1.69377</v>
      </c>
      <c r="F606" s="1">
        <v>3.3436400000000002</v>
      </c>
      <c r="G606" s="1">
        <v>13.037000000000001</v>
      </c>
      <c r="H606" s="1">
        <v>5.4265699999999999</v>
      </c>
    </row>
    <row r="607" spans="1:8" x14ac:dyDescent="0.3">
      <c r="A607" t="e">
        <f t="shared" si="22"/>
        <v>#REF!</v>
      </c>
      <c r="B607">
        <v>1358</v>
      </c>
      <c r="C607" s="1">
        <v>23.112086128135111</v>
      </c>
      <c r="D607" s="9">
        <v>17.482555555557926</v>
      </c>
      <c r="E607" s="1">
        <v>1.7906299999999999</v>
      </c>
      <c r="F607" s="1">
        <v>3.7101299999999999</v>
      </c>
      <c r="G607" s="1">
        <v>13.125</v>
      </c>
      <c r="H607" s="1">
        <v>5.7385700000000002</v>
      </c>
    </row>
    <row r="608" spans="1:8" x14ac:dyDescent="0.3">
      <c r="A608">
        <f t="shared" si="22"/>
        <v>7</v>
      </c>
      <c r="B608">
        <v>1408</v>
      </c>
      <c r="C608" s="1">
        <v>23.23</v>
      </c>
      <c r="D608" s="9">
        <v>17.529777777780236</v>
      </c>
      <c r="E608" s="1">
        <v>2.1636700000000002</v>
      </c>
      <c r="F608" s="1">
        <v>4.0934900000000001</v>
      </c>
      <c r="G608" s="1">
        <v>13.175000000000001</v>
      </c>
      <c r="H608" s="1">
        <v>5.9254800000000003</v>
      </c>
    </row>
    <row r="609" spans="1:8" x14ac:dyDescent="0.3">
      <c r="A609" t="e">
        <f t="shared" si="22"/>
        <v>#REF!</v>
      </c>
      <c r="B609">
        <v>1458</v>
      </c>
      <c r="C609" s="1">
        <v>23.24</v>
      </c>
      <c r="D609" s="9">
        <v>17.577000000002545</v>
      </c>
      <c r="E609" s="1">
        <v>2.6782400000000002</v>
      </c>
      <c r="F609" s="1">
        <v>4.3845299999999998</v>
      </c>
      <c r="G609" s="1">
        <v>13.091699999999999</v>
      </c>
      <c r="H609" s="1">
        <v>6.1041100000000004</v>
      </c>
    </row>
    <row r="610" spans="1:8" x14ac:dyDescent="0.3">
      <c r="A610" t="e">
        <f t="shared" si="22"/>
        <v>#REF!</v>
      </c>
      <c r="B610">
        <v>1508</v>
      </c>
      <c r="C610" s="1">
        <v>23.07638710486804</v>
      </c>
      <c r="D610" s="9">
        <v>17.624222222224855</v>
      </c>
      <c r="E610" s="1">
        <v>3.0567299999999999</v>
      </c>
      <c r="F610" s="1">
        <v>4.5997899999999996</v>
      </c>
      <c r="G610" s="1">
        <v>13.0648</v>
      </c>
      <c r="H610" s="1">
        <v>6.1196000000000002</v>
      </c>
    </row>
    <row r="611" spans="1:8" x14ac:dyDescent="0.3">
      <c r="A611" t="e">
        <f t="shared" si="22"/>
        <v>#REF!</v>
      </c>
      <c r="B611">
        <v>1558</v>
      </c>
      <c r="C611" s="1">
        <v>22.814282610219379</v>
      </c>
      <c r="D611" s="9">
        <v>17.671444444447165</v>
      </c>
      <c r="E611" s="1">
        <v>3.1983899999999998</v>
      </c>
      <c r="F611" s="1">
        <v>4.8393499999999996</v>
      </c>
      <c r="G611" s="1">
        <v>13.203900000000001</v>
      </c>
      <c r="H611" s="1">
        <v>5.8361599999999996</v>
      </c>
    </row>
    <row r="612" spans="1:8" x14ac:dyDescent="0.3">
      <c r="A612" t="e">
        <f t="shared" si="22"/>
        <v>#REF!</v>
      </c>
      <c r="B612">
        <v>1608</v>
      </c>
      <c r="C612" s="1">
        <v>22.456798146460159</v>
      </c>
      <c r="D612" s="9">
        <v>17.718666666669474</v>
      </c>
      <c r="E612" s="1">
        <v>3.4674200000000002</v>
      </c>
      <c r="F612" s="1">
        <v>5.35684</v>
      </c>
      <c r="G612" s="1">
        <v>13.333600000000001</v>
      </c>
      <c r="H612" s="1">
        <v>5.2537500000000001</v>
      </c>
    </row>
    <row r="613" spans="1:8" x14ac:dyDescent="0.3">
      <c r="A613" t="e">
        <f t="shared" ref="A613:A644" si="23">A563</f>
        <v>#REF!</v>
      </c>
      <c r="B613">
        <v>1658</v>
      </c>
      <c r="C613" s="1">
        <v>22.018545272572741</v>
      </c>
      <c r="D613" s="9">
        <v>17.765888888891784</v>
      </c>
      <c r="E613" s="1">
        <v>4.1115399999999998</v>
      </c>
      <c r="F613" s="1">
        <v>6.2738399999999999</v>
      </c>
      <c r="G613" s="1">
        <v>13.3468</v>
      </c>
      <c r="H613" s="1">
        <v>4.4132699999999998</v>
      </c>
    </row>
    <row r="614" spans="1:8" x14ac:dyDescent="0.3">
      <c r="A614">
        <f t="shared" si="23"/>
        <v>5</v>
      </c>
      <c r="B614">
        <v>1708</v>
      </c>
      <c r="C614" s="1">
        <v>21.589434899179789</v>
      </c>
      <c r="D614" s="9">
        <v>17.813111111114093</v>
      </c>
      <c r="E614" s="1">
        <v>4.9477200000000003</v>
      </c>
      <c r="F614" s="1">
        <v>7.3504199999999997</v>
      </c>
      <c r="G614" s="1">
        <v>13.3925</v>
      </c>
      <c r="H614" s="1">
        <v>3.40578</v>
      </c>
    </row>
    <row r="615" spans="1:8" x14ac:dyDescent="0.3">
      <c r="A615" t="e">
        <f t="shared" si="23"/>
        <v>#REF!</v>
      </c>
      <c r="B615">
        <v>1758</v>
      </c>
      <c r="C615" s="1">
        <v>21.237083598582188</v>
      </c>
      <c r="D615" s="9">
        <v>17.860333333336403</v>
      </c>
      <c r="E615" s="1">
        <v>5.6810400000000003</v>
      </c>
      <c r="F615" s="1">
        <v>8.3057499999999997</v>
      </c>
      <c r="G615" s="1">
        <v>13.5443</v>
      </c>
      <c r="H615" s="1">
        <v>2.3139599999999998</v>
      </c>
    </row>
    <row r="616" spans="1:8" x14ac:dyDescent="0.3">
      <c r="A616" t="e">
        <f t="shared" si="23"/>
        <v>#REF!</v>
      </c>
      <c r="B616">
        <v>1808</v>
      </c>
      <c r="C616" s="1">
        <v>20.83991472623158</v>
      </c>
      <c r="D616" s="9">
        <v>17.907555555558712</v>
      </c>
      <c r="E616" s="1">
        <v>5.90001</v>
      </c>
      <c r="F616" s="1">
        <v>8.8851499999999994</v>
      </c>
      <c r="G616" s="1">
        <v>13.615500000000001</v>
      </c>
      <c r="H616" s="1">
        <v>1.18414</v>
      </c>
    </row>
    <row r="617" spans="1:8" x14ac:dyDescent="0.3">
      <c r="A617" t="e">
        <f t="shared" si="23"/>
        <v>#REF!</v>
      </c>
      <c r="B617">
        <v>1858</v>
      </c>
      <c r="C617" s="1">
        <v>20.499459418107431</v>
      </c>
      <c r="D617" s="9">
        <v>17.954777777781022</v>
      </c>
      <c r="E617" s="1">
        <v>5.4026300000000003</v>
      </c>
      <c r="F617" s="1">
        <v>9.0101099999999992</v>
      </c>
      <c r="G617" s="1">
        <v>13.510999999999999</v>
      </c>
      <c r="H617" s="1">
        <v>2.9672899999999999E-2</v>
      </c>
    </row>
    <row r="618" spans="1:8" x14ac:dyDescent="0.3">
      <c r="A618" t="e">
        <f t="shared" si="23"/>
        <v>#REF!</v>
      </c>
      <c r="B618">
        <v>1908</v>
      </c>
      <c r="C618" s="1">
        <v>20.08271946767935</v>
      </c>
      <c r="D618" s="9">
        <v>18.002000000003331</v>
      </c>
      <c r="E618" s="1">
        <v>4.5132000000000003</v>
      </c>
      <c r="F618" s="1">
        <v>9.0025700000000004</v>
      </c>
      <c r="G618" s="1">
        <v>13.435499999999999</v>
      </c>
      <c r="H618" s="1">
        <v>-1.20051</v>
      </c>
    </row>
    <row r="619" spans="1:8" x14ac:dyDescent="0.3">
      <c r="A619" t="e">
        <f t="shared" si="23"/>
        <v>#REF!</v>
      </c>
      <c r="B619">
        <v>1958</v>
      </c>
      <c r="C619" s="1">
        <v>19.77</v>
      </c>
      <c r="D619" s="9">
        <v>18.049222222225641</v>
      </c>
      <c r="E619" s="1">
        <v>3.6074700000000002</v>
      </c>
      <c r="F619" s="1">
        <v>9.07864</v>
      </c>
      <c r="G619" s="1">
        <v>13.520799999999999</v>
      </c>
      <c r="H619" s="1">
        <v>-2.5119500000000001</v>
      </c>
    </row>
    <row r="620" spans="1:8" x14ac:dyDescent="0.3">
      <c r="A620">
        <f t="shared" si="23"/>
        <v>3</v>
      </c>
      <c r="B620">
        <v>2008</v>
      </c>
      <c r="C620" s="1">
        <v>19.479420705630059</v>
      </c>
      <c r="D620" s="9">
        <v>18.09644444444795</v>
      </c>
      <c r="E620" s="1">
        <v>3.0065300000000001</v>
      </c>
      <c r="F620" s="1">
        <v>9.0784800000000008</v>
      </c>
      <c r="G620" s="1">
        <v>13.630599999999999</v>
      </c>
      <c r="H620" s="1">
        <v>-3.7843200000000001</v>
      </c>
    </row>
    <row r="621" spans="1:8" x14ac:dyDescent="0.3">
      <c r="A621" t="e">
        <f t="shared" si="23"/>
        <v>#REF!</v>
      </c>
      <c r="B621">
        <v>2058</v>
      </c>
      <c r="C621" s="1">
        <v>19.3</v>
      </c>
      <c r="D621" s="9">
        <v>18.14366666667026</v>
      </c>
      <c r="E621" s="1">
        <v>2.8380299999999998</v>
      </c>
      <c r="F621" s="1">
        <v>8.8919599999999992</v>
      </c>
      <c r="G621" s="1">
        <v>13.6791</v>
      </c>
      <c r="H621" s="1">
        <v>-4.8973699999999996</v>
      </c>
    </row>
    <row r="622" spans="1:8" x14ac:dyDescent="0.3">
      <c r="A622" t="e">
        <f t="shared" si="23"/>
        <v>#REF!</v>
      </c>
      <c r="B622">
        <v>2108</v>
      </c>
      <c r="C622" s="1">
        <v>19.195934186853432</v>
      </c>
      <c r="D622" s="9">
        <v>18.190888888892569</v>
      </c>
      <c r="E622" s="1">
        <v>2.8017400000000001</v>
      </c>
      <c r="F622" s="1">
        <v>8.6460699999999999</v>
      </c>
      <c r="G622" s="1">
        <v>13.783899999999999</v>
      </c>
      <c r="H622" s="1">
        <v>-5.7713900000000002</v>
      </c>
    </row>
    <row r="623" spans="1:8" x14ac:dyDescent="0.3">
      <c r="A623" t="e">
        <f t="shared" si="23"/>
        <v>#REF!</v>
      </c>
      <c r="B623">
        <v>2158</v>
      </c>
      <c r="C623" s="1">
        <v>19.190000000000001</v>
      </c>
      <c r="D623" s="9">
        <v>18.238111111114879</v>
      </c>
      <c r="E623" s="1">
        <v>2.69265</v>
      </c>
      <c r="F623" s="1">
        <v>8.4803200000000007</v>
      </c>
      <c r="G623" s="1">
        <v>13.986000000000001</v>
      </c>
      <c r="H623" s="1">
        <v>-6.3026200000000001</v>
      </c>
    </row>
    <row r="624" spans="1:8" x14ac:dyDescent="0.3">
      <c r="A624" t="e">
        <f t="shared" si="23"/>
        <v>#REF!</v>
      </c>
      <c r="B624">
        <v>2208</v>
      </c>
      <c r="C624" s="1">
        <v>19.18</v>
      </c>
      <c r="D624" s="9">
        <v>18.285333333337189</v>
      </c>
      <c r="E624" s="1">
        <v>2.66228</v>
      </c>
      <c r="F624" s="1">
        <v>8.4859100000000005</v>
      </c>
      <c r="G624" s="1">
        <v>14.085800000000001</v>
      </c>
      <c r="H624" s="1">
        <v>-6.3196700000000003</v>
      </c>
    </row>
    <row r="625" spans="1:8" x14ac:dyDescent="0.3">
      <c r="A625" t="e">
        <f t="shared" si="23"/>
        <v>#REF!</v>
      </c>
      <c r="B625">
        <v>2258</v>
      </c>
      <c r="C625" s="1">
        <v>19.369645180413709</v>
      </c>
      <c r="D625" s="9">
        <v>18.332555555559498</v>
      </c>
      <c r="E625" s="1">
        <v>2.79393</v>
      </c>
      <c r="F625" s="1">
        <v>8.6444899999999993</v>
      </c>
      <c r="G625" s="1">
        <v>13.979900000000001</v>
      </c>
      <c r="H625" s="1">
        <v>-5.7687999999999997</v>
      </c>
    </row>
    <row r="626" spans="1:8" x14ac:dyDescent="0.3">
      <c r="A626">
        <f t="shared" si="23"/>
        <v>1</v>
      </c>
      <c r="B626">
        <v>2308</v>
      </c>
      <c r="C626" s="1">
        <v>19.641655374368401</v>
      </c>
      <c r="D626" s="9">
        <v>18.379777777781808</v>
      </c>
      <c r="E626" s="1">
        <v>2.9007100000000001</v>
      </c>
      <c r="F626" s="1">
        <v>8.7022399999999998</v>
      </c>
      <c r="G626" s="1">
        <v>13.8604</v>
      </c>
      <c r="H626" s="1">
        <v>-4.8854600000000001</v>
      </c>
    </row>
    <row r="627" spans="1:8" x14ac:dyDescent="0.3">
      <c r="A627" t="e">
        <f t="shared" si="23"/>
        <v>#REF!</v>
      </c>
      <c r="B627">
        <v>2358</v>
      </c>
      <c r="C627" s="1">
        <v>20.032663397443908</v>
      </c>
      <c r="D627" s="9">
        <v>18.427000000004117</v>
      </c>
      <c r="E627" s="1">
        <v>2.8675999999999999</v>
      </c>
      <c r="F627" s="1">
        <v>8.4994700000000005</v>
      </c>
      <c r="G627" s="1">
        <v>13.846</v>
      </c>
      <c r="H627" s="1">
        <v>-3.8774899999999999</v>
      </c>
    </row>
    <row r="628" spans="1:8" x14ac:dyDescent="0.3">
      <c r="A628" t="e">
        <f t="shared" si="23"/>
        <v>#REF!</v>
      </c>
      <c r="B628">
        <v>2408</v>
      </c>
      <c r="C628" s="1">
        <v>20.533540801250091</v>
      </c>
      <c r="D628" s="9">
        <v>18.474222222226427</v>
      </c>
      <c r="E628" s="1">
        <v>2.8291200000000001</v>
      </c>
      <c r="F628" s="1">
        <v>8.1674500000000005</v>
      </c>
      <c r="G628" s="1">
        <v>13.793799999999999</v>
      </c>
      <c r="H628" s="1">
        <v>-2.7990900000000001</v>
      </c>
    </row>
    <row r="629" spans="1:8" x14ac:dyDescent="0.3">
      <c r="A629" t="e">
        <f t="shared" si="23"/>
        <v>#REF!</v>
      </c>
      <c r="B629">
        <v>2458</v>
      </c>
      <c r="C629" s="1">
        <v>21.14091555746332</v>
      </c>
      <c r="D629" s="9">
        <v>18.521444444448736</v>
      </c>
      <c r="E629" s="1">
        <v>2.8262999999999998</v>
      </c>
      <c r="F629" s="1">
        <v>7.88734</v>
      </c>
      <c r="G629" s="1">
        <v>13.6517</v>
      </c>
      <c r="H629" s="1">
        <v>-1.6688799999999999</v>
      </c>
    </row>
    <row r="630" spans="1:8" x14ac:dyDescent="0.3">
      <c r="A630">
        <f t="shared" si="23"/>
        <v>8</v>
      </c>
      <c r="B630">
        <v>2508</v>
      </c>
      <c r="C630" s="1">
        <v>21.645562151715868</v>
      </c>
      <c r="D630" s="9">
        <v>18.568666666671046</v>
      </c>
      <c r="E630" s="1">
        <v>2.6089000000000002</v>
      </c>
      <c r="F630" s="1">
        <v>7.86097</v>
      </c>
      <c r="G630" s="1">
        <v>13.6563</v>
      </c>
      <c r="H630" s="1">
        <v>-0.47312900000000002</v>
      </c>
    </row>
    <row r="631" spans="1:8" x14ac:dyDescent="0.3">
      <c r="A631" t="e">
        <f t="shared" si="23"/>
        <v>#REF!</v>
      </c>
      <c r="B631">
        <v>2558</v>
      </c>
      <c r="C631" s="1">
        <v>22.117148213531301</v>
      </c>
      <c r="D631" s="9">
        <v>18.615888888893355</v>
      </c>
      <c r="E631" s="1">
        <v>2.0396000000000001</v>
      </c>
      <c r="F631" s="1">
        <v>8.1284299999999998</v>
      </c>
      <c r="G631" s="1">
        <v>13.928699999999999</v>
      </c>
      <c r="H631" s="1">
        <v>0.78268899999999997</v>
      </c>
    </row>
    <row r="632" spans="1:8" x14ac:dyDescent="0.3">
      <c r="A632" t="e">
        <f t="shared" si="23"/>
        <v>#REF!</v>
      </c>
      <c r="B632">
        <v>2608</v>
      </c>
      <c r="C632" s="1">
        <v>22.463123465529979</v>
      </c>
      <c r="D632" s="9">
        <v>18.663111111115665</v>
      </c>
      <c r="E632" s="1">
        <v>1.3290299999999999</v>
      </c>
      <c r="F632" s="1">
        <v>8.3559400000000004</v>
      </c>
      <c r="G632" s="1">
        <v>14.2386</v>
      </c>
      <c r="H632" s="1">
        <v>2.0397599999999998</v>
      </c>
    </row>
    <row r="633" spans="1:8" x14ac:dyDescent="0.3">
      <c r="A633" t="e">
        <f t="shared" si="23"/>
        <v>#REF!</v>
      </c>
      <c r="B633">
        <v>2658</v>
      </c>
      <c r="C633" s="1">
        <v>22.850159142566628</v>
      </c>
      <c r="D633" s="9">
        <v>18.710333333337974</v>
      </c>
      <c r="E633" s="1">
        <v>0.75333899999999998</v>
      </c>
      <c r="F633" s="1">
        <v>8.3011499999999998</v>
      </c>
      <c r="G633" s="1">
        <v>14.3575</v>
      </c>
      <c r="H633" s="1">
        <v>3.2244799999999998</v>
      </c>
    </row>
    <row r="634" spans="1:8" x14ac:dyDescent="0.3">
      <c r="A634" t="e">
        <f t="shared" si="23"/>
        <v>#REF!</v>
      </c>
      <c r="B634">
        <v>2708</v>
      </c>
      <c r="C634" s="1">
        <v>23.290513417186851</v>
      </c>
      <c r="D634" s="9">
        <v>18.757555555560284</v>
      </c>
      <c r="E634" s="1">
        <v>0.62746800000000003</v>
      </c>
      <c r="F634" s="1">
        <v>8.0466700000000007</v>
      </c>
      <c r="G634" s="1">
        <v>14.1694</v>
      </c>
      <c r="H634" s="1">
        <v>4.2465000000000002</v>
      </c>
    </row>
    <row r="635" spans="1:8" x14ac:dyDescent="0.3">
      <c r="A635" t="e">
        <f t="shared" si="23"/>
        <v>#REF!</v>
      </c>
      <c r="B635">
        <v>2758</v>
      </c>
      <c r="C635" s="1">
        <v>23.728891938638871</v>
      </c>
      <c r="D635" s="9">
        <v>18.804777777782594</v>
      </c>
      <c r="E635" s="1">
        <v>1.09169</v>
      </c>
      <c r="F635" s="1">
        <v>7.7993399999999999</v>
      </c>
      <c r="G635" s="1">
        <v>13.6997</v>
      </c>
      <c r="H635" s="1">
        <v>5.0276800000000001</v>
      </c>
    </row>
    <row r="636" spans="1:8" x14ac:dyDescent="0.3">
      <c r="A636">
        <f t="shared" si="23"/>
        <v>6</v>
      </c>
      <c r="B636">
        <v>2808</v>
      </c>
      <c r="C636" s="1">
        <v>24.03</v>
      </c>
      <c r="D636" s="9">
        <v>18.852000000004903</v>
      </c>
      <c r="E636" s="1">
        <v>1.88059</v>
      </c>
      <c r="F636" s="1">
        <v>7.94475</v>
      </c>
      <c r="G636" s="1">
        <v>13.2553</v>
      </c>
      <c r="H636" s="1">
        <v>5.5225999999999997</v>
      </c>
    </row>
    <row r="637" spans="1:8" x14ac:dyDescent="0.3">
      <c r="A637" t="e">
        <f t="shared" si="23"/>
        <v>#REF!</v>
      </c>
      <c r="B637">
        <v>2858</v>
      </c>
      <c r="C637" s="1">
        <v>24.24</v>
      </c>
      <c r="D637" s="9">
        <v>18.899222222227213</v>
      </c>
      <c r="E637" s="1">
        <v>2.67801</v>
      </c>
      <c r="F637" s="1">
        <v>8.7127199999999991</v>
      </c>
      <c r="G637" s="1">
        <v>13.134499999999999</v>
      </c>
      <c r="H637" s="1">
        <v>5.7718699999999998</v>
      </c>
    </row>
    <row r="638" spans="1:8" x14ac:dyDescent="0.3">
      <c r="A638" t="e">
        <f t="shared" si="23"/>
        <v>#REF!</v>
      </c>
      <c r="B638">
        <v>2908</v>
      </c>
      <c r="C638" s="1">
        <v>24.229982431553719</v>
      </c>
      <c r="D638" s="9">
        <v>18.946444444449522</v>
      </c>
      <c r="E638" s="1">
        <v>3.1793100000000001</v>
      </c>
      <c r="F638" s="1">
        <v>9.9263100000000009</v>
      </c>
      <c r="G638" s="1">
        <v>13.530200000000001</v>
      </c>
      <c r="H638" s="1">
        <v>5.9972500000000002</v>
      </c>
    </row>
    <row r="639" spans="1:8" x14ac:dyDescent="0.3">
      <c r="A639" t="e">
        <f t="shared" si="23"/>
        <v>#REF!</v>
      </c>
      <c r="B639">
        <v>2958</v>
      </c>
      <c r="C639" s="1">
        <v>24.118102163257689</v>
      </c>
      <c r="D639" s="9">
        <v>18.993666666671832</v>
      </c>
      <c r="E639" s="1">
        <v>3.3018900000000002</v>
      </c>
      <c r="F639" s="1">
        <v>11.312799999999999</v>
      </c>
      <c r="G639" s="1">
        <v>14.48</v>
      </c>
      <c r="H639" s="1">
        <v>6.3335400000000002</v>
      </c>
    </row>
    <row r="640" spans="1:8" x14ac:dyDescent="0.3">
      <c r="A640" t="e">
        <f t="shared" si="23"/>
        <v>#REF!</v>
      </c>
      <c r="B640">
        <v>3008</v>
      </c>
      <c r="C640" s="1">
        <v>23.99553567015403</v>
      </c>
      <c r="D640" s="9">
        <v>19.040888888894141</v>
      </c>
      <c r="E640" s="1">
        <v>3.4564300000000001</v>
      </c>
      <c r="F640" s="1">
        <v>12.509499999999999</v>
      </c>
      <c r="G640" s="1">
        <v>15.707100000000001</v>
      </c>
      <c r="H640" s="1">
        <v>6.6684200000000002</v>
      </c>
    </row>
    <row r="641" spans="1:8" x14ac:dyDescent="0.3">
      <c r="A641" t="e">
        <f t="shared" si="23"/>
        <v>#REF!</v>
      </c>
      <c r="B641">
        <v>3058</v>
      </c>
      <c r="C641" s="1">
        <v>23.84</v>
      </c>
      <c r="D641" s="9">
        <v>19.088111111116451</v>
      </c>
      <c r="E641" s="1">
        <v>3.9680399999999998</v>
      </c>
      <c r="F641" s="1">
        <v>13.194699999999999</v>
      </c>
      <c r="G641" s="1">
        <v>16.8873</v>
      </c>
      <c r="H641" s="1">
        <v>6.9561299999999999</v>
      </c>
    </row>
    <row r="642" spans="1:8" x14ac:dyDescent="0.3">
      <c r="A642">
        <f t="shared" si="23"/>
        <v>4</v>
      </c>
      <c r="B642">
        <v>3108</v>
      </c>
      <c r="C642" s="1">
        <v>23.49062120524075</v>
      </c>
      <c r="D642" s="9">
        <v>19.13533333333876</v>
      </c>
      <c r="E642" s="1">
        <v>4.8161500000000004</v>
      </c>
      <c r="F642" s="1">
        <v>13.179</v>
      </c>
      <c r="G642" s="1">
        <v>17.6953</v>
      </c>
      <c r="H642" s="1">
        <v>7.36843</v>
      </c>
    </row>
    <row r="643" spans="1:8" x14ac:dyDescent="0.3">
      <c r="A643" t="e">
        <f t="shared" si="23"/>
        <v>#REF!</v>
      </c>
      <c r="B643">
        <v>3158</v>
      </c>
      <c r="C643" s="1">
        <v>23.088112514682511</v>
      </c>
      <c r="D643" s="9">
        <v>19.18255555556107</v>
      </c>
      <c r="E643" s="1">
        <v>5.8777299999999997</v>
      </c>
      <c r="F643" s="1">
        <v>12.465199999999999</v>
      </c>
      <c r="G643" s="1">
        <v>17.956</v>
      </c>
      <c r="H643" s="1">
        <v>8.04026</v>
      </c>
    </row>
    <row r="644" spans="1:8" x14ac:dyDescent="0.3">
      <c r="A644" t="e">
        <f t="shared" si="23"/>
        <v>#REF!</v>
      </c>
      <c r="B644">
        <v>3208</v>
      </c>
      <c r="C644" s="1">
        <v>22.72780719628204</v>
      </c>
      <c r="D644" s="9">
        <v>19.229777777783379</v>
      </c>
      <c r="E644" s="1">
        <v>6.9252200000000004</v>
      </c>
      <c r="F644" s="1">
        <v>11.391500000000001</v>
      </c>
      <c r="G644" s="1">
        <v>17.792200000000001</v>
      </c>
      <c r="H644" s="1">
        <v>8.9750800000000002</v>
      </c>
    </row>
    <row r="645" spans="1:8" x14ac:dyDescent="0.3">
      <c r="A645" t="e">
        <f t="shared" ref="A645:A651" si="24">A595</f>
        <v>#REF!</v>
      </c>
      <c r="B645">
        <v>3258</v>
      </c>
      <c r="C645" s="1">
        <v>22.354531389979979</v>
      </c>
      <c r="D645" s="9">
        <v>19.277000000005689</v>
      </c>
      <c r="E645" s="1">
        <v>7.8358800000000004</v>
      </c>
      <c r="F645" s="1">
        <v>10.3142</v>
      </c>
      <c r="G645" s="1">
        <v>17.386199999999999</v>
      </c>
      <c r="H645" s="1">
        <v>10.1356</v>
      </c>
    </row>
    <row r="646" spans="1:8" x14ac:dyDescent="0.3">
      <c r="A646" t="e">
        <f t="shared" si="24"/>
        <v>#REF!</v>
      </c>
      <c r="B646">
        <v>3308</v>
      </c>
      <c r="C646" s="1">
        <v>21.95602318441215</v>
      </c>
      <c r="D646" s="9">
        <v>19.324222222227998</v>
      </c>
      <c r="E646" s="1">
        <v>8.8344299999999993</v>
      </c>
      <c r="F646" s="1">
        <v>9.7788799999999991</v>
      </c>
      <c r="G646" s="1">
        <v>17.048999999999999</v>
      </c>
      <c r="H646" s="1">
        <v>11.456799999999999</v>
      </c>
    </row>
    <row r="647" spans="1:8" x14ac:dyDescent="0.3">
      <c r="A647" t="e">
        <f t="shared" si="24"/>
        <v>#REF!</v>
      </c>
      <c r="B647">
        <v>3358</v>
      </c>
      <c r="C647" s="1">
        <v>21.649459651497182</v>
      </c>
      <c r="D647" s="9">
        <v>19.371444444450308</v>
      </c>
      <c r="E647" s="1">
        <v>10.355</v>
      </c>
      <c r="F647" s="1">
        <v>10.76</v>
      </c>
      <c r="G647" s="1">
        <v>17.169599999999999</v>
      </c>
      <c r="H647" s="1">
        <v>12.8908</v>
      </c>
    </row>
    <row r="648" spans="1:8" x14ac:dyDescent="0.3">
      <c r="A648">
        <f t="shared" si="24"/>
        <v>2</v>
      </c>
      <c r="B648">
        <v>3408</v>
      </c>
      <c r="C648" s="1">
        <v>21.30792883106453</v>
      </c>
      <c r="D648" s="9">
        <v>19.418666666672618</v>
      </c>
      <c r="E648" s="1">
        <v>12.138500000000001</v>
      </c>
      <c r="F648" s="1">
        <v>12.3337</v>
      </c>
      <c r="G648" s="1">
        <v>17.4617</v>
      </c>
      <c r="H648" s="1">
        <v>14.3085</v>
      </c>
    </row>
    <row r="649" spans="1:8" x14ac:dyDescent="0.3">
      <c r="A649" t="e">
        <f t="shared" si="24"/>
        <v>#REF!</v>
      </c>
      <c r="B649">
        <v>3458</v>
      </c>
      <c r="C649" s="1">
        <v>20.847959900897301</v>
      </c>
      <c r="D649" s="9">
        <v>19.465888888894927</v>
      </c>
      <c r="E649" s="1">
        <v>14.026199999999999</v>
      </c>
      <c r="F649" s="1">
        <v>14.118</v>
      </c>
      <c r="G649" s="1">
        <v>17.89</v>
      </c>
      <c r="H649" s="1">
        <v>15.703900000000001</v>
      </c>
    </row>
    <row r="650" spans="1:8" x14ac:dyDescent="0.3">
      <c r="A650" t="e">
        <f t="shared" si="24"/>
        <v>#REF!</v>
      </c>
      <c r="B650">
        <v>3508</v>
      </c>
      <c r="C650" s="1">
        <v>20.35511361964555</v>
      </c>
      <c r="D650" s="9">
        <v>19.513111111117237</v>
      </c>
      <c r="E650" s="1">
        <v>15.9656</v>
      </c>
      <c r="F650" s="1">
        <v>16.003900000000002</v>
      </c>
      <c r="G650" s="1">
        <v>18.4237</v>
      </c>
      <c r="H650" s="1">
        <v>17.084499999999998</v>
      </c>
    </row>
    <row r="651" spans="1:8" x14ac:dyDescent="0.3">
      <c r="A651" t="e">
        <f t="shared" si="24"/>
        <v>#REF!</v>
      </c>
      <c r="B651">
        <v>3558</v>
      </c>
      <c r="C651" s="1">
        <v>19.975943121753559</v>
      </c>
      <c r="D651" s="9">
        <v>19.560333333339546</v>
      </c>
      <c r="E651" s="1">
        <v>17.933499999999999</v>
      </c>
      <c r="F651" s="1">
        <v>17.944600000000001</v>
      </c>
      <c r="G651" s="1">
        <v>19.036899999999999</v>
      </c>
      <c r="H651" s="1">
        <v>18.454799999999999</v>
      </c>
    </row>
    <row r="652" spans="1:8" x14ac:dyDescent="0.3">
      <c r="A652">
        <v>9</v>
      </c>
      <c r="B652">
        <v>9</v>
      </c>
      <c r="C652" s="1">
        <v>16.190000000000001</v>
      </c>
      <c r="D652" s="9">
        <v>16.208500000000015</v>
      </c>
      <c r="E652" s="1">
        <v>15.8658</v>
      </c>
      <c r="F652" s="1">
        <v>15.843500000000001</v>
      </c>
      <c r="G652" s="1">
        <v>16.088999999999999</v>
      </c>
      <c r="H652" s="1">
        <v>15.864699999999999</v>
      </c>
    </row>
    <row r="653" spans="1:8" x14ac:dyDescent="0.3">
      <c r="A653">
        <f t="shared" ref="A653:A684" si="25">A603</f>
        <v>0</v>
      </c>
      <c r="B653">
        <v>59</v>
      </c>
      <c r="C653" s="1">
        <v>16.136238821712151</v>
      </c>
      <c r="D653" s="9">
        <v>16.255722222222325</v>
      </c>
      <c r="E653" s="1">
        <v>14.0215</v>
      </c>
      <c r="F653" s="1">
        <v>13.8775</v>
      </c>
      <c r="G653" s="1">
        <v>15.5029</v>
      </c>
      <c r="H653" s="1">
        <v>13.997</v>
      </c>
    </row>
    <row r="654" spans="1:8" x14ac:dyDescent="0.3">
      <c r="A654" t="e">
        <f t="shared" si="25"/>
        <v>#REF!</v>
      </c>
      <c r="B654">
        <v>109</v>
      </c>
      <c r="C654" s="1">
        <v>16.23818111477707</v>
      </c>
      <c r="D654" s="9">
        <v>16.302944444444634</v>
      </c>
      <c r="E654" s="1">
        <v>12.2042</v>
      </c>
      <c r="F654" s="1">
        <v>11.947900000000001</v>
      </c>
      <c r="G654" s="1">
        <v>14.9778</v>
      </c>
      <c r="H654" s="1">
        <v>12.1198</v>
      </c>
    </row>
    <row r="655" spans="1:8" x14ac:dyDescent="0.3">
      <c r="A655" t="e">
        <f t="shared" si="25"/>
        <v>#REF!</v>
      </c>
      <c r="B655">
        <v>159</v>
      </c>
      <c r="C655" s="1">
        <v>16.451925327710999</v>
      </c>
      <c r="D655" s="9">
        <v>16.350166666666944</v>
      </c>
      <c r="E655" s="1">
        <v>10.426600000000001</v>
      </c>
      <c r="F655" s="1">
        <v>10.0815</v>
      </c>
      <c r="G655" s="1">
        <v>14.529</v>
      </c>
      <c r="H655" s="1">
        <v>10.2323</v>
      </c>
    </row>
    <row r="656" spans="1:8" x14ac:dyDescent="0.3">
      <c r="A656" t="e">
        <f t="shared" si="25"/>
        <v>#REF!</v>
      </c>
      <c r="B656">
        <v>209</v>
      </c>
      <c r="C656" s="1">
        <v>16.810747096961851</v>
      </c>
      <c r="D656" s="9">
        <v>16.397388888889253</v>
      </c>
      <c r="E656" s="1">
        <v>8.7119400000000002</v>
      </c>
      <c r="F656" s="1">
        <v>8.3354199999999992</v>
      </c>
      <c r="G656" s="1">
        <v>14.174200000000001</v>
      </c>
      <c r="H656" s="1">
        <v>8.3364399999999996</v>
      </c>
    </row>
    <row r="657" spans="1:8" x14ac:dyDescent="0.3">
      <c r="A657" t="e">
        <f t="shared" si="25"/>
        <v>#REF!</v>
      </c>
      <c r="B657">
        <v>259</v>
      </c>
      <c r="C657" s="1">
        <v>16.933345183847379</v>
      </c>
      <c r="D657" s="9">
        <v>16.444611111111563</v>
      </c>
      <c r="E657" s="1">
        <v>7.1050000000000004</v>
      </c>
      <c r="F657" s="1">
        <v>6.8452000000000002</v>
      </c>
      <c r="G657" s="1">
        <v>13.911799999999999</v>
      </c>
      <c r="H657" s="1">
        <v>6.4458500000000001</v>
      </c>
    </row>
    <row r="658" spans="1:8" x14ac:dyDescent="0.3">
      <c r="A658">
        <f t="shared" si="25"/>
        <v>7</v>
      </c>
      <c r="B658">
        <v>309</v>
      </c>
      <c r="C658" s="1">
        <v>17.12</v>
      </c>
      <c r="D658" s="9">
        <v>16.491833333333872</v>
      </c>
      <c r="E658" s="1">
        <v>5.8241300000000003</v>
      </c>
      <c r="F658" s="1">
        <v>6.1936200000000001</v>
      </c>
      <c r="G658" s="1">
        <v>13.8262</v>
      </c>
      <c r="H658" s="1">
        <v>4.7986599999999999</v>
      </c>
    </row>
    <row r="659" spans="1:8" x14ac:dyDescent="0.3">
      <c r="A659" t="e">
        <f t="shared" si="25"/>
        <v>#REF!</v>
      </c>
      <c r="B659">
        <v>359</v>
      </c>
      <c r="C659" s="1">
        <v>17.34584638344133</v>
      </c>
      <c r="D659" s="9">
        <v>16.539055555556182</v>
      </c>
      <c r="E659" s="1">
        <v>5.0030400000000004</v>
      </c>
      <c r="F659" s="1">
        <v>6.4588900000000002</v>
      </c>
      <c r="G659" s="1">
        <v>14.013400000000001</v>
      </c>
      <c r="H659" s="1">
        <v>3.6574499999999999</v>
      </c>
    </row>
    <row r="660" spans="1:8" x14ac:dyDescent="0.3">
      <c r="A660" t="e">
        <f t="shared" si="25"/>
        <v>#REF!</v>
      </c>
      <c r="B660">
        <v>409</v>
      </c>
      <c r="C660" s="1">
        <v>17.510000000000002</v>
      </c>
      <c r="D660" s="9">
        <v>16.586277777778491</v>
      </c>
      <c r="E660" s="1">
        <v>4.4510199999999998</v>
      </c>
      <c r="F660" s="1">
        <v>6.7221000000000002</v>
      </c>
      <c r="G660" s="1">
        <v>14.055</v>
      </c>
      <c r="H660" s="1">
        <v>2.8796400000000002</v>
      </c>
    </row>
    <row r="661" spans="1:8" x14ac:dyDescent="0.3">
      <c r="A661" t="e">
        <f t="shared" si="25"/>
        <v>#REF!</v>
      </c>
      <c r="B661">
        <v>459</v>
      </c>
      <c r="C661" s="1">
        <v>17.835893218861639</v>
      </c>
      <c r="D661" s="9">
        <v>16.633500000000801</v>
      </c>
      <c r="E661" s="1">
        <v>4.0705299999999998</v>
      </c>
      <c r="F661" s="1">
        <v>6.6509999999999998</v>
      </c>
      <c r="G661" s="1">
        <v>13.8187</v>
      </c>
      <c r="H661" s="1">
        <v>2.3991600000000002</v>
      </c>
    </row>
    <row r="662" spans="1:8" x14ac:dyDescent="0.3">
      <c r="A662" t="e">
        <f t="shared" si="25"/>
        <v>#REF!</v>
      </c>
      <c r="B662">
        <v>509</v>
      </c>
      <c r="C662" s="1">
        <v>18</v>
      </c>
      <c r="D662" s="9">
        <v>16.68072222222311</v>
      </c>
      <c r="E662" s="1">
        <v>3.5607000000000002</v>
      </c>
      <c r="F662" s="1">
        <v>6.17075</v>
      </c>
      <c r="G662" s="1">
        <v>13.472099999999999</v>
      </c>
      <c r="H662" s="1">
        <v>1.9077200000000001</v>
      </c>
    </row>
    <row r="663" spans="1:8" x14ac:dyDescent="0.3">
      <c r="A663" t="e">
        <f t="shared" si="25"/>
        <v>#REF!</v>
      </c>
      <c r="B663">
        <v>559</v>
      </c>
      <c r="C663" s="1">
        <v>18.206189036306551</v>
      </c>
      <c r="D663" s="9">
        <v>16.72794444444542</v>
      </c>
      <c r="E663" s="1">
        <v>2.7415600000000002</v>
      </c>
      <c r="F663" s="1">
        <v>5.3082599999999998</v>
      </c>
      <c r="G663" s="1">
        <v>13.143599999999999</v>
      </c>
      <c r="H663" s="1">
        <v>1.21035</v>
      </c>
    </row>
    <row r="664" spans="1:8" x14ac:dyDescent="0.3">
      <c r="A664">
        <f t="shared" si="25"/>
        <v>5</v>
      </c>
      <c r="B664">
        <v>609</v>
      </c>
      <c r="C664" s="1">
        <v>18.418303034362101</v>
      </c>
      <c r="D664" s="9">
        <v>16.775166666667729</v>
      </c>
      <c r="E664" s="1">
        <v>1.82094</v>
      </c>
      <c r="F664" s="1">
        <v>4.2776199999999998</v>
      </c>
      <c r="G664" s="1">
        <v>12.763999999999999</v>
      </c>
      <c r="H664" s="1">
        <v>0.49485400000000002</v>
      </c>
    </row>
    <row r="665" spans="1:8" x14ac:dyDescent="0.3">
      <c r="A665" t="e">
        <f t="shared" si="25"/>
        <v>#REF!</v>
      </c>
      <c r="B665">
        <v>659</v>
      </c>
      <c r="C665" s="1">
        <v>18.486017314107912</v>
      </c>
      <c r="D665" s="9">
        <v>16.822388888890039</v>
      </c>
      <c r="E665" s="1">
        <v>1.05535</v>
      </c>
      <c r="F665" s="1">
        <v>3.3163900000000002</v>
      </c>
      <c r="G665" s="1">
        <v>12.339700000000001</v>
      </c>
      <c r="H665" s="1">
        <v>2.34638E-2</v>
      </c>
    </row>
    <row r="666" spans="1:8" x14ac:dyDescent="0.3">
      <c r="A666" t="e">
        <f t="shared" si="25"/>
        <v>#REF!</v>
      </c>
      <c r="B666">
        <v>709</v>
      </c>
      <c r="C666" s="1">
        <v>18.71</v>
      </c>
      <c r="D666" s="9">
        <v>16.869611111112349</v>
      </c>
      <c r="E666" s="1">
        <v>0.66621300000000006</v>
      </c>
      <c r="F666" s="1">
        <v>2.6328900000000002</v>
      </c>
      <c r="G666" s="1">
        <v>12.120799999999999</v>
      </c>
      <c r="H666" s="1">
        <v>8.9606000000000005E-2</v>
      </c>
    </row>
    <row r="667" spans="1:8" x14ac:dyDescent="0.3">
      <c r="A667" t="e">
        <f t="shared" si="25"/>
        <v>#REF!</v>
      </c>
      <c r="B667">
        <v>759</v>
      </c>
      <c r="C667" s="1">
        <v>18.829999999999998</v>
      </c>
      <c r="D667" s="9">
        <v>16.916833333334658</v>
      </c>
      <c r="E667" s="1">
        <v>0.72887999999999997</v>
      </c>
      <c r="F667" s="1">
        <v>2.2907099999999998</v>
      </c>
      <c r="G667" s="1">
        <v>12.271000000000001</v>
      </c>
      <c r="H667" s="1">
        <v>0.80488899999999997</v>
      </c>
    </row>
    <row r="668" spans="1:8" x14ac:dyDescent="0.3">
      <c r="A668" t="e">
        <f t="shared" si="25"/>
        <v>#REF!</v>
      </c>
      <c r="B668">
        <v>809</v>
      </c>
      <c r="C668" s="1">
        <v>19.221429637865938</v>
      </c>
      <c r="D668" s="9">
        <v>16.964055555556968</v>
      </c>
      <c r="E668" s="1">
        <v>0.99802400000000002</v>
      </c>
      <c r="F668" s="1">
        <v>2.0346600000000001</v>
      </c>
      <c r="G668" s="1">
        <v>12.6783</v>
      </c>
      <c r="H668" s="1">
        <v>1.85738</v>
      </c>
    </row>
    <row r="669" spans="1:8" x14ac:dyDescent="0.3">
      <c r="A669" t="e">
        <f t="shared" si="25"/>
        <v>#REF!</v>
      </c>
      <c r="B669">
        <v>859</v>
      </c>
      <c r="C669" s="1">
        <v>19.44330279189472</v>
      </c>
      <c r="D669" s="9">
        <v>17.011277777779277</v>
      </c>
      <c r="E669" s="1">
        <v>1.2853000000000001</v>
      </c>
      <c r="F669" s="1">
        <v>1.7345299999999999</v>
      </c>
      <c r="G669" s="1">
        <v>13.141299999999999</v>
      </c>
      <c r="H669" s="1">
        <v>2.8725499999999999</v>
      </c>
    </row>
    <row r="670" spans="1:8" x14ac:dyDescent="0.3">
      <c r="A670">
        <f t="shared" si="25"/>
        <v>3</v>
      </c>
      <c r="B670">
        <v>909</v>
      </c>
      <c r="C670" s="1">
        <v>19.727389141761751</v>
      </c>
      <c r="D670" s="9">
        <v>17.058500000001587</v>
      </c>
      <c r="E670" s="1">
        <v>1.63256</v>
      </c>
      <c r="F670" s="1">
        <v>1.64385</v>
      </c>
      <c r="G670" s="1">
        <v>13.3421</v>
      </c>
      <c r="H670" s="1">
        <v>3.4670299999999998</v>
      </c>
    </row>
    <row r="671" spans="1:8" x14ac:dyDescent="0.3">
      <c r="A671" t="e">
        <f t="shared" si="25"/>
        <v>#REF!</v>
      </c>
      <c r="B671">
        <v>959</v>
      </c>
      <c r="C671" s="1">
        <v>20.04943561638969</v>
      </c>
      <c r="D671" s="9">
        <v>17.105722222223896</v>
      </c>
      <c r="E671" s="1">
        <v>2.0328599999999999</v>
      </c>
      <c r="F671" s="1">
        <v>1.9382299999999999</v>
      </c>
      <c r="G671" s="1">
        <v>13.137499999999999</v>
      </c>
      <c r="H671" s="1">
        <v>3.4489000000000001</v>
      </c>
    </row>
    <row r="672" spans="1:8" x14ac:dyDescent="0.3">
      <c r="A672" t="e">
        <f t="shared" si="25"/>
        <v>#REF!</v>
      </c>
      <c r="B672">
        <v>1009</v>
      </c>
      <c r="C672" s="1">
        <v>20.442006505798261</v>
      </c>
      <c r="D672" s="9">
        <v>17.152944444446206</v>
      </c>
      <c r="E672" s="1">
        <v>2.2967499999999998</v>
      </c>
      <c r="F672" s="1">
        <v>2.4959899999999999</v>
      </c>
      <c r="G672" s="1">
        <v>12.819000000000001</v>
      </c>
      <c r="H672" s="1">
        <v>3.0619700000000001</v>
      </c>
    </row>
    <row r="673" spans="1:8" x14ac:dyDescent="0.3">
      <c r="A673" t="e">
        <f t="shared" si="25"/>
        <v>#REF!</v>
      </c>
      <c r="B673">
        <v>1059</v>
      </c>
      <c r="C673" s="1">
        <v>20.897454579300081</v>
      </c>
      <c r="D673" s="9">
        <v>17.200166666668515</v>
      </c>
      <c r="E673" s="1">
        <v>2.3294600000000001</v>
      </c>
      <c r="F673" s="1">
        <v>3.1029800000000001</v>
      </c>
      <c r="G673" s="1">
        <v>12.653700000000001</v>
      </c>
      <c r="H673" s="1">
        <v>2.6419100000000002</v>
      </c>
    </row>
    <row r="674" spans="1:8" x14ac:dyDescent="0.3">
      <c r="A674" t="e">
        <f t="shared" si="25"/>
        <v>#REF!</v>
      </c>
      <c r="B674">
        <v>1109</v>
      </c>
      <c r="C674" s="1">
        <v>21.276975680318252</v>
      </c>
      <c r="D674" s="9">
        <v>17.247388888890825</v>
      </c>
      <c r="E674" s="1">
        <v>2.3072400000000002</v>
      </c>
      <c r="F674" s="1">
        <v>3.4297200000000001</v>
      </c>
      <c r="G674" s="1">
        <v>12.716900000000001</v>
      </c>
      <c r="H674" s="1">
        <v>2.5956199999999998</v>
      </c>
    </row>
    <row r="675" spans="1:8" x14ac:dyDescent="0.3">
      <c r="A675" t="e">
        <f t="shared" si="25"/>
        <v>#REF!</v>
      </c>
      <c r="B675">
        <v>1159</v>
      </c>
      <c r="C675" s="1">
        <v>21.574457391085481</v>
      </c>
      <c r="D675" s="9">
        <v>17.294611111113134</v>
      </c>
      <c r="E675" s="1">
        <v>2.3247300000000002</v>
      </c>
      <c r="F675" s="1">
        <v>3.3370199999999999</v>
      </c>
      <c r="G675" s="1">
        <v>12.9621</v>
      </c>
      <c r="H675" s="1">
        <v>3.1278899999999998</v>
      </c>
    </row>
    <row r="676" spans="1:8" x14ac:dyDescent="0.3">
      <c r="A676">
        <f t="shared" si="25"/>
        <v>1</v>
      </c>
      <c r="B676">
        <v>1209</v>
      </c>
      <c r="C676" s="1">
        <v>22.007792654681818</v>
      </c>
      <c r="D676" s="9">
        <v>17.341833333335444</v>
      </c>
      <c r="E676" s="1">
        <v>2.2089799999999999</v>
      </c>
      <c r="F676" s="1">
        <v>3.1492800000000001</v>
      </c>
      <c r="G676" s="1">
        <v>13.1282</v>
      </c>
      <c r="H676" s="1">
        <v>3.96814</v>
      </c>
    </row>
    <row r="677" spans="1:8" x14ac:dyDescent="0.3">
      <c r="A677" t="e">
        <f t="shared" si="25"/>
        <v>#REF!</v>
      </c>
      <c r="B677">
        <v>1259</v>
      </c>
      <c r="C677" s="1">
        <v>22.426999628358441</v>
      </c>
      <c r="D677" s="9">
        <v>17.389055555557754</v>
      </c>
      <c r="E677" s="1">
        <v>1.90299</v>
      </c>
      <c r="F677" s="1">
        <v>3.1437599999999999</v>
      </c>
      <c r="G677" s="1">
        <v>13.081200000000001</v>
      </c>
      <c r="H677" s="1">
        <v>4.8137100000000004</v>
      </c>
    </row>
    <row r="678" spans="1:8" x14ac:dyDescent="0.3">
      <c r="A678" t="e">
        <f t="shared" si="25"/>
        <v>#REF!</v>
      </c>
      <c r="B678">
        <v>1309</v>
      </c>
      <c r="C678" s="1">
        <v>22.867856378806248</v>
      </c>
      <c r="D678" s="9">
        <v>17.436277777780063</v>
      </c>
      <c r="E678" s="1">
        <v>1.6925300000000001</v>
      </c>
      <c r="F678" s="1">
        <v>3.3497499999999998</v>
      </c>
      <c r="G678" s="1">
        <v>13.037699999999999</v>
      </c>
      <c r="H678" s="1">
        <v>5.4355399999999996</v>
      </c>
    </row>
    <row r="679" spans="1:8" x14ac:dyDescent="0.3">
      <c r="A679" t="e">
        <f t="shared" si="25"/>
        <v>#REF!</v>
      </c>
      <c r="B679">
        <v>1359</v>
      </c>
      <c r="C679" s="1">
        <v>23.116280952560729</v>
      </c>
      <c r="D679" s="9">
        <v>17.483500000002373</v>
      </c>
      <c r="E679" s="1">
        <v>1.7956399999999999</v>
      </c>
      <c r="F679" s="1">
        <v>3.7181799999999998</v>
      </c>
      <c r="G679" s="1">
        <v>13.1271</v>
      </c>
      <c r="H679" s="1">
        <v>5.7427599999999996</v>
      </c>
    </row>
    <row r="680" spans="1:8" x14ac:dyDescent="0.3">
      <c r="A680">
        <f t="shared" si="25"/>
        <v>8</v>
      </c>
      <c r="B680">
        <v>1409</v>
      </c>
      <c r="C680" s="1">
        <v>23.23</v>
      </c>
      <c r="D680" s="9">
        <v>17.530722222224682</v>
      </c>
      <c r="E680" s="1">
        <v>2.1733699999999998</v>
      </c>
      <c r="F680" s="1">
        <v>4.1002799999999997</v>
      </c>
      <c r="G680" s="1">
        <v>13.174300000000001</v>
      </c>
      <c r="H680" s="1">
        <v>5.9294000000000002</v>
      </c>
    </row>
    <row r="681" spans="1:8" x14ac:dyDescent="0.3">
      <c r="A681" t="e">
        <f t="shared" si="25"/>
        <v>#REF!</v>
      </c>
      <c r="B681">
        <v>1459</v>
      </c>
      <c r="C681" s="1">
        <v>23.24</v>
      </c>
      <c r="D681" s="9">
        <v>17.577944444446992</v>
      </c>
      <c r="E681" s="1">
        <v>2.6881400000000002</v>
      </c>
      <c r="F681" s="1">
        <v>4.3894599999999997</v>
      </c>
      <c r="G681" s="1">
        <v>13.0898</v>
      </c>
      <c r="H681" s="1">
        <v>6.1066599999999998</v>
      </c>
    </row>
    <row r="682" spans="1:8" x14ac:dyDescent="0.3">
      <c r="A682" t="e">
        <f t="shared" si="25"/>
        <v>#REF!</v>
      </c>
      <c r="B682">
        <v>1509</v>
      </c>
      <c r="C682" s="1">
        <v>23.072340176688879</v>
      </c>
      <c r="D682" s="9">
        <v>17.625166666669301</v>
      </c>
      <c r="E682" s="1">
        <v>3.0611100000000002</v>
      </c>
      <c r="F682" s="1">
        <v>4.6036400000000004</v>
      </c>
      <c r="G682" s="1">
        <v>13.0663</v>
      </c>
      <c r="H682" s="1">
        <v>6.1169900000000004</v>
      </c>
    </row>
    <row r="683" spans="1:8" x14ac:dyDescent="0.3">
      <c r="A683" t="e">
        <f t="shared" si="25"/>
        <v>#REF!</v>
      </c>
      <c r="B683">
        <v>1559</v>
      </c>
      <c r="C683" s="1">
        <v>22.806043332770809</v>
      </c>
      <c r="D683" s="9">
        <v>17.672388888891611</v>
      </c>
      <c r="E683" s="1">
        <v>3.2010900000000002</v>
      </c>
      <c r="F683" s="1">
        <v>4.8460599999999996</v>
      </c>
      <c r="G683" s="1">
        <v>13.2073</v>
      </c>
      <c r="H683" s="1">
        <v>5.8273700000000002</v>
      </c>
    </row>
    <row r="684" spans="1:8" x14ac:dyDescent="0.3">
      <c r="A684" t="e">
        <f t="shared" si="25"/>
        <v>#REF!</v>
      </c>
      <c r="B684">
        <v>1609</v>
      </c>
      <c r="C684" s="1">
        <v>22.44876721129792</v>
      </c>
      <c r="D684" s="9">
        <v>17.71961111111392</v>
      </c>
      <c r="E684" s="1">
        <v>3.4768300000000001</v>
      </c>
      <c r="F684" s="1">
        <v>5.3717300000000003</v>
      </c>
      <c r="G684" s="1">
        <v>13.3347</v>
      </c>
      <c r="H684" s="1">
        <v>5.2392099999999999</v>
      </c>
    </row>
    <row r="685" spans="1:8" x14ac:dyDescent="0.3">
      <c r="A685" t="e">
        <f t="shared" ref="A685:A716" si="26">A635</f>
        <v>#REF!</v>
      </c>
      <c r="B685">
        <v>1659</v>
      </c>
      <c r="C685" s="1">
        <v>22.01060201917501</v>
      </c>
      <c r="D685" s="9">
        <v>17.76683333333623</v>
      </c>
      <c r="E685" s="1">
        <v>4.1272000000000002</v>
      </c>
      <c r="F685" s="1">
        <v>6.2947800000000003</v>
      </c>
      <c r="G685" s="1">
        <v>13.3467</v>
      </c>
      <c r="H685" s="1">
        <v>4.3944299999999998</v>
      </c>
    </row>
    <row r="686" spans="1:8" x14ac:dyDescent="0.3">
      <c r="A686">
        <f t="shared" si="26"/>
        <v>6</v>
      </c>
      <c r="B686">
        <v>1709</v>
      </c>
      <c r="C686" s="1">
        <v>21.573570193390761</v>
      </c>
      <c r="D686" s="9">
        <v>17.814055555558539</v>
      </c>
      <c r="E686" s="1">
        <v>4.9646600000000003</v>
      </c>
      <c r="F686" s="1">
        <v>7.3715900000000003</v>
      </c>
      <c r="G686" s="1">
        <v>13.3948</v>
      </c>
      <c r="H686" s="1">
        <v>3.3845900000000002</v>
      </c>
    </row>
    <row r="687" spans="1:8" x14ac:dyDescent="0.3">
      <c r="A687" t="e">
        <f t="shared" si="26"/>
        <v>#REF!</v>
      </c>
      <c r="B687">
        <v>1759</v>
      </c>
      <c r="C687" s="1">
        <v>21.229222359240239</v>
      </c>
      <c r="D687" s="9">
        <v>17.861277777780849</v>
      </c>
      <c r="E687" s="1">
        <v>5.6918800000000003</v>
      </c>
      <c r="F687" s="1">
        <v>8.3218599999999991</v>
      </c>
      <c r="G687" s="1">
        <v>13.5473</v>
      </c>
      <c r="H687" s="1">
        <v>2.2915999999999999</v>
      </c>
    </row>
    <row r="688" spans="1:8" x14ac:dyDescent="0.3">
      <c r="A688" t="e">
        <f t="shared" si="26"/>
        <v>#REF!</v>
      </c>
      <c r="B688">
        <v>1809</v>
      </c>
      <c r="C688" s="1">
        <v>20.831911556976561</v>
      </c>
      <c r="D688" s="9">
        <v>17.908500000003158</v>
      </c>
      <c r="E688" s="1">
        <v>5.89649</v>
      </c>
      <c r="F688" s="1">
        <v>8.8913899999999995</v>
      </c>
      <c r="G688" s="1">
        <v>13.614699999999999</v>
      </c>
      <c r="H688" s="1">
        <v>1.1614100000000001</v>
      </c>
    </row>
    <row r="689" spans="1:8" x14ac:dyDescent="0.3">
      <c r="A689" t="e">
        <f t="shared" si="26"/>
        <v>#REF!</v>
      </c>
      <c r="B689">
        <v>1859</v>
      </c>
      <c r="C689" s="1">
        <v>20.49140665641281</v>
      </c>
      <c r="D689" s="9">
        <v>17.955722222225468</v>
      </c>
      <c r="E689" s="1">
        <v>5.3873499999999996</v>
      </c>
      <c r="F689" s="1">
        <v>9.0100099999999994</v>
      </c>
      <c r="G689" s="1">
        <v>13.5083</v>
      </c>
      <c r="H689" s="1">
        <v>6.01025E-3</v>
      </c>
    </row>
    <row r="690" spans="1:8" x14ac:dyDescent="0.3">
      <c r="A690" t="e">
        <f t="shared" si="26"/>
        <v>#REF!</v>
      </c>
      <c r="B690">
        <v>1909</v>
      </c>
      <c r="C690" s="1">
        <v>20.07726705303569</v>
      </c>
      <c r="D690" s="9">
        <v>18.002944444447778</v>
      </c>
      <c r="E690" s="1">
        <v>4.4941199999999997</v>
      </c>
      <c r="F690" s="1">
        <v>9.0034600000000005</v>
      </c>
      <c r="G690" s="1">
        <v>13.4359</v>
      </c>
      <c r="H690" s="1">
        <v>-1.2262299999999999</v>
      </c>
    </row>
    <row r="691" spans="1:8" x14ac:dyDescent="0.3">
      <c r="A691" t="e">
        <f t="shared" si="26"/>
        <v>#REF!</v>
      </c>
      <c r="B691">
        <v>1959</v>
      </c>
      <c r="C691" s="1">
        <v>19.77</v>
      </c>
      <c r="D691" s="9">
        <v>18.050166666670087</v>
      </c>
      <c r="E691" s="1">
        <v>3.5914299999999999</v>
      </c>
      <c r="F691" s="1">
        <v>9.0800900000000002</v>
      </c>
      <c r="G691" s="1">
        <v>13.523300000000001</v>
      </c>
      <c r="H691" s="1">
        <v>-2.5382400000000001</v>
      </c>
    </row>
    <row r="692" spans="1:8" x14ac:dyDescent="0.3">
      <c r="A692">
        <f t="shared" si="26"/>
        <v>4</v>
      </c>
      <c r="B692">
        <v>2009</v>
      </c>
      <c r="C692" s="1">
        <v>19.475328198601179</v>
      </c>
      <c r="D692" s="9">
        <v>18.097388888892397</v>
      </c>
      <c r="E692" s="1">
        <v>2.99953</v>
      </c>
      <c r="F692" s="1">
        <v>9.0763700000000007</v>
      </c>
      <c r="G692" s="1">
        <v>13.6319</v>
      </c>
      <c r="H692" s="1">
        <v>-3.8084500000000001</v>
      </c>
    </row>
    <row r="693" spans="1:8" x14ac:dyDescent="0.3">
      <c r="A693" t="e">
        <f t="shared" si="26"/>
        <v>#REF!</v>
      </c>
      <c r="B693">
        <v>2059</v>
      </c>
      <c r="C693" s="1">
        <v>19.3</v>
      </c>
      <c r="D693" s="9">
        <v>18.144611111114706</v>
      </c>
      <c r="E693" s="1">
        <v>2.8372000000000002</v>
      </c>
      <c r="F693" s="1">
        <v>8.8870900000000006</v>
      </c>
      <c r="G693" s="1">
        <v>13.680199999999999</v>
      </c>
      <c r="H693" s="1">
        <v>-4.91744</v>
      </c>
    </row>
    <row r="694" spans="1:8" x14ac:dyDescent="0.3">
      <c r="A694" t="e">
        <f t="shared" si="26"/>
        <v>#REF!</v>
      </c>
      <c r="B694">
        <v>2109</v>
      </c>
      <c r="C694" s="1">
        <v>19.191918251622429</v>
      </c>
      <c r="D694" s="9">
        <v>18.191833333337016</v>
      </c>
      <c r="E694" s="1">
        <v>2.80009</v>
      </c>
      <c r="F694" s="1">
        <v>8.6416199999999996</v>
      </c>
      <c r="G694" s="1">
        <v>13.7874</v>
      </c>
      <c r="H694" s="1">
        <v>-5.7858900000000002</v>
      </c>
    </row>
    <row r="695" spans="1:8" x14ac:dyDescent="0.3">
      <c r="A695" t="e">
        <f t="shared" si="26"/>
        <v>#REF!</v>
      </c>
      <c r="B695">
        <v>2159</v>
      </c>
      <c r="C695" s="1">
        <v>19.190000000000001</v>
      </c>
      <c r="D695" s="9">
        <v>18.239055555559325</v>
      </c>
      <c r="E695" s="1">
        <v>2.6905999999999999</v>
      </c>
      <c r="F695" s="1">
        <v>8.4784799999999994</v>
      </c>
      <c r="G695" s="1">
        <v>13.989699999999999</v>
      </c>
      <c r="H695" s="1">
        <v>-6.3086000000000002</v>
      </c>
    </row>
    <row r="696" spans="1:8" x14ac:dyDescent="0.3">
      <c r="A696" t="e">
        <f t="shared" si="26"/>
        <v>#REF!</v>
      </c>
      <c r="B696">
        <v>2209</v>
      </c>
      <c r="C696" s="1">
        <v>19.18</v>
      </c>
      <c r="D696" s="9">
        <v>18.286277777781635</v>
      </c>
      <c r="E696" s="1">
        <v>2.6637</v>
      </c>
      <c r="F696" s="1">
        <v>8.4882200000000001</v>
      </c>
      <c r="G696" s="1">
        <v>14.0854</v>
      </c>
      <c r="H696" s="1">
        <v>-6.3136999999999999</v>
      </c>
    </row>
    <row r="697" spans="1:8" x14ac:dyDescent="0.3">
      <c r="A697" t="e">
        <f t="shared" si="26"/>
        <v>#REF!</v>
      </c>
      <c r="B697">
        <v>2259</v>
      </c>
      <c r="C697" s="1">
        <v>19.37362146429907</v>
      </c>
      <c r="D697" s="9">
        <v>18.333500000003944</v>
      </c>
      <c r="E697" s="1">
        <v>2.79705</v>
      </c>
      <c r="F697" s="1">
        <v>8.6475799999999996</v>
      </c>
      <c r="G697" s="1">
        <v>13.976800000000001</v>
      </c>
      <c r="H697" s="1">
        <v>-5.7534799999999997</v>
      </c>
    </row>
    <row r="698" spans="1:8" x14ac:dyDescent="0.3">
      <c r="A698">
        <f t="shared" si="26"/>
        <v>2</v>
      </c>
      <c r="B698">
        <v>2309</v>
      </c>
      <c r="C698" s="1">
        <v>19.645756693352588</v>
      </c>
      <c r="D698" s="9">
        <v>18.380722222226254</v>
      </c>
      <c r="E698" s="1">
        <v>2.9011999999999998</v>
      </c>
      <c r="F698" s="1">
        <v>8.7005599999999994</v>
      </c>
      <c r="G698" s="1">
        <v>13.859299999999999</v>
      </c>
      <c r="H698" s="1">
        <v>-4.8662000000000001</v>
      </c>
    </row>
    <row r="699" spans="1:8" x14ac:dyDescent="0.3">
      <c r="A699" t="e">
        <f t="shared" si="26"/>
        <v>#REF!</v>
      </c>
      <c r="B699">
        <v>2359</v>
      </c>
      <c r="C699" s="1">
        <v>20.041061001890149</v>
      </c>
      <c r="D699" s="9">
        <v>18.427944444448563</v>
      </c>
      <c r="E699" s="1">
        <v>2.86632</v>
      </c>
      <c r="F699" s="1">
        <v>8.4935200000000002</v>
      </c>
      <c r="G699" s="1">
        <v>13.846</v>
      </c>
      <c r="H699" s="1">
        <v>-3.8565100000000001</v>
      </c>
    </row>
    <row r="700" spans="1:8" x14ac:dyDescent="0.3">
      <c r="A700" t="e">
        <f t="shared" si="26"/>
        <v>#REF!</v>
      </c>
      <c r="B700">
        <v>2409</v>
      </c>
      <c r="C700" s="1">
        <v>20.54901193598047</v>
      </c>
      <c r="D700" s="9">
        <v>18.475166666670873</v>
      </c>
      <c r="E700" s="1">
        <v>2.8292799999999998</v>
      </c>
      <c r="F700" s="1">
        <v>8.1606799999999993</v>
      </c>
      <c r="G700" s="1">
        <v>13.7913</v>
      </c>
      <c r="H700" s="1">
        <v>-2.7770100000000002</v>
      </c>
    </row>
    <row r="701" spans="1:8" x14ac:dyDescent="0.3">
      <c r="A701" t="e">
        <f t="shared" si="26"/>
        <v>#REF!</v>
      </c>
      <c r="B701">
        <v>2459</v>
      </c>
      <c r="C701" s="1">
        <v>21.148580654062709</v>
      </c>
      <c r="D701" s="9">
        <v>18.522388888893182</v>
      </c>
      <c r="E701" s="1">
        <v>2.8250199999999999</v>
      </c>
      <c r="F701" s="1">
        <v>7.8836500000000003</v>
      </c>
      <c r="G701" s="1">
        <v>13.6495</v>
      </c>
      <c r="H701" s="1">
        <v>-1.64567</v>
      </c>
    </row>
    <row r="702" spans="1:8" x14ac:dyDescent="0.3">
      <c r="A702">
        <f t="shared" si="26"/>
        <v>9</v>
      </c>
      <c r="B702">
        <v>2509</v>
      </c>
      <c r="C702" s="1">
        <v>21.656819821003069</v>
      </c>
      <c r="D702" s="9">
        <v>18.569611111115492</v>
      </c>
      <c r="E702" s="1">
        <v>2.6005699999999998</v>
      </c>
      <c r="F702" s="1">
        <v>7.8642200000000004</v>
      </c>
      <c r="G702" s="1">
        <v>13.659599999999999</v>
      </c>
      <c r="H702" s="1">
        <v>-0.44845200000000002</v>
      </c>
    </row>
    <row r="703" spans="1:8" x14ac:dyDescent="0.3">
      <c r="A703">
        <f t="shared" si="26"/>
        <v>0</v>
      </c>
      <c r="B703">
        <v>2559</v>
      </c>
      <c r="C703" s="1">
        <v>22.124692422596421</v>
      </c>
      <c r="D703" s="9">
        <v>18.616833333337802</v>
      </c>
      <c r="E703" s="1">
        <v>2.0259100000000001</v>
      </c>
      <c r="F703" s="1">
        <v>8.1346500000000006</v>
      </c>
      <c r="G703" s="1">
        <v>13.9354</v>
      </c>
      <c r="H703" s="1">
        <v>0.80803800000000003</v>
      </c>
    </row>
    <row r="704" spans="1:8" x14ac:dyDescent="0.3">
      <c r="A704" t="e">
        <f t="shared" si="26"/>
        <v>#REF!</v>
      </c>
      <c r="B704">
        <v>2609</v>
      </c>
      <c r="C704" s="1">
        <v>22.47065460679913</v>
      </c>
      <c r="D704" s="9">
        <v>18.664055555560111</v>
      </c>
      <c r="E704" s="1">
        <v>1.31518</v>
      </c>
      <c r="F704" s="1">
        <v>8.3576300000000003</v>
      </c>
      <c r="G704" s="1">
        <v>14.2433</v>
      </c>
      <c r="H704" s="1">
        <v>2.0644499999999999</v>
      </c>
    </row>
    <row r="705" spans="1:8" x14ac:dyDescent="0.3">
      <c r="A705" t="e">
        <f t="shared" si="26"/>
        <v>#REF!</v>
      </c>
      <c r="B705">
        <v>2659</v>
      </c>
      <c r="C705" s="1">
        <v>22.853897516224549</v>
      </c>
      <c r="D705" s="9">
        <v>18.711277777782421</v>
      </c>
      <c r="E705" s="1">
        <v>0.74535099999999999</v>
      </c>
      <c r="F705" s="1">
        <v>8.2975899999999996</v>
      </c>
      <c r="G705" s="1">
        <v>14.356999999999999</v>
      </c>
      <c r="H705" s="1">
        <v>3.2468300000000001</v>
      </c>
    </row>
    <row r="706" spans="1:8" x14ac:dyDescent="0.3">
      <c r="A706" t="e">
        <f t="shared" si="26"/>
        <v>#REF!</v>
      </c>
      <c r="B706">
        <v>2709</v>
      </c>
      <c r="C706" s="1">
        <v>23.301828305004221</v>
      </c>
      <c r="D706" s="9">
        <v>18.75850000000473</v>
      </c>
      <c r="E706" s="1">
        <v>0.63149500000000003</v>
      </c>
      <c r="F706" s="1">
        <v>8.0405300000000004</v>
      </c>
      <c r="G706" s="1">
        <v>14.162000000000001</v>
      </c>
      <c r="H706" s="1">
        <v>4.2646600000000001</v>
      </c>
    </row>
    <row r="707" spans="1:8" x14ac:dyDescent="0.3">
      <c r="A707" t="e">
        <f t="shared" si="26"/>
        <v>#REF!</v>
      </c>
      <c r="B707">
        <v>2759</v>
      </c>
      <c r="C707" s="1">
        <v>23.735602709827852</v>
      </c>
      <c r="D707" s="9">
        <v>18.80572222222704</v>
      </c>
      <c r="E707" s="1">
        <v>1.1053599999999999</v>
      </c>
      <c r="F707" s="1">
        <v>7.79704</v>
      </c>
      <c r="G707" s="1">
        <v>13.689500000000001</v>
      </c>
      <c r="H707" s="1">
        <v>5.0405100000000003</v>
      </c>
    </row>
    <row r="708" spans="1:8" x14ac:dyDescent="0.3">
      <c r="A708">
        <f t="shared" si="26"/>
        <v>7</v>
      </c>
      <c r="B708">
        <v>2809</v>
      </c>
      <c r="C708" s="1">
        <v>24.034080929936291</v>
      </c>
      <c r="D708" s="9">
        <v>18.852944444449349</v>
      </c>
      <c r="E708" s="1">
        <v>1.8974899999999999</v>
      </c>
      <c r="F708" s="1">
        <v>7.9542400000000004</v>
      </c>
      <c r="G708" s="1">
        <v>13.249000000000001</v>
      </c>
      <c r="H708" s="1">
        <v>5.5294100000000004</v>
      </c>
    </row>
    <row r="709" spans="1:8" x14ac:dyDescent="0.3">
      <c r="A709" t="e">
        <f t="shared" si="26"/>
        <v>#REF!</v>
      </c>
      <c r="B709">
        <v>2859</v>
      </c>
      <c r="C709" s="1">
        <v>24.242551915237829</v>
      </c>
      <c r="D709" s="9">
        <v>18.900166666671659</v>
      </c>
      <c r="E709" s="1">
        <v>2.6919400000000002</v>
      </c>
      <c r="F709" s="1">
        <v>8.7333999999999996</v>
      </c>
      <c r="G709" s="1">
        <v>13.136799999999999</v>
      </c>
      <c r="H709" s="1">
        <v>5.7757899999999998</v>
      </c>
    </row>
    <row r="710" spans="1:8" x14ac:dyDescent="0.3">
      <c r="A710" t="e">
        <f t="shared" si="26"/>
        <v>#REF!</v>
      </c>
      <c r="B710">
        <v>2909</v>
      </c>
      <c r="C710" s="1">
        <v>24.225943708274919</v>
      </c>
      <c r="D710" s="9">
        <v>18.947388888893968</v>
      </c>
      <c r="E710" s="1">
        <v>3.1845400000000001</v>
      </c>
      <c r="F710" s="1">
        <v>9.9534699999999994</v>
      </c>
      <c r="G710" s="1">
        <v>13.5444</v>
      </c>
      <c r="H710" s="1">
        <v>6.00305</v>
      </c>
    </row>
    <row r="711" spans="1:8" x14ac:dyDescent="0.3">
      <c r="A711" t="e">
        <f t="shared" si="26"/>
        <v>#REF!</v>
      </c>
      <c r="B711">
        <v>2959</v>
      </c>
      <c r="C711" s="1">
        <v>24.110027293061219</v>
      </c>
      <c r="D711" s="9">
        <v>18.994611111116278</v>
      </c>
      <c r="E711" s="1">
        <v>3.30308</v>
      </c>
      <c r="F711" s="1">
        <v>11.3399</v>
      </c>
      <c r="G711" s="1">
        <v>14.5029</v>
      </c>
      <c r="H711" s="1">
        <v>6.3407299999999998</v>
      </c>
    </row>
    <row r="712" spans="1:8" x14ac:dyDescent="0.3">
      <c r="A712" t="e">
        <f t="shared" si="26"/>
        <v>#REF!</v>
      </c>
      <c r="B712">
        <v>3009</v>
      </c>
      <c r="C712" s="1">
        <v>23.991416714721129</v>
      </c>
      <c r="D712" s="9">
        <v>19.041833333338587</v>
      </c>
      <c r="E712" s="1">
        <v>3.46292</v>
      </c>
      <c r="F712" s="1">
        <v>12.529</v>
      </c>
      <c r="G712" s="1">
        <v>15.7323</v>
      </c>
      <c r="H712" s="1">
        <v>6.6742499999999998</v>
      </c>
    </row>
    <row r="713" spans="1:8" x14ac:dyDescent="0.3">
      <c r="A713" t="e">
        <f t="shared" si="26"/>
        <v>#REF!</v>
      </c>
      <c r="B713">
        <v>3059</v>
      </c>
      <c r="C713" s="1">
        <v>23.84</v>
      </c>
      <c r="D713" s="9">
        <v>19.089055555560897</v>
      </c>
      <c r="E713" s="1">
        <v>3.9819499999999999</v>
      </c>
      <c r="F713" s="1">
        <v>13.201700000000001</v>
      </c>
      <c r="G713" s="1">
        <v>16.908200000000001</v>
      </c>
      <c r="H713" s="1">
        <v>6.9625000000000004</v>
      </c>
    </row>
    <row r="714" spans="1:8" x14ac:dyDescent="0.3">
      <c r="A714">
        <f t="shared" si="26"/>
        <v>5</v>
      </c>
      <c r="B714">
        <v>3109</v>
      </c>
      <c r="C714" s="1">
        <v>23.482843924229162</v>
      </c>
      <c r="D714" s="9">
        <v>19.136277777783206</v>
      </c>
      <c r="E714" s="1">
        <v>4.8359699999999997</v>
      </c>
      <c r="F714" s="1">
        <v>13.1707</v>
      </c>
      <c r="G714" s="1">
        <v>17.7057</v>
      </c>
      <c r="H714" s="1">
        <v>7.3792</v>
      </c>
    </row>
    <row r="715" spans="1:8" x14ac:dyDescent="0.3">
      <c r="A715" t="e">
        <f t="shared" si="26"/>
        <v>#REF!</v>
      </c>
      <c r="B715">
        <v>3159</v>
      </c>
      <c r="C715" s="1">
        <v>23.079869565755398</v>
      </c>
      <c r="D715" s="9">
        <v>19.183500000005516</v>
      </c>
      <c r="E715" s="1">
        <v>5.8995899999999999</v>
      </c>
      <c r="F715" s="1">
        <v>12.446</v>
      </c>
      <c r="G715" s="1">
        <v>17.956299999999999</v>
      </c>
      <c r="H715" s="1">
        <v>8.0564199999999992</v>
      </c>
    </row>
    <row r="716" spans="1:8" x14ac:dyDescent="0.3">
      <c r="A716" t="e">
        <f t="shared" si="26"/>
        <v>#REF!</v>
      </c>
      <c r="B716">
        <v>3209</v>
      </c>
      <c r="C716" s="1">
        <v>22.719574405901231</v>
      </c>
      <c r="D716" s="9">
        <v>19.230722222227826</v>
      </c>
      <c r="E716" s="1">
        <v>6.9445300000000003</v>
      </c>
      <c r="F716" s="1">
        <v>11.3688</v>
      </c>
      <c r="G716" s="1">
        <v>17.785699999999999</v>
      </c>
      <c r="H716" s="1">
        <v>8.9963300000000004</v>
      </c>
    </row>
    <row r="717" spans="1:8" x14ac:dyDescent="0.3">
      <c r="A717" t="e">
        <f t="shared" ref="A717:A723" si="27">A667</f>
        <v>#REF!</v>
      </c>
      <c r="B717">
        <v>3259</v>
      </c>
      <c r="C717" s="1">
        <v>22.345917235200851</v>
      </c>
      <c r="D717" s="9">
        <v>19.277944444450135</v>
      </c>
      <c r="E717" s="1">
        <v>7.8537100000000004</v>
      </c>
      <c r="F717" s="1">
        <v>10.295199999999999</v>
      </c>
      <c r="G717" s="1">
        <v>17.377300000000002</v>
      </c>
      <c r="H717" s="1">
        <v>10.160600000000001</v>
      </c>
    </row>
    <row r="718" spans="1:8" x14ac:dyDescent="0.3">
      <c r="A718" t="e">
        <f t="shared" si="27"/>
        <v>#REF!</v>
      </c>
      <c r="B718">
        <v>3309</v>
      </c>
      <c r="C718" s="1">
        <v>21.948757615882752</v>
      </c>
      <c r="D718" s="9">
        <v>19.325166666672445</v>
      </c>
      <c r="E718" s="1">
        <v>8.8591499999999996</v>
      </c>
      <c r="F718" s="1">
        <v>9.7831499999999991</v>
      </c>
      <c r="G718" s="1">
        <v>17.0471</v>
      </c>
      <c r="H718" s="1">
        <v>11.4847</v>
      </c>
    </row>
    <row r="719" spans="1:8" x14ac:dyDescent="0.3">
      <c r="A719" t="e">
        <f t="shared" si="27"/>
        <v>#REF!</v>
      </c>
      <c r="B719">
        <v>3359</v>
      </c>
      <c r="C719" s="1">
        <v>21.64100084588053</v>
      </c>
      <c r="D719" s="9">
        <v>19.372388888894754</v>
      </c>
      <c r="E719" s="1">
        <v>10.389099999999999</v>
      </c>
      <c r="F719" s="1">
        <v>10.7881</v>
      </c>
      <c r="G719" s="1">
        <v>17.173999999999999</v>
      </c>
      <c r="H719" s="1">
        <v>12.919499999999999</v>
      </c>
    </row>
    <row r="720" spans="1:8" x14ac:dyDescent="0.3">
      <c r="A720">
        <f t="shared" si="27"/>
        <v>3</v>
      </c>
      <c r="B720">
        <v>3409</v>
      </c>
      <c r="C720" s="1">
        <v>21.303657498964188</v>
      </c>
      <c r="D720" s="9">
        <v>19.419611111117064</v>
      </c>
      <c r="E720" s="1">
        <v>12.1754</v>
      </c>
      <c r="F720" s="1">
        <v>12.367800000000001</v>
      </c>
      <c r="G720" s="1">
        <v>17.469000000000001</v>
      </c>
      <c r="H720" s="1">
        <v>14.336600000000001</v>
      </c>
    </row>
    <row r="721" spans="1:8" x14ac:dyDescent="0.3">
      <c r="A721" t="e">
        <f t="shared" si="27"/>
        <v>#REF!</v>
      </c>
      <c r="B721">
        <v>3459</v>
      </c>
      <c r="C721" s="1">
        <v>20.835467968603581</v>
      </c>
      <c r="D721" s="9">
        <v>19.466833333339373</v>
      </c>
      <c r="E721" s="1">
        <v>14.0646</v>
      </c>
      <c r="F721" s="1">
        <v>14.154999999999999</v>
      </c>
      <c r="G721" s="1">
        <v>17.899699999999999</v>
      </c>
      <c r="H721" s="1">
        <v>15.7317</v>
      </c>
    </row>
    <row r="722" spans="1:8" x14ac:dyDescent="0.3">
      <c r="A722" t="e">
        <f t="shared" si="27"/>
        <v>#REF!</v>
      </c>
      <c r="B722">
        <v>3509</v>
      </c>
      <c r="C722" s="1">
        <v>20.348585097485859</v>
      </c>
      <c r="D722" s="9">
        <v>19.514055555561683</v>
      </c>
      <c r="E722" s="1">
        <v>16.004799999999999</v>
      </c>
      <c r="F722" s="1">
        <v>16.042300000000001</v>
      </c>
      <c r="G722" s="1">
        <v>18.435300000000002</v>
      </c>
      <c r="H722" s="1">
        <v>17.111999999999998</v>
      </c>
    </row>
    <row r="723" spans="1:8" x14ac:dyDescent="0.3">
      <c r="A723" t="e">
        <f t="shared" si="27"/>
        <v>#REF!</v>
      </c>
      <c r="B723">
        <v>3559</v>
      </c>
      <c r="C723" s="1">
        <v>19.96832685951042</v>
      </c>
      <c r="D723" s="9">
        <v>19.561277777783992</v>
      </c>
      <c r="E723" s="1">
        <v>17.973099999999999</v>
      </c>
      <c r="F723" s="1">
        <v>17.983799999999999</v>
      </c>
      <c r="G723" s="1">
        <v>19.049800000000001</v>
      </c>
      <c r="H723" s="1">
        <v>18.482199999999999</v>
      </c>
    </row>
    <row r="724" spans="1:8" x14ac:dyDescent="0.3">
      <c r="A724">
        <v>10</v>
      </c>
      <c r="B724">
        <v>10</v>
      </c>
      <c r="C724" s="1">
        <v>16.190000000000001</v>
      </c>
      <c r="D724" s="9">
        <v>16.209444444444461</v>
      </c>
      <c r="E724" s="1">
        <v>15.8287</v>
      </c>
      <c r="F724" s="1">
        <v>15.803900000000001</v>
      </c>
      <c r="G724" s="1">
        <v>16.076699999999999</v>
      </c>
      <c r="H724" s="1">
        <v>15.827500000000001</v>
      </c>
    </row>
    <row r="725" spans="1:8" x14ac:dyDescent="0.3">
      <c r="A725" t="e">
        <f t="shared" ref="A725:A756" si="28">A675</f>
        <v>#REF!</v>
      </c>
      <c r="B725">
        <v>60</v>
      </c>
      <c r="C725" s="1">
        <v>16.13249870030781</v>
      </c>
      <c r="D725" s="9">
        <v>16.256666666666771</v>
      </c>
      <c r="E725" s="1">
        <v>13.9849</v>
      </c>
      <c r="F725" s="1">
        <v>13.8385</v>
      </c>
      <c r="G725" s="1">
        <v>15.4917</v>
      </c>
      <c r="H725" s="1">
        <v>13.9596</v>
      </c>
    </row>
    <row r="726" spans="1:8" x14ac:dyDescent="0.3">
      <c r="A726">
        <f t="shared" si="28"/>
        <v>1</v>
      </c>
      <c r="B726">
        <v>110</v>
      </c>
      <c r="C726" s="1">
        <v>16.24182826070318</v>
      </c>
      <c r="D726" s="9">
        <v>16.30388888888908</v>
      </c>
      <c r="E726" s="1">
        <v>12.168200000000001</v>
      </c>
      <c r="F726" s="1">
        <v>11.909800000000001</v>
      </c>
      <c r="G726" s="1">
        <v>14.968</v>
      </c>
      <c r="H726" s="1">
        <v>12.082100000000001</v>
      </c>
    </row>
    <row r="727" spans="1:8" x14ac:dyDescent="0.3">
      <c r="A727" t="e">
        <f t="shared" si="28"/>
        <v>#REF!</v>
      </c>
      <c r="B727">
        <v>160</v>
      </c>
      <c r="C727" s="1">
        <v>16.455650374553461</v>
      </c>
      <c r="D727" s="9">
        <v>16.35111111111139</v>
      </c>
      <c r="E727" s="1">
        <v>10.3916</v>
      </c>
      <c r="F727" s="1">
        <v>10.0451</v>
      </c>
      <c r="G727" s="1">
        <v>14.520899999999999</v>
      </c>
      <c r="H727" s="1">
        <v>10.1944</v>
      </c>
    </row>
    <row r="728" spans="1:8" x14ac:dyDescent="0.3">
      <c r="A728" t="e">
        <f t="shared" si="28"/>
        <v>#REF!</v>
      </c>
      <c r="B728">
        <v>210</v>
      </c>
      <c r="C728" s="1">
        <v>16.81457443795497</v>
      </c>
      <c r="D728" s="9">
        <v>16.398333333333699</v>
      </c>
      <c r="E728" s="1">
        <v>8.6785499999999995</v>
      </c>
      <c r="F728" s="1">
        <v>8.3024299999999993</v>
      </c>
      <c r="G728" s="1">
        <v>14.168200000000001</v>
      </c>
      <c r="H728" s="1">
        <v>8.2984899999999993</v>
      </c>
    </row>
    <row r="729" spans="1:8" x14ac:dyDescent="0.3">
      <c r="A729" t="e">
        <f t="shared" si="28"/>
        <v>#REF!</v>
      </c>
      <c r="B729">
        <v>260</v>
      </c>
      <c r="C729" s="1">
        <v>16.93713937191011</v>
      </c>
      <c r="D729" s="9">
        <v>16.445555555556009</v>
      </c>
      <c r="E729" s="1">
        <v>7.0744199999999999</v>
      </c>
      <c r="F729" s="1">
        <v>6.81975</v>
      </c>
      <c r="G729" s="1">
        <v>13.907</v>
      </c>
      <c r="H729" s="1">
        <v>6.4083699999999997</v>
      </c>
    </row>
    <row r="730" spans="1:8" x14ac:dyDescent="0.3">
      <c r="A730">
        <f t="shared" si="28"/>
        <v>8</v>
      </c>
      <c r="B730">
        <v>310</v>
      </c>
      <c r="C730" s="1">
        <v>17.12</v>
      </c>
      <c r="D730" s="9">
        <v>16.492777777778318</v>
      </c>
      <c r="E730" s="1">
        <v>5.8044099999999998</v>
      </c>
      <c r="F730" s="1">
        <v>6.1944699999999999</v>
      </c>
      <c r="G730" s="1">
        <v>13.829000000000001</v>
      </c>
      <c r="H730" s="1">
        <v>4.7718499999999997</v>
      </c>
    </row>
    <row r="731" spans="1:8" x14ac:dyDescent="0.3">
      <c r="A731" t="e">
        <f t="shared" si="28"/>
        <v>#REF!</v>
      </c>
      <c r="B731">
        <v>360</v>
      </c>
      <c r="C731" s="1">
        <v>17.350000000000001</v>
      </c>
      <c r="D731" s="9">
        <v>16.540000000000628</v>
      </c>
      <c r="E731" s="1">
        <v>4.9894699999999998</v>
      </c>
      <c r="F731" s="1">
        <v>6.4658800000000003</v>
      </c>
      <c r="G731" s="1">
        <v>14.0166</v>
      </c>
      <c r="H731" s="1">
        <v>3.6383000000000001</v>
      </c>
    </row>
    <row r="732" spans="1:8" x14ac:dyDescent="0.3">
      <c r="A732" t="e">
        <f t="shared" si="28"/>
        <v>#REF!</v>
      </c>
      <c r="B732">
        <v>410</v>
      </c>
      <c r="C732" s="1">
        <v>17.510000000000002</v>
      </c>
      <c r="D732" s="9">
        <v>16.587222222222938</v>
      </c>
      <c r="E732" s="1">
        <v>4.4425299999999996</v>
      </c>
      <c r="F732" s="1">
        <v>6.7243599999999999</v>
      </c>
      <c r="G732" s="1">
        <v>14.0527</v>
      </c>
      <c r="H732" s="1">
        <v>2.8679199999999998</v>
      </c>
    </row>
    <row r="733" spans="1:8" x14ac:dyDescent="0.3">
      <c r="A733" t="e">
        <f t="shared" si="28"/>
        <v>#REF!</v>
      </c>
      <c r="B733">
        <v>460</v>
      </c>
      <c r="C733" s="1">
        <v>17.83998539094566</v>
      </c>
      <c r="D733" s="9">
        <v>16.634444444445247</v>
      </c>
      <c r="E733" s="1">
        <v>4.0627300000000002</v>
      </c>
      <c r="F733" s="1">
        <v>6.6455700000000002</v>
      </c>
      <c r="G733" s="1">
        <v>13.812099999999999</v>
      </c>
      <c r="H733" s="1">
        <v>2.3906100000000001</v>
      </c>
    </row>
    <row r="734" spans="1:8" x14ac:dyDescent="0.3">
      <c r="A734" t="e">
        <f t="shared" si="28"/>
        <v>#REF!</v>
      </c>
      <c r="B734">
        <v>510</v>
      </c>
      <c r="C734" s="1">
        <v>18</v>
      </c>
      <c r="D734" s="9">
        <v>16.681666666667557</v>
      </c>
      <c r="E734" s="1">
        <v>3.5470299999999999</v>
      </c>
      <c r="F734" s="1">
        <v>6.15672</v>
      </c>
      <c r="G734" s="1">
        <v>13.465400000000001</v>
      </c>
      <c r="H734" s="1">
        <v>1.8955299999999999</v>
      </c>
    </row>
    <row r="735" spans="1:8" x14ac:dyDescent="0.3">
      <c r="A735" t="e">
        <f t="shared" si="28"/>
        <v>#REF!</v>
      </c>
      <c r="B735">
        <v>560</v>
      </c>
      <c r="C735" s="1">
        <v>18.21048489854212</v>
      </c>
      <c r="D735" s="9">
        <v>16.728888888889866</v>
      </c>
      <c r="E735" s="1">
        <v>2.7232500000000002</v>
      </c>
      <c r="F735" s="1">
        <v>5.2884700000000002</v>
      </c>
      <c r="G735" s="1">
        <v>13.136900000000001</v>
      </c>
      <c r="H735" s="1">
        <v>1.1954</v>
      </c>
    </row>
    <row r="736" spans="1:8" x14ac:dyDescent="0.3">
      <c r="A736">
        <f t="shared" si="28"/>
        <v>6</v>
      </c>
      <c r="B736">
        <v>610</v>
      </c>
      <c r="C736" s="1">
        <v>18.420000000000002</v>
      </c>
      <c r="D736" s="9">
        <v>16.776111111112176</v>
      </c>
      <c r="E736" s="1">
        <v>1.8033300000000001</v>
      </c>
      <c r="F736" s="1">
        <v>4.2569900000000001</v>
      </c>
      <c r="G736" s="1">
        <v>12.7553</v>
      </c>
      <c r="H736" s="1">
        <v>0.48208099999999998</v>
      </c>
    </row>
    <row r="737" spans="1:8" x14ac:dyDescent="0.3">
      <c r="A737" t="e">
        <f t="shared" si="28"/>
        <v>#REF!</v>
      </c>
      <c r="B737">
        <v>660</v>
      </c>
      <c r="C737" s="1">
        <v>18.482007562391729</v>
      </c>
      <c r="D737" s="9">
        <v>16.823333333334485</v>
      </c>
      <c r="E737" s="1">
        <v>1.0431600000000001</v>
      </c>
      <c r="F737" s="1">
        <v>3.2993299999999999</v>
      </c>
      <c r="G737" s="1">
        <v>12.3324</v>
      </c>
      <c r="H737" s="1">
        <v>1.8532900000000001E-2</v>
      </c>
    </row>
    <row r="738" spans="1:8" x14ac:dyDescent="0.3">
      <c r="A738" t="e">
        <f t="shared" si="28"/>
        <v>#REF!</v>
      </c>
      <c r="B738">
        <v>710</v>
      </c>
      <c r="C738" s="1">
        <v>18.71</v>
      </c>
      <c r="D738" s="9">
        <v>16.870555555556795</v>
      </c>
      <c r="E738" s="1">
        <v>0.66356999999999999</v>
      </c>
      <c r="F738" s="1">
        <v>2.6232600000000001</v>
      </c>
      <c r="G738" s="1">
        <v>12.1203</v>
      </c>
      <c r="H738" s="1">
        <v>9.8210199999999997E-2</v>
      </c>
    </row>
    <row r="739" spans="1:8" x14ac:dyDescent="0.3">
      <c r="A739" t="e">
        <f t="shared" si="28"/>
        <v>#REF!</v>
      </c>
      <c r="B739">
        <v>760</v>
      </c>
      <c r="C739" s="1">
        <v>18.829999999999998</v>
      </c>
      <c r="D739" s="9">
        <v>16.917777777779104</v>
      </c>
      <c r="E739" s="1">
        <v>0.73320200000000002</v>
      </c>
      <c r="F739" s="1">
        <v>2.2857400000000001</v>
      </c>
      <c r="G739" s="1">
        <v>12.277100000000001</v>
      </c>
      <c r="H739" s="1">
        <v>0.82386899999999996</v>
      </c>
    </row>
    <row r="740" spans="1:8" x14ac:dyDescent="0.3">
      <c r="A740" t="e">
        <f t="shared" si="28"/>
        <v>#REF!</v>
      </c>
      <c r="B740">
        <v>810</v>
      </c>
      <c r="C740" s="1">
        <v>19.225358617627759</v>
      </c>
      <c r="D740" s="9">
        <v>16.965000000001414</v>
      </c>
      <c r="E740" s="1">
        <v>1.00366</v>
      </c>
      <c r="F740" s="1">
        <v>2.0285899999999999</v>
      </c>
      <c r="G740" s="1">
        <v>12.688000000000001</v>
      </c>
      <c r="H740" s="1">
        <v>1.8793200000000001</v>
      </c>
    </row>
    <row r="741" spans="1:8" x14ac:dyDescent="0.3">
      <c r="A741" t="e">
        <f t="shared" si="28"/>
        <v>#REF!</v>
      </c>
      <c r="B741">
        <v>860</v>
      </c>
      <c r="C741" s="1">
        <v>19.451447175527761</v>
      </c>
      <c r="D741" s="9">
        <v>17.012222222223723</v>
      </c>
      <c r="E741" s="1">
        <v>1.29142</v>
      </c>
      <c r="F741" s="1">
        <v>1.7296499999999999</v>
      </c>
      <c r="G741" s="1">
        <v>13.148999999999999</v>
      </c>
      <c r="H741" s="1">
        <v>2.88984</v>
      </c>
    </row>
    <row r="742" spans="1:8" x14ac:dyDescent="0.3">
      <c r="A742">
        <f t="shared" si="28"/>
        <v>4</v>
      </c>
      <c r="B742">
        <v>910</v>
      </c>
      <c r="C742" s="1">
        <v>19.732927729582439</v>
      </c>
      <c r="D742" s="9">
        <v>17.059444444446033</v>
      </c>
      <c r="E742" s="1">
        <v>1.64052</v>
      </c>
      <c r="F742" s="1">
        <v>1.64611</v>
      </c>
      <c r="G742" s="1">
        <v>13.3414</v>
      </c>
      <c r="H742" s="1">
        <v>3.4722499999999998</v>
      </c>
    </row>
    <row r="743" spans="1:8" x14ac:dyDescent="0.3">
      <c r="A743" t="e">
        <f t="shared" si="28"/>
        <v>#REF!</v>
      </c>
      <c r="B743">
        <v>960</v>
      </c>
      <c r="C743" s="1">
        <v>20.058317952088689</v>
      </c>
      <c r="D743" s="9">
        <v>17.106666666668342</v>
      </c>
      <c r="E743" s="1">
        <v>2.0401899999999999</v>
      </c>
      <c r="F743" s="1">
        <v>1.9473499999999999</v>
      </c>
      <c r="G743" s="1">
        <v>13.1311</v>
      </c>
      <c r="H743" s="1">
        <v>3.4437700000000002</v>
      </c>
    </row>
    <row r="744" spans="1:8" x14ac:dyDescent="0.3">
      <c r="A744" t="e">
        <f t="shared" si="28"/>
        <v>#REF!</v>
      </c>
      <c r="B744">
        <v>1010</v>
      </c>
      <c r="C744" s="1">
        <v>20.45119548637275</v>
      </c>
      <c r="D744" s="9">
        <v>17.153888888890652</v>
      </c>
      <c r="E744" s="1">
        <v>2.2993199999999998</v>
      </c>
      <c r="F744" s="1">
        <v>2.5086400000000002</v>
      </c>
      <c r="G744" s="1">
        <v>12.813800000000001</v>
      </c>
      <c r="H744" s="1">
        <v>3.0526</v>
      </c>
    </row>
    <row r="745" spans="1:8" x14ac:dyDescent="0.3">
      <c r="A745" t="e">
        <f t="shared" si="28"/>
        <v>#REF!</v>
      </c>
      <c r="B745">
        <v>1060</v>
      </c>
      <c r="C745" s="1">
        <v>20.906762099776628</v>
      </c>
      <c r="D745" s="9">
        <v>17.201111111112962</v>
      </c>
      <c r="E745" s="1">
        <v>2.32884</v>
      </c>
      <c r="F745" s="1">
        <v>3.1133999999999999</v>
      </c>
      <c r="G745" s="1">
        <v>12.6525</v>
      </c>
      <c r="H745" s="1">
        <v>2.6359400000000002</v>
      </c>
    </row>
    <row r="746" spans="1:8" x14ac:dyDescent="0.3">
      <c r="A746" t="e">
        <f t="shared" si="28"/>
        <v>#REF!</v>
      </c>
      <c r="B746">
        <v>1110</v>
      </c>
      <c r="C746" s="1">
        <v>21.28601645420849</v>
      </c>
      <c r="D746" s="9">
        <v>17.248333333335271</v>
      </c>
      <c r="E746" s="1">
        <v>2.3075399999999999</v>
      </c>
      <c r="F746" s="1">
        <v>3.4312999999999998</v>
      </c>
      <c r="G746" s="1">
        <v>12.720700000000001</v>
      </c>
      <c r="H746" s="1">
        <v>2.6010800000000001</v>
      </c>
    </row>
    <row r="747" spans="1:8" x14ac:dyDescent="0.3">
      <c r="A747" t="e">
        <f t="shared" si="28"/>
        <v>#REF!</v>
      </c>
      <c r="B747">
        <v>1160</v>
      </c>
      <c r="C747" s="1">
        <v>21.578797047297918</v>
      </c>
      <c r="D747" s="9">
        <v>17.295555555557581</v>
      </c>
      <c r="E747" s="1">
        <v>2.3244199999999999</v>
      </c>
      <c r="F747" s="1">
        <v>3.33291</v>
      </c>
      <c r="G747" s="1">
        <v>12.9671</v>
      </c>
      <c r="H747" s="1">
        <v>3.1427900000000002</v>
      </c>
    </row>
    <row r="748" spans="1:8" x14ac:dyDescent="0.3">
      <c r="A748">
        <f t="shared" si="28"/>
        <v>2</v>
      </c>
      <c r="B748">
        <v>1210</v>
      </c>
      <c r="C748" s="1">
        <v>22.016615859711049</v>
      </c>
      <c r="D748" s="9">
        <v>17.34277777777989</v>
      </c>
      <c r="E748" s="1">
        <v>2.2040700000000002</v>
      </c>
      <c r="F748" s="1">
        <v>3.1470699999999998</v>
      </c>
      <c r="G748" s="1">
        <v>13.129</v>
      </c>
      <c r="H748" s="1">
        <v>3.98583</v>
      </c>
    </row>
    <row r="749" spans="1:8" x14ac:dyDescent="0.3">
      <c r="A749" t="e">
        <f t="shared" si="28"/>
        <v>#REF!</v>
      </c>
      <c r="B749">
        <v>1260</v>
      </c>
      <c r="C749" s="1">
        <v>22.43574413571476</v>
      </c>
      <c r="D749" s="9">
        <v>17.3900000000022</v>
      </c>
      <c r="E749" s="1">
        <v>1.8967400000000001</v>
      </c>
      <c r="F749" s="1">
        <v>3.1458200000000001</v>
      </c>
      <c r="G749" s="1">
        <v>13.0794</v>
      </c>
      <c r="H749" s="1">
        <v>4.8290699999999998</v>
      </c>
    </row>
    <row r="750" spans="1:8" x14ac:dyDescent="0.3">
      <c r="A750" t="e">
        <f t="shared" si="28"/>
        <v>#REF!</v>
      </c>
      <c r="B750">
        <v>1310</v>
      </c>
      <c r="C750" s="1">
        <v>22.87204911369065</v>
      </c>
      <c r="D750" s="9">
        <v>17.437222222224509</v>
      </c>
      <c r="E750" s="1">
        <v>1.6914199999999999</v>
      </c>
      <c r="F750" s="1">
        <v>3.3559399999999999</v>
      </c>
      <c r="G750" s="1">
        <v>13.038600000000001</v>
      </c>
      <c r="H750" s="1">
        <v>5.4443700000000002</v>
      </c>
    </row>
    <row r="751" spans="1:8" x14ac:dyDescent="0.3">
      <c r="A751" t="e">
        <f t="shared" si="28"/>
        <v>#REF!</v>
      </c>
      <c r="B751">
        <v>1360</v>
      </c>
      <c r="C751" s="1">
        <v>23.12</v>
      </c>
      <c r="D751" s="9">
        <v>17.484444444446819</v>
      </c>
      <c r="E751" s="1">
        <v>1.8007500000000001</v>
      </c>
      <c r="F751" s="1">
        <v>3.7262200000000001</v>
      </c>
      <c r="G751" s="1">
        <v>13.129099999999999</v>
      </c>
      <c r="H751" s="1">
        <v>5.7469000000000001</v>
      </c>
    </row>
    <row r="752" spans="1:8" x14ac:dyDescent="0.3">
      <c r="A752">
        <f t="shared" si="28"/>
        <v>9</v>
      </c>
      <c r="B752">
        <v>1410</v>
      </c>
      <c r="C752" s="1">
        <v>23.23</v>
      </c>
      <c r="D752" s="9">
        <v>17.531666666669128</v>
      </c>
      <c r="E752" s="1">
        <v>2.1831299999999998</v>
      </c>
      <c r="F752" s="1">
        <v>4.1070200000000003</v>
      </c>
      <c r="G752" s="1">
        <v>13.173500000000001</v>
      </c>
      <c r="H752" s="1">
        <v>5.9333299999999998</v>
      </c>
    </row>
    <row r="753" spans="1:8" x14ac:dyDescent="0.3">
      <c r="A753">
        <f t="shared" si="28"/>
        <v>0</v>
      </c>
      <c r="B753">
        <v>1460</v>
      </c>
      <c r="C753" s="1">
        <v>23.238733624280261</v>
      </c>
      <c r="D753" s="9">
        <v>17.578888888891438</v>
      </c>
      <c r="E753" s="1">
        <v>2.6979700000000002</v>
      </c>
      <c r="F753" s="1">
        <v>4.3943599999999998</v>
      </c>
      <c r="G753" s="1">
        <v>13.087999999999999</v>
      </c>
      <c r="H753" s="1">
        <v>6.10914</v>
      </c>
    </row>
    <row r="754" spans="1:8" x14ac:dyDescent="0.3">
      <c r="A754" t="e">
        <f t="shared" si="28"/>
        <v>#REF!</v>
      </c>
      <c r="B754">
        <v>1510</v>
      </c>
      <c r="C754" s="1">
        <v>23.068292031993511</v>
      </c>
      <c r="D754" s="9">
        <v>17.626111111113747</v>
      </c>
      <c r="E754" s="1">
        <v>3.0653600000000001</v>
      </c>
      <c r="F754" s="1">
        <v>4.6074900000000003</v>
      </c>
      <c r="G754" s="1">
        <v>13.0678</v>
      </c>
      <c r="H754" s="1">
        <v>6.1142500000000002</v>
      </c>
    </row>
    <row r="755" spans="1:8" x14ac:dyDescent="0.3">
      <c r="A755" t="e">
        <f t="shared" si="28"/>
        <v>#REF!</v>
      </c>
      <c r="B755">
        <v>1560</v>
      </c>
      <c r="C755" s="1">
        <v>22.797811423420601</v>
      </c>
      <c r="D755" s="9">
        <v>17.673333333336057</v>
      </c>
      <c r="E755" s="1">
        <v>3.20384</v>
      </c>
      <c r="F755" s="1">
        <v>4.8528900000000004</v>
      </c>
      <c r="G755" s="1">
        <v>13.210699999999999</v>
      </c>
      <c r="H755" s="1">
        <v>5.8184699999999996</v>
      </c>
    </row>
    <row r="756" spans="1:8" x14ac:dyDescent="0.3">
      <c r="A756" t="e">
        <f t="shared" si="28"/>
        <v>#REF!</v>
      </c>
      <c r="B756">
        <v>1610</v>
      </c>
      <c r="C756" s="1">
        <v>22.44073627613567</v>
      </c>
      <c r="D756" s="9">
        <v>17.720555555558366</v>
      </c>
      <c r="E756" s="1">
        <v>3.4864199999999999</v>
      </c>
      <c r="F756" s="1">
        <v>5.3868</v>
      </c>
      <c r="G756" s="1">
        <v>13.335800000000001</v>
      </c>
      <c r="H756" s="1">
        <v>5.2245699999999999</v>
      </c>
    </row>
    <row r="757" spans="1:8" x14ac:dyDescent="0.3">
      <c r="A757" t="e">
        <f t="shared" ref="A757:A788" si="29">A707</f>
        <v>#REF!</v>
      </c>
      <c r="B757">
        <v>1660</v>
      </c>
      <c r="C757" s="1">
        <v>22.00265876577728</v>
      </c>
      <c r="D757" s="9">
        <v>17.767777777780676</v>
      </c>
      <c r="E757" s="1">
        <v>4.1429299999999998</v>
      </c>
      <c r="F757" s="1">
        <v>6.3157800000000002</v>
      </c>
      <c r="G757" s="1">
        <v>13.3467</v>
      </c>
      <c r="H757" s="1">
        <v>4.3755199999999999</v>
      </c>
    </row>
    <row r="758" spans="1:8" x14ac:dyDescent="0.3">
      <c r="A758">
        <f t="shared" si="29"/>
        <v>7</v>
      </c>
      <c r="B758">
        <v>1710</v>
      </c>
      <c r="C758" s="1">
        <v>21.55770548760173</v>
      </c>
      <c r="D758" s="9">
        <v>17.815000000002986</v>
      </c>
      <c r="E758" s="1">
        <v>4.9815699999999996</v>
      </c>
      <c r="F758" s="1">
        <v>7.3926999999999996</v>
      </c>
      <c r="G758" s="1">
        <v>13.3973</v>
      </c>
      <c r="H758" s="1">
        <v>3.3633600000000001</v>
      </c>
    </row>
    <row r="759" spans="1:8" x14ac:dyDescent="0.3">
      <c r="A759" t="e">
        <f t="shared" si="29"/>
        <v>#REF!</v>
      </c>
      <c r="B759">
        <v>1760</v>
      </c>
      <c r="C759" s="1">
        <v>21.22134272847974</v>
      </c>
      <c r="D759" s="9">
        <v>17.862222222225295</v>
      </c>
      <c r="E759" s="1">
        <v>5.7025100000000002</v>
      </c>
      <c r="F759" s="1">
        <v>8.3378099999999993</v>
      </c>
      <c r="G759" s="1">
        <v>13.5502</v>
      </c>
      <c r="H759" s="1">
        <v>2.2692199999999998</v>
      </c>
    </row>
    <row r="760" spans="1:8" x14ac:dyDescent="0.3">
      <c r="A760" t="e">
        <f t="shared" si="29"/>
        <v>#REF!</v>
      </c>
      <c r="B760">
        <v>1810</v>
      </c>
      <c r="C760" s="1">
        <v>20.823903386518001</v>
      </c>
      <c r="D760" s="9">
        <v>17.909444444447605</v>
      </c>
      <c r="E760" s="1">
        <v>5.8926499999999997</v>
      </c>
      <c r="F760" s="1">
        <v>8.8974399999999996</v>
      </c>
      <c r="G760" s="1">
        <v>13.613899999999999</v>
      </c>
      <c r="H760" s="1">
        <v>1.13866</v>
      </c>
    </row>
    <row r="761" spans="1:8" x14ac:dyDescent="0.3">
      <c r="A761" t="e">
        <f t="shared" si="29"/>
        <v>#REF!</v>
      </c>
      <c r="B761">
        <v>1860</v>
      </c>
      <c r="C761" s="1">
        <v>20.483342797683381</v>
      </c>
      <c r="D761" s="9">
        <v>17.956666666669914</v>
      </c>
      <c r="E761" s="1">
        <v>5.3719200000000003</v>
      </c>
      <c r="F761" s="1">
        <v>9.0098500000000001</v>
      </c>
      <c r="G761" s="1">
        <v>13.505699999999999</v>
      </c>
      <c r="H761" s="1">
        <v>-1.7683299999999999E-2</v>
      </c>
    </row>
    <row r="762" spans="1:8" x14ac:dyDescent="0.3">
      <c r="A762" t="e">
        <f t="shared" si="29"/>
        <v>#REF!</v>
      </c>
      <c r="B762">
        <v>1910</v>
      </c>
      <c r="C762" s="1">
        <v>20.07317416075243</v>
      </c>
      <c r="D762" s="9">
        <v>18.003888888892224</v>
      </c>
      <c r="E762" s="1">
        <v>4.4750399999999999</v>
      </c>
      <c r="F762" s="1">
        <v>9.00441</v>
      </c>
      <c r="G762" s="1">
        <v>13.436299999999999</v>
      </c>
      <c r="H762" s="1">
        <v>-1.2519899999999999</v>
      </c>
    </row>
    <row r="763" spans="1:8" x14ac:dyDescent="0.3">
      <c r="A763" t="e">
        <f t="shared" si="29"/>
        <v>#REF!</v>
      </c>
      <c r="B763">
        <v>1960</v>
      </c>
      <c r="C763" s="1">
        <v>19.76783720381794</v>
      </c>
      <c r="D763" s="9">
        <v>18.051111111114533</v>
      </c>
      <c r="E763" s="1">
        <v>3.57551</v>
      </c>
      <c r="F763" s="1">
        <v>9.0815099999999997</v>
      </c>
      <c r="G763" s="1">
        <v>13.5259</v>
      </c>
      <c r="H763" s="1">
        <v>-2.5645099999999998</v>
      </c>
    </row>
    <row r="764" spans="1:8" x14ac:dyDescent="0.3">
      <c r="A764">
        <f t="shared" si="29"/>
        <v>5</v>
      </c>
      <c r="B764">
        <v>2010</v>
      </c>
      <c r="C764" s="1">
        <v>19.4712356915723</v>
      </c>
      <c r="D764" s="9">
        <v>18.098333333336843</v>
      </c>
      <c r="E764" s="1">
        <v>2.9927299999999999</v>
      </c>
      <c r="F764" s="1">
        <v>9.0741700000000005</v>
      </c>
      <c r="G764" s="1">
        <v>13.6333</v>
      </c>
      <c r="H764" s="1">
        <v>-3.8325</v>
      </c>
    </row>
    <row r="765" spans="1:8" x14ac:dyDescent="0.3">
      <c r="A765" t="e">
        <f t="shared" si="29"/>
        <v>#REF!</v>
      </c>
      <c r="B765">
        <v>2060</v>
      </c>
      <c r="C765" s="1">
        <v>19.298648038317499</v>
      </c>
      <c r="D765" s="9">
        <v>18.145555555559152</v>
      </c>
      <c r="E765" s="1">
        <v>2.83643</v>
      </c>
      <c r="F765" s="1">
        <v>8.8821999999999992</v>
      </c>
      <c r="G765" s="1">
        <v>13.6812</v>
      </c>
      <c r="H765" s="1">
        <v>-4.9374099999999999</v>
      </c>
    </row>
    <row r="766" spans="1:8" x14ac:dyDescent="0.3">
      <c r="A766" t="e">
        <f t="shared" si="29"/>
        <v>#REF!</v>
      </c>
      <c r="B766">
        <v>2110</v>
      </c>
      <c r="C766" s="1">
        <v>19.190000000000001</v>
      </c>
      <c r="D766" s="9">
        <v>18.192777777781462</v>
      </c>
      <c r="E766" s="1">
        <v>2.7983899999999999</v>
      </c>
      <c r="F766" s="1">
        <v>8.6372</v>
      </c>
      <c r="G766" s="1">
        <v>13.791</v>
      </c>
      <c r="H766" s="1">
        <v>-5.8002500000000001</v>
      </c>
    </row>
    <row r="767" spans="1:8" x14ac:dyDescent="0.3">
      <c r="A767" t="e">
        <f t="shared" si="29"/>
        <v>#REF!</v>
      </c>
      <c r="B767">
        <v>2160</v>
      </c>
      <c r="C767" s="1">
        <v>19.190000000000001</v>
      </c>
      <c r="D767" s="9">
        <v>18.240000000003771</v>
      </c>
      <c r="E767" s="1">
        <v>2.68859</v>
      </c>
      <c r="F767" s="1">
        <v>8.4766999999999992</v>
      </c>
      <c r="G767" s="1">
        <v>13.993499999999999</v>
      </c>
      <c r="H767" s="1">
        <v>-6.3143700000000003</v>
      </c>
    </row>
    <row r="768" spans="1:8" x14ac:dyDescent="0.3">
      <c r="A768" t="e">
        <f t="shared" si="29"/>
        <v>#REF!</v>
      </c>
      <c r="B768">
        <v>2210</v>
      </c>
      <c r="C768" s="1">
        <v>19.18</v>
      </c>
      <c r="D768" s="9">
        <v>18.287222222226081</v>
      </c>
      <c r="E768" s="1">
        <v>2.6652100000000001</v>
      </c>
      <c r="F768" s="1">
        <v>8.4906000000000006</v>
      </c>
      <c r="G768" s="1">
        <v>14.0848</v>
      </c>
      <c r="H768" s="1">
        <v>-6.30748</v>
      </c>
    </row>
    <row r="769" spans="1:8" x14ac:dyDescent="0.3">
      <c r="A769" t="e">
        <f t="shared" si="29"/>
        <v>#REF!</v>
      </c>
      <c r="B769">
        <v>2260</v>
      </c>
      <c r="C769" s="1">
        <v>19.377597512584199</v>
      </c>
      <c r="D769" s="9">
        <v>18.33444444444839</v>
      </c>
      <c r="E769" s="1">
        <v>2.80016</v>
      </c>
      <c r="F769" s="1">
        <v>8.6506299999999996</v>
      </c>
      <c r="G769" s="1">
        <v>13.973800000000001</v>
      </c>
      <c r="H769" s="1">
        <v>-5.7380199999999997</v>
      </c>
    </row>
    <row r="770" spans="1:8" x14ac:dyDescent="0.3">
      <c r="A770">
        <f t="shared" si="29"/>
        <v>3</v>
      </c>
      <c r="B770">
        <v>2310</v>
      </c>
      <c r="C770" s="1">
        <v>19.649858012336772</v>
      </c>
      <c r="D770" s="9">
        <v>18.3816666666707</v>
      </c>
      <c r="E770" s="1">
        <v>2.9016099999999998</v>
      </c>
      <c r="F770" s="1">
        <v>8.69876</v>
      </c>
      <c r="G770" s="1">
        <v>13.8583</v>
      </c>
      <c r="H770" s="1">
        <v>-4.8468999999999998</v>
      </c>
    </row>
    <row r="771" spans="1:8" x14ac:dyDescent="0.3">
      <c r="A771" t="e">
        <f t="shared" si="29"/>
        <v>#REF!</v>
      </c>
      <c r="B771">
        <v>2360</v>
      </c>
      <c r="C771" s="1">
        <v>20.053100056583581</v>
      </c>
      <c r="D771" s="9">
        <v>18.42888888889301</v>
      </c>
      <c r="E771" s="1">
        <v>2.86504</v>
      </c>
      <c r="F771" s="1">
        <v>8.48752</v>
      </c>
      <c r="G771" s="1">
        <v>13.8459</v>
      </c>
      <c r="H771" s="1">
        <v>-3.8354900000000001</v>
      </c>
    </row>
    <row r="772" spans="1:8" x14ac:dyDescent="0.3">
      <c r="A772" t="e">
        <f t="shared" si="29"/>
        <v>#REF!</v>
      </c>
      <c r="B772">
        <v>2410</v>
      </c>
      <c r="C772" s="1">
        <v>20.563367069486429</v>
      </c>
      <c r="D772" s="9">
        <v>18.476111111115319</v>
      </c>
      <c r="E772" s="1">
        <v>2.8294800000000002</v>
      </c>
      <c r="F772" s="1">
        <v>8.1539400000000004</v>
      </c>
      <c r="G772" s="1">
        <v>13.7888</v>
      </c>
      <c r="H772" s="1">
        <v>-2.7549100000000002</v>
      </c>
    </row>
    <row r="773" spans="1:8" x14ac:dyDescent="0.3">
      <c r="A773" t="e">
        <f t="shared" si="29"/>
        <v>#REF!</v>
      </c>
      <c r="B773">
        <v>2460</v>
      </c>
      <c r="C773" s="1">
        <v>21.159345452460158</v>
      </c>
      <c r="D773" s="9">
        <v>18.523333333337629</v>
      </c>
      <c r="E773" s="1">
        <v>2.8236500000000002</v>
      </c>
      <c r="F773" s="1">
        <v>7.8800600000000003</v>
      </c>
      <c r="G773" s="1">
        <v>13.6473</v>
      </c>
      <c r="H773" s="1">
        <v>-1.62243</v>
      </c>
    </row>
    <row r="774" spans="1:8" x14ac:dyDescent="0.3">
      <c r="A774">
        <f t="shared" si="29"/>
        <v>10</v>
      </c>
      <c r="B774">
        <v>2510</v>
      </c>
      <c r="C774" s="1">
        <v>21.66808100792511</v>
      </c>
      <c r="D774" s="9">
        <v>18.570555555559938</v>
      </c>
      <c r="E774" s="1">
        <v>2.5920899999999998</v>
      </c>
      <c r="F774" s="1">
        <v>7.8676000000000004</v>
      </c>
      <c r="G774" s="1">
        <v>13.663</v>
      </c>
      <c r="H774" s="1">
        <v>-0.42375000000000002</v>
      </c>
    </row>
    <row r="775" spans="1:8" x14ac:dyDescent="0.3">
      <c r="A775" t="e">
        <f t="shared" si="29"/>
        <v>#REF!</v>
      </c>
      <c r="B775">
        <v>2560</v>
      </c>
      <c r="C775" s="1">
        <v>22.133355782944349</v>
      </c>
      <c r="D775" s="9">
        <v>18.617777777782248</v>
      </c>
      <c r="E775" s="1">
        <v>2.0121600000000002</v>
      </c>
      <c r="F775" s="1">
        <v>8.1408500000000004</v>
      </c>
      <c r="G775" s="1">
        <v>13.9422</v>
      </c>
      <c r="H775" s="1">
        <v>0.83338800000000002</v>
      </c>
    </row>
    <row r="776" spans="1:8" x14ac:dyDescent="0.3">
      <c r="A776">
        <f t="shared" si="29"/>
        <v>1</v>
      </c>
      <c r="B776">
        <v>2610</v>
      </c>
      <c r="C776" s="1">
        <v>22.478185748068281</v>
      </c>
      <c r="D776" s="9">
        <v>18.665000000004557</v>
      </c>
      <c r="E776" s="1">
        <v>1.30138</v>
      </c>
      <c r="F776" s="1">
        <v>8.3591899999999999</v>
      </c>
      <c r="G776" s="1">
        <v>14.247999999999999</v>
      </c>
      <c r="H776" s="1">
        <v>2.0891099999999998</v>
      </c>
    </row>
    <row r="777" spans="1:8" x14ac:dyDescent="0.3">
      <c r="A777" t="e">
        <f t="shared" si="29"/>
        <v>#REF!</v>
      </c>
      <c r="B777">
        <v>2660</v>
      </c>
      <c r="C777" s="1">
        <v>22.85763588988247</v>
      </c>
      <c r="D777" s="9">
        <v>18.712222222226867</v>
      </c>
      <c r="E777" s="1">
        <v>0.73754600000000003</v>
      </c>
      <c r="F777" s="1">
        <v>8.2939500000000006</v>
      </c>
      <c r="G777" s="1">
        <v>14.3565</v>
      </c>
      <c r="H777" s="1">
        <v>3.2690999999999999</v>
      </c>
    </row>
    <row r="778" spans="1:8" x14ac:dyDescent="0.3">
      <c r="A778" t="e">
        <f t="shared" si="29"/>
        <v>#REF!</v>
      </c>
      <c r="B778">
        <v>2710</v>
      </c>
      <c r="C778" s="1">
        <v>23.313144874725609</v>
      </c>
      <c r="D778" s="9">
        <v>18.759444444449176</v>
      </c>
      <c r="E778" s="1">
        <v>0.63577799999999995</v>
      </c>
      <c r="F778" s="1">
        <v>8.0343800000000005</v>
      </c>
      <c r="G778" s="1">
        <v>14.154500000000001</v>
      </c>
      <c r="H778" s="1">
        <v>4.2827299999999999</v>
      </c>
    </row>
    <row r="779" spans="1:8" x14ac:dyDescent="0.3">
      <c r="A779" t="e">
        <f t="shared" si="29"/>
        <v>#REF!</v>
      </c>
      <c r="B779">
        <v>2760</v>
      </c>
      <c r="C779" s="1">
        <v>23.7434255384062</v>
      </c>
      <c r="D779" s="9">
        <v>18.806666666671486</v>
      </c>
      <c r="E779" s="1">
        <v>1.1191500000000001</v>
      </c>
      <c r="F779" s="1">
        <v>7.7949000000000002</v>
      </c>
      <c r="G779" s="1">
        <v>13.6792</v>
      </c>
      <c r="H779" s="1">
        <v>5.0532399999999997</v>
      </c>
    </row>
    <row r="780" spans="1:8" x14ac:dyDescent="0.3">
      <c r="A780">
        <f t="shared" si="29"/>
        <v>8</v>
      </c>
      <c r="B780">
        <v>2810</v>
      </c>
      <c r="C780" s="1">
        <v>24.042144893293639</v>
      </c>
      <c r="D780" s="9">
        <v>18.853888888893795</v>
      </c>
      <c r="E780" s="1">
        <v>1.91438</v>
      </c>
      <c r="F780" s="1">
        <v>7.9639899999999999</v>
      </c>
      <c r="G780" s="1">
        <v>13.242800000000001</v>
      </c>
      <c r="H780" s="1">
        <v>5.5361099999999999</v>
      </c>
    </row>
    <row r="781" spans="1:8" x14ac:dyDescent="0.3">
      <c r="A781" t="e">
        <f t="shared" si="29"/>
        <v>#REF!</v>
      </c>
      <c r="B781">
        <v>2860</v>
      </c>
      <c r="C781" s="1">
        <v>24.24655617577104</v>
      </c>
      <c r="D781" s="9">
        <v>18.901111111116105</v>
      </c>
      <c r="E781" s="1">
        <v>2.7057500000000001</v>
      </c>
      <c r="F781" s="1">
        <v>8.7542600000000004</v>
      </c>
      <c r="G781" s="1">
        <v>13.139200000000001</v>
      </c>
      <c r="H781" s="1">
        <v>5.7797099999999997</v>
      </c>
    </row>
    <row r="782" spans="1:8" x14ac:dyDescent="0.3">
      <c r="A782" t="e">
        <f t="shared" si="29"/>
        <v>#REF!</v>
      </c>
      <c r="B782">
        <v>2910</v>
      </c>
      <c r="C782" s="1">
        <v>24.221904984996129</v>
      </c>
      <c r="D782" s="9">
        <v>18.948333333338415</v>
      </c>
      <c r="E782" s="1">
        <v>3.1895899999999999</v>
      </c>
      <c r="F782" s="1">
        <v>9.9807100000000002</v>
      </c>
      <c r="G782" s="1">
        <v>13.5589</v>
      </c>
      <c r="H782" s="1">
        <v>6.0089100000000002</v>
      </c>
    </row>
    <row r="783" spans="1:8" x14ac:dyDescent="0.3">
      <c r="A783" t="e">
        <f t="shared" si="29"/>
        <v>#REF!</v>
      </c>
      <c r="B783">
        <v>2960</v>
      </c>
      <c r="C783" s="1">
        <v>24.101952422864759</v>
      </c>
      <c r="D783" s="9">
        <v>18.995555555560724</v>
      </c>
      <c r="E783" s="1">
        <v>3.3042799999999999</v>
      </c>
      <c r="F783" s="1">
        <v>11.3668</v>
      </c>
      <c r="G783" s="1">
        <v>14.5259</v>
      </c>
      <c r="H783" s="1">
        <v>6.3479200000000002</v>
      </c>
    </row>
    <row r="784" spans="1:8" x14ac:dyDescent="0.3">
      <c r="A784" t="e">
        <f t="shared" si="29"/>
        <v>#REF!</v>
      </c>
      <c r="B784">
        <v>3010</v>
      </c>
      <c r="C784" s="1">
        <v>23.99</v>
      </c>
      <c r="D784" s="9">
        <v>19.042777777783034</v>
      </c>
      <c r="E784" s="1">
        <v>3.46957</v>
      </c>
      <c r="F784" s="1">
        <v>12.548299999999999</v>
      </c>
      <c r="G784" s="1">
        <v>15.757400000000001</v>
      </c>
      <c r="H784" s="1">
        <v>6.68004</v>
      </c>
    </row>
    <row r="785" spans="1:8" x14ac:dyDescent="0.3">
      <c r="A785" t="e">
        <f t="shared" si="29"/>
        <v>#REF!</v>
      </c>
      <c r="B785">
        <v>3060</v>
      </c>
      <c r="C785" s="1">
        <v>23.84</v>
      </c>
      <c r="D785" s="9">
        <v>19.090000000005343</v>
      </c>
      <c r="E785" s="1">
        <v>3.9959799999999999</v>
      </c>
      <c r="F785" s="1">
        <v>13.208500000000001</v>
      </c>
      <c r="G785" s="1">
        <v>16.928899999999999</v>
      </c>
      <c r="H785" s="1">
        <v>6.9689199999999998</v>
      </c>
    </row>
    <row r="786" spans="1:8" x14ac:dyDescent="0.3">
      <c r="A786">
        <f t="shared" si="29"/>
        <v>6</v>
      </c>
      <c r="B786">
        <v>3110</v>
      </c>
      <c r="C786" s="1">
        <v>23.47444733660237</v>
      </c>
      <c r="D786" s="9">
        <v>19.137222222227653</v>
      </c>
      <c r="E786" s="1">
        <v>4.8558899999999996</v>
      </c>
      <c r="F786" s="1">
        <v>13.162100000000001</v>
      </c>
      <c r="G786" s="1">
        <v>17.715900000000001</v>
      </c>
      <c r="H786" s="1">
        <v>7.3900800000000002</v>
      </c>
    </row>
    <row r="787" spans="1:8" x14ac:dyDescent="0.3">
      <c r="A787" t="e">
        <f t="shared" si="29"/>
        <v>#REF!</v>
      </c>
      <c r="B787">
        <v>3160</v>
      </c>
      <c r="C787" s="1">
        <v>23.071619455410179</v>
      </c>
      <c r="D787" s="9">
        <v>19.184444444449962</v>
      </c>
      <c r="E787" s="1">
        <v>5.9214500000000001</v>
      </c>
      <c r="F787" s="1">
        <v>12.426600000000001</v>
      </c>
      <c r="G787" s="1">
        <v>17.956499999999998</v>
      </c>
      <c r="H787" s="1">
        <v>8.0726999999999993</v>
      </c>
    </row>
    <row r="788" spans="1:8" x14ac:dyDescent="0.3">
      <c r="A788" t="e">
        <f t="shared" si="29"/>
        <v>#REF!</v>
      </c>
      <c r="B788">
        <v>3210</v>
      </c>
      <c r="C788" s="1">
        <v>22.711341615520421</v>
      </c>
      <c r="D788" s="9">
        <v>19.231666666672272</v>
      </c>
      <c r="E788" s="1">
        <v>6.9637799999999999</v>
      </c>
      <c r="F788" s="1">
        <v>11.3462</v>
      </c>
      <c r="G788" s="1">
        <v>17.7791</v>
      </c>
      <c r="H788" s="1">
        <v>9.0176800000000004</v>
      </c>
    </row>
    <row r="789" spans="1:8" x14ac:dyDescent="0.3">
      <c r="A789" t="e">
        <f t="shared" ref="A789:A795" si="30">A739</f>
        <v>#REF!</v>
      </c>
      <c r="B789">
        <v>3260</v>
      </c>
      <c r="C789" s="1">
        <v>22.337305100064519</v>
      </c>
      <c r="D789" s="9">
        <v>19.278888888894581</v>
      </c>
      <c r="E789" s="1">
        <v>7.8715700000000002</v>
      </c>
      <c r="F789" s="1">
        <v>10.276400000000001</v>
      </c>
      <c r="G789" s="1">
        <v>17.368500000000001</v>
      </c>
      <c r="H789" s="1">
        <v>10.185600000000001</v>
      </c>
    </row>
    <row r="790" spans="1:8" x14ac:dyDescent="0.3">
      <c r="A790" t="e">
        <f t="shared" si="30"/>
        <v>#REF!</v>
      </c>
      <c r="B790">
        <v>3310</v>
      </c>
      <c r="C790" s="1">
        <v>21.94449995955225</v>
      </c>
      <c r="D790" s="9">
        <v>19.326111111116891</v>
      </c>
      <c r="E790" s="1">
        <v>8.88415</v>
      </c>
      <c r="F790" s="1">
        <v>9.7882700000000007</v>
      </c>
      <c r="G790" s="1">
        <v>17.045500000000001</v>
      </c>
      <c r="H790" s="1">
        <v>11.5128</v>
      </c>
    </row>
    <row r="791" spans="1:8" x14ac:dyDescent="0.3">
      <c r="A791" t="e">
        <f t="shared" si="30"/>
        <v>#REF!</v>
      </c>
      <c r="B791">
        <v>3360</v>
      </c>
      <c r="C791" s="1">
        <v>21.632542040263889</v>
      </c>
      <c r="D791" s="9">
        <v>19.3733333333392</v>
      </c>
      <c r="E791" s="1">
        <v>10.4232</v>
      </c>
      <c r="F791" s="1">
        <v>10.8164</v>
      </c>
      <c r="G791" s="1">
        <v>17.1785</v>
      </c>
      <c r="H791" s="1">
        <v>12.9481</v>
      </c>
    </row>
    <row r="792" spans="1:8" x14ac:dyDescent="0.3">
      <c r="A792">
        <f t="shared" si="30"/>
        <v>4</v>
      </c>
      <c r="B792">
        <v>3410</v>
      </c>
      <c r="C792" s="1">
        <v>21.29877107918588</v>
      </c>
      <c r="D792" s="9">
        <v>19.42055555556151</v>
      </c>
      <c r="E792" s="1">
        <v>12.2125</v>
      </c>
      <c r="F792" s="1">
        <v>12.402100000000001</v>
      </c>
      <c r="G792" s="1">
        <v>17.476400000000002</v>
      </c>
      <c r="H792" s="1">
        <v>14.364699999999999</v>
      </c>
    </row>
    <row r="793" spans="1:8" x14ac:dyDescent="0.3">
      <c r="A793" t="e">
        <f t="shared" si="30"/>
        <v>#REF!</v>
      </c>
      <c r="B793">
        <v>3460</v>
      </c>
      <c r="C793" s="1">
        <v>20.825323569283981</v>
      </c>
      <c r="D793" s="9">
        <v>19.467777777783819</v>
      </c>
      <c r="E793" s="1">
        <v>14.103</v>
      </c>
      <c r="F793" s="1">
        <v>14.1919</v>
      </c>
      <c r="G793" s="1">
        <v>17.909500000000001</v>
      </c>
      <c r="H793" s="1">
        <v>15.759399999999999</v>
      </c>
    </row>
    <row r="794" spans="1:8" x14ac:dyDescent="0.3">
      <c r="A794" t="e">
        <f t="shared" si="30"/>
        <v>#REF!</v>
      </c>
      <c r="B794">
        <v>3510</v>
      </c>
      <c r="C794" s="1">
        <v>20.344621452041871</v>
      </c>
      <c r="D794" s="9">
        <v>19.515000000006129</v>
      </c>
      <c r="E794" s="1">
        <v>16.043900000000001</v>
      </c>
      <c r="F794" s="1">
        <v>16.0807</v>
      </c>
      <c r="G794" s="1">
        <v>18.4468</v>
      </c>
      <c r="H794" s="1">
        <v>17.139500000000002</v>
      </c>
    </row>
    <row r="795" spans="1:8" x14ac:dyDescent="0.3">
      <c r="A795" t="e">
        <f t="shared" si="30"/>
        <v>#REF!</v>
      </c>
      <c r="B795">
        <v>3560</v>
      </c>
      <c r="C795" s="1">
        <v>19.96071059726728</v>
      </c>
      <c r="D795" s="9">
        <v>19.562222222228439</v>
      </c>
      <c r="E795" s="1">
        <v>18.012599999999999</v>
      </c>
      <c r="F795" s="1">
        <v>18.023</v>
      </c>
      <c r="G795" s="1">
        <v>19.062799999999999</v>
      </c>
      <c r="H795" s="1">
        <v>18.509499999999999</v>
      </c>
    </row>
    <row r="796" spans="1:8" x14ac:dyDescent="0.3">
      <c r="A796">
        <v>11</v>
      </c>
      <c r="B796">
        <v>11</v>
      </c>
      <c r="C796" s="1">
        <v>16.18781772376774</v>
      </c>
      <c r="D796" s="9">
        <v>16.210388888888907</v>
      </c>
      <c r="E796" s="1">
        <v>15.791600000000001</v>
      </c>
      <c r="F796" s="1">
        <v>15.7643</v>
      </c>
      <c r="G796" s="1">
        <v>16.064499999999999</v>
      </c>
      <c r="H796" s="1">
        <v>15.7902</v>
      </c>
    </row>
    <row r="797" spans="1:8" x14ac:dyDescent="0.3">
      <c r="A797" t="e">
        <f t="shared" ref="A797:A828" si="31">A747</f>
        <v>#REF!</v>
      </c>
      <c r="B797">
        <v>61</v>
      </c>
      <c r="C797" s="1">
        <v>16.13</v>
      </c>
      <c r="D797" s="9">
        <v>16.257611111111217</v>
      </c>
      <c r="E797" s="1">
        <v>13.9482</v>
      </c>
      <c r="F797" s="1">
        <v>13.7995</v>
      </c>
      <c r="G797" s="1">
        <v>15.480600000000001</v>
      </c>
      <c r="H797" s="1">
        <v>13.9221</v>
      </c>
    </row>
    <row r="798" spans="1:8" x14ac:dyDescent="0.3">
      <c r="A798">
        <f t="shared" si="31"/>
        <v>2</v>
      </c>
      <c r="B798">
        <v>111</v>
      </c>
      <c r="C798" s="1">
        <v>16.245472827929049</v>
      </c>
      <c r="D798" s="9">
        <v>16.304833333333526</v>
      </c>
      <c r="E798" s="1">
        <v>12.132199999999999</v>
      </c>
      <c r="F798" s="1">
        <v>11.8718</v>
      </c>
      <c r="G798" s="1">
        <v>14.9582</v>
      </c>
      <c r="H798" s="1">
        <v>12.044499999999999</v>
      </c>
    </row>
    <row r="799" spans="1:8" x14ac:dyDescent="0.3">
      <c r="A799" t="e">
        <f t="shared" si="31"/>
        <v>#REF!</v>
      </c>
      <c r="B799">
        <v>161</v>
      </c>
      <c r="C799" s="1">
        <v>16.459375421395929</v>
      </c>
      <c r="D799" s="9">
        <v>16.352055555555836</v>
      </c>
      <c r="E799" s="1">
        <v>10.3566</v>
      </c>
      <c r="F799" s="1">
        <v>10.008800000000001</v>
      </c>
      <c r="G799" s="1">
        <v>14.5129</v>
      </c>
      <c r="H799" s="1">
        <v>10.156599999999999</v>
      </c>
    </row>
    <row r="800" spans="1:8" x14ac:dyDescent="0.3">
      <c r="A800" t="e">
        <f t="shared" si="31"/>
        <v>#REF!</v>
      </c>
      <c r="B800">
        <v>211</v>
      </c>
      <c r="C800" s="1">
        <v>16.81840177894809</v>
      </c>
      <c r="D800" s="9">
        <v>16.399277777778146</v>
      </c>
      <c r="E800" s="1">
        <v>8.6452000000000009</v>
      </c>
      <c r="F800" s="1">
        <v>8.2695500000000006</v>
      </c>
      <c r="G800" s="1">
        <v>14.162100000000001</v>
      </c>
      <c r="H800" s="1">
        <v>8.2605400000000007</v>
      </c>
    </row>
    <row r="801" spans="1:8" x14ac:dyDescent="0.3">
      <c r="A801" t="e">
        <f t="shared" si="31"/>
        <v>#REF!</v>
      </c>
      <c r="B801">
        <v>261</v>
      </c>
      <c r="C801" s="1">
        <v>16.94186118811956</v>
      </c>
      <c r="D801" s="9">
        <v>16.446500000000455</v>
      </c>
      <c r="E801" s="1">
        <v>7.04392</v>
      </c>
      <c r="F801" s="1">
        <v>6.7945399999999996</v>
      </c>
      <c r="G801" s="1">
        <v>13.902200000000001</v>
      </c>
      <c r="H801" s="1">
        <v>6.3709199999999999</v>
      </c>
    </row>
    <row r="802" spans="1:8" x14ac:dyDescent="0.3">
      <c r="A802">
        <f t="shared" si="31"/>
        <v>9</v>
      </c>
      <c r="B802">
        <v>311</v>
      </c>
      <c r="C802" s="1">
        <v>17.121380528999609</v>
      </c>
      <c r="D802" s="9">
        <v>16.493722222222765</v>
      </c>
      <c r="E802" s="1">
        <v>5.7848600000000001</v>
      </c>
      <c r="F802" s="1">
        <v>6.1956800000000003</v>
      </c>
      <c r="G802" s="1">
        <v>13.832000000000001</v>
      </c>
      <c r="H802" s="1">
        <v>4.7452399999999999</v>
      </c>
    </row>
    <row r="803" spans="1:8" x14ac:dyDescent="0.3">
      <c r="A803">
        <f t="shared" si="31"/>
        <v>0</v>
      </c>
      <c r="B803">
        <v>361</v>
      </c>
      <c r="C803" s="1">
        <v>17.350000000000001</v>
      </c>
      <c r="D803" s="9">
        <v>16.540944444445074</v>
      </c>
      <c r="E803" s="1">
        <v>4.976</v>
      </c>
      <c r="F803" s="1">
        <v>6.4728599999999998</v>
      </c>
      <c r="G803" s="1">
        <v>14.0198</v>
      </c>
      <c r="H803" s="1">
        <v>3.6192899999999999</v>
      </c>
    </row>
    <row r="804" spans="1:8" x14ac:dyDescent="0.3">
      <c r="A804" t="e">
        <f t="shared" si="31"/>
        <v>#REF!</v>
      </c>
      <c r="B804">
        <v>411</v>
      </c>
      <c r="C804" s="1">
        <v>17.513041466020351</v>
      </c>
      <c r="D804" s="9">
        <v>16.588166666667384</v>
      </c>
      <c r="E804" s="1">
        <v>4.4341299999999997</v>
      </c>
      <c r="F804" s="1">
        <v>6.7264699999999999</v>
      </c>
      <c r="G804" s="1">
        <v>14.0503</v>
      </c>
      <c r="H804" s="1">
        <v>2.8563200000000002</v>
      </c>
    </row>
    <row r="805" spans="1:8" x14ac:dyDescent="0.3">
      <c r="A805" t="e">
        <f t="shared" si="31"/>
        <v>#REF!</v>
      </c>
      <c r="B805">
        <v>461</v>
      </c>
      <c r="C805" s="1">
        <v>17.84</v>
      </c>
      <c r="D805" s="9">
        <v>16.635388888889693</v>
      </c>
      <c r="E805" s="1">
        <v>4.0548700000000002</v>
      </c>
      <c r="F805" s="1">
        <v>6.6399800000000004</v>
      </c>
      <c r="G805" s="1">
        <v>13.8055</v>
      </c>
      <c r="H805" s="1">
        <v>2.38205</v>
      </c>
    </row>
    <row r="806" spans="1:8" x14ac:dyDescent="0.3">
      <c r="A806" t="e">
        <f t="shared" si="31"/>
        <v>#REF!</v>
      </c>
      <c r="B806">
        <v>511</v>
      </c>
      <c r="C806" s="1">
        <v>18.002275134059559</v>
      </c>
      <c r="D806" s="9">
        <v>16.682611111112003</v>
      </c>
      <c r="E806" s="1">
        <v>3.53321</v>
      </c>
      <c r="F806" s="1">
        <v>6.1425299999999998</v>
      </c>
      <c r="G806" s="1">
        <v>13.4587</v>
      </c>
      <c r="H806" s="1">
        <v>1.88324</v>
      </c>
    </row>
    <row r="807" spans="1:8" x14ac:dyDescent="0.3">
      <c r="A807" t="e">
        <f t="shared" si="31"/>
        <v>#REF!</v>
      </c>
      <c r="B807">
        <v>561</v>
      </c>
      <c r="C807" s="1">
        <v>18.214786695402669</v>
      </c>
      <c r="D807" s="9">
        <v>16.729833333334312</v>
      </c>
      <c r="E807" s="1">
        <v>2.7048899999999998</v>
      </c>
      <c r="F807" s="1">
        <v>5.2686099999999998</v>
      </c>
      <c r="G807" s="1">
        <v>13.130100000000001</v>
      </c>
      <c r="H807" s="1">
        <v>1.1804399999999999</v>
      </c>
    </row>
    <row r="808" spans="1:8" x14ac:dyDescent="0.3">
      <c r="A808">
        <f t="shared" si="31"/>
        <v>7</v>
      </c>
      <c r="B808">
        <v>611</v>
      </c>
      <c r="C808" s="1">
        <v>18.420000000000002</v>
      </c>
      <c r="D808" s="9">
        <v>16.777055555556622</v>
      </c>
      <c r="E808" s="1">
        <v>1.78579</v>
      </c>
      <c r="F808" s="1">
        <v>4.2363900000000001</v>
      </c>
      <c r="G808" s="1">
        <v>12.746600000000001</v>
      </c>
      <c r="H808" s="1">
        <v>0.46940599999999999</v>
      </c>
    </row>
    <row r="809" spans="1:8" x14ac:dyDescent="0.3">
      <c r="A809" t="e">
        <f t="shared" si="31"/>
        <v>#REF!</v>
      </c>
      <c r="B809">
        <v>661</v>
      </c>
      <c r="C809" s="1">
        <v>18.481997767499919</v>
      </c>
      <c r="D809" s="9">
        <v>16.824277777778931</v>
      </c>
      <c r="E809" s="1">
        <v>1.0311300000000001</v>
      </c>
      <c r="F809" s="1">
        <v>3.2823699999999998</v>
      </c>
      <c r="G809" s="1">
        <v>12.325100000000001</v>
      </c>
      <c r="H809" s="1">
        <v>1.38198E-2</v>
      </c>
    </row>
    <row r="810" spans="1:8" x14ac:dyDescent="0.3">
      <c r="A810" t="e">
        <f t="shared" si="31"/>
        <v>#REF!</v>
      </c>
      <c r="B810">
        <v>711</v>
      </c>
      <c r="C810" s="1">
        <v>18.71</v>
      </c>
      <c r="D810" s="9">
        <v>16.871500000001241</v>
      </c>
      <c r="E810" s="1">
        <v>0.66112300000000002</v>
      </c>
      <c r="F810" s="1">
        <v>2.6137899999999998</v>
      </c>
      <c r="G810" s="1">
        <v>12.12</v>
      </c>
      <c r="H810" s="1">
        <v>0.107095</v>
      </c>
    </row>
    <row r="811" spans="1:8" x14ac:dyDescent="0.3">
      <c r="A811" t="e">
        <f t="shared" si="31"/>
        <v>#REF!</v>
      </c>
      <c r="B811">
        <v>761</v>
      </c>
      <c r="C811" s="1">
        <v>18.829999999999998</v>
      </c>
      <c r="D811" s="9">
        <v>16.91872222222355</v>
      </c>
      <c r="E811" s="1">
        <v>0.73760400000000004</v>
      </c>
      <c r="F811" s="1">
        <v>2.2808000000000002</v>
      </c>
      <c r="G811" s="1">
        <v>12.283300000000001</v>
      </c>
      <c r="H811" s="1">
        <v>0.84297999999999995</v>
      </c>
    </row>
    <row r="812" spans="1:8" x14ac:dyDescent="0.3">
      <c r="A812" t="e">
        <f t="shared" si="31"/>
        <v>#REF!</v>
      </c>
      <c r="B812">
        <v>811</v>
      </c>
      <c r="C812" s="1">
        <v>19.22928759738959</v>
      </c>
      <c r="D812" s="9">
        <v>16.96594444444586</v>
      </c>
      <c r="E812" s="1">
        <v>1.00929</v>
      </c>
      <c r="F812" s="1">
        <v>2.0224799999999998</v>
      </c>
      <c r="G812" s="1">
        <v>12.697699999999999</v>
      </c>
      <c r="H812" s="1">
        <v>1.9012500000000001</v>
      </c>
    </row>
    <row r="813" spans="1:8" x14ac:dyDescent="0.3">
      <c r="A813" t="e">
        <f t="shared" si="31"/>
        <v>#REF!</v>
      </c>
      <c r="B813">
        <v>861</v>
      </c>
      <c r="C813" s="1">
        <v>19.45959155916081</v>
      </c>
      <c r="D813" s="9">
        <v>17.01316666666817</v>
      </c>
      <c r="E813" s="1">
        <v>1.29756</v>
      </c>
      <c r="F813" s="1">
        <v>1.72485</v>
      </c>
      <c r="G813" s="1">
        <v>13.156599999999999</v>
      </c>
      <c r="H813" s="1">
        <v>2.9069500000000001</v>
      </c>
    </row>
    <row r="814" spans="1:8" x14ac:dyDescent="0.3">
      <c r="A814">
        <f t="shared" si="31"/>
        <v>5</v>
      </c>
      <c r="B814">
        <v>911</v>
      </c>
      <c r="C814" s="1">
        <v>19.737165718063579</v>
      </c>
      <c r="D814" s="9">
        <v>17.060388888890479</v>
      </c>
      <c r="E814" s="1">
        <v>1.6485000000000001</v>
      </c>
      <c r="F814" s="1">
        <v>1.6485300000000001</v>
      </c>
      <c r="G814" s="1">
        <v>13.3405</v>
      </c>
      <c r="H814" s="1">
        <v>3.4771999999999998</v>
      </c>
    </row>
    <row r="815" spans="1:8" x14ac:dyDescent="0.3">
      <c r="A815" t="e">
        <f t="shared" si="31"/>
        <v>#REF!</v>
      </c>
      <c r="B815">
        <v>961</v>
      </c>
      <c r="C815" s="1">
        <v>20.063602463770049</v>
      </c>
      <c r="D815" s="9">
        <v>17.107611111112789</v>
      </c>
      <c r="E815" s="1">
        <v>2.0474600000000001</v>
      </c>
      <c r="F815" s="1">
        <v>1.9565699999999999</v>
      </c>
      <c r="G815" s="1">
        <v>13.124599999999999</v>
      </c>
      <c r="H815" s="1">
        <v>3.4384800000000002</v>
      </c>
    </row>
    <row r="816" spans="1:8" x14ac:dyDescent="0.3">
      <c r="A816" t="e">
        <f t="shared" si="31"/>
        <v>#REF!</v>
      </c>
      <c r="B816">
        <v>1011</v>
      </c>
      <c r="C816" s="1">
        <v>20.4603860419627</v>
      </c>
      <c r="D816" s="9">
        <v>17.154833333335098</v>
      </c>
      <c r="E816" s="1">
        <v>2.30179</v>
      </c>
      <c r="F816" s="1">
        <v>2.5213199999999998</v>
      </c>
      <c r="G816" s="1">
        <v>12.8086</v>
      </c>
      <c r="H816" s="1">
        <v>3.0432100000000002</v>
      </c>
    </row>
    <row r="817" spans="1:8" x14ac:dyDescent="0.3">
      <c r="A817" t="e">
        <f t="shared" si="31"/>
        <v>#REF!</v>
      </c>
      <c r="B817">
        <v>1061</v>
      </c>
      <c r="C817" s="1">
        <v>20.91303172027764</v>
      </c>
      <c r="D817" s="9">
        <v>17.202055555557408</v>
      </c>
      <c r="E817" s="1">
        <v>2.3282099999999999</v>
      </c>
      <c r="F817" s="1">
        <v>3.1237200000000001</v>
      </c>
      <c r="G817" s="1">
        <v>12.6515</v>
      </c>
      <c r="H817" s="1">
        <v>2.6301199999999998</v>
      </c>
    </row>
    <row r="818" spans="1:8" x14ac:dyDescent="0.3">
      <c r="A818" t="e">
        <f t="shared" si="31"/>
        <v>#REF!</v>
      </c>
      <c r="B818">
        <v>1111</v>
      </c>
      <c r="C818" s="1">
        <v>21.295047986463629</v>
      </c>
      <c r="D818" s="9">
        <v>17.249277777779717</v>
      </c>
      <c r="E818" s="1">
        <v>2.3078699999999999</v>
      </c>
      <c r="F818" s="1">
        <v>3.4327000000000001</v>
      </c>
      <c r="G818" s="1">
        <v>12.724500000000001</v>
      </c>
      <c r="H818" s="1">
        <v>2.6067900000000002</v>
      </c>
    </row>
    <row r="819" spans="1:8" x14ac:dyDescent="0.3">
      <c r="A819" t="e">
        <f t="shared" si="31"/>
        <v>#REF!</v>
      </c>
      <c r="B819">
        <v>1161</v>
      </c>
      <c r="C819" s="1">
        <v>21.586275068150659</v>
      </c>
      <c r="D819" s="9">
        <v>17.296500000002027</v>
      </c>
      <c r="E819" s="1">
        <v>2.3240500000000002</v>
      </c>
      <c r="F819" s="1">
        <v>3.32877</v>
      </c>
      <c r="G819" s="1">
        <v>12.972200000000001</v>
      </c>
      <c r="H819" s="1">
        <v>3.1578200000000001</v>
      </c>
    </row>
    <row r="820" spans="1:8" x14ac:dyDescent="0.3">
      <c r="A820">
        <f t="shared" si="31"/>
        <v>3</v>
      </c>
      <c r="B820">
        <v>1211</v>
      </c>
      <c r="C820" s="1">
        <v>22.025431349312999</v>
      </c>
      <c r="D820" s="9">
        <v>17.343722222224336</v>
      </c>
      <c r="E820" s="1">
        <v>2.1990699999999999</v>
      </c>
      <c r="F820" s="1">
        <v>3.1449400000000001</v>
      </c>
      <c r="G820" s="1">
        <v>13.1296</v>
      </c>
      <c r="H820" s="1">
        <v>4.00352</v>
      </c>
    </row>
    <row r="821" spans="1:8" x14ac:dyDescent="0.3">
      <c r="A821" t="e">
        <f t="shared" si="31"/>
        <v>#REF!</v>
      </c>
      <c r="B821">
        <v>1261</v>
      </c>
      <c r="C821" s="1">
        <v>22.44224649224925</v>
      </c>
      <c r="D821" s="9">
        <v>17.390944444446646</v>
      </c>
      <c r="E821" s="1">
        <v>1.89053</v>
      </c>
      <c r="F821" s="1">
        <v>3.1479699999999999</v>
      </c>
      <c r="G821" s="1">
        <v>13.0776</v>
      </c>
      <c r="H821" s="1">
        <v>4.8443300000000002</v>
      </c>
    </row>
    <row r="822" spans="1:8" x14ac:dyDescent="0.3">
      <c r="A822" t="e">
        <f t="shared" si="31"/>
        <v>#REF!</v>
      </c>
      <c r="B822">
        <v>1311</v>
      </c>
      <c r="C822" s="1">
        <v>22.876239701630141</v>
      </c>
      <c r="D822" s="9">
        <v>17.438166666668955</v>
      </c>
      <c r="E822" s="1">
        <v>1.69045</v>
      </c>
      <c r="F822" s="1">
        <v>3.36219</v>
      </c>
      <c r="G822" s="1">
        <v>13.039400000000001</v>
      </c>
      <c r="H822" s="1">
        <v>5.4530599999999998</v>
      </c>
    </row>
    <row r="823" spans="1:8" x14ac:dyDescent="0.3">
      <c r="A823" t="e">
        <f t="shared" si="31"/>
        <v>#REF!</v>
      </c>
      <c r="B823">
        <v>1361</v>
      </c>
      <c r="C823" s="1">
        <v>23.12</v>
      </c>
      <c r="D823" s="9">
        <v>17.485388888891265</v>
      </c>
      <c r="E823" s="1">
        <v>1.8059700000000001</v>
      </c>
      <c r="F823" s="1">
        <v>3.73427</v>
      </c>
      <c r="G823" s="1">
        <v>13.1312</v>
      </c>
      <c r="H823" s="1">
        <v>5.7510000000000003</v>
      </c>
    </row>
    <row r="824" spans="1:8" x14ac:dyDescent="0.3">
      <c r="A824">
        <f t="shared" si="31"/>
        <v>10</v>
      </c>
      <c r="B824">
        <v>1411</v>
      </c>
      <c r="C824" s="1">
        <v>23.233335638286931</v>
      </c>
      <c r="D824" s="9">
        <v>17.532611111113575</v>
      </c>
      <c r="E824" s="1">
        <v>2.1929500000000002</v>
      </c>
      <c r="F824" s="1">
        <v>4.1137199999999998</v>
      </c>
      <c r="G824" s="1">
        <v>13.172599999999999</v>
      </c>
      <c r="H824" s="1">
        <v>5.9372699999999998</v>
      </c>
    </row>
    <row r="825" spans="1:8" x14ac:dyDescent="0.3">
      <c r="A825" t="e">
        <f t="shared" si="31"/>
        <v>#REF!</v>
      </c>
      <c r="B825">
        <v>1461</v>
      </c>
      <c r="C825" s="1">
        <v>23.234751686350709</v>
      </c>
      <c r="D825" s="9">
        <v>17.579833333335884</v>
      </c>
      <c r="E825" s="1">
        <v>2.7077499999999999</v>
      </c>
      <c r="F825" s="1">
        <v>4.3992300000000002</v>
      </c>
      <c r="G825" s="1">
        <v>13.0862</v>
      </c>
      <c r="H825" s="1">
        <v>6.1115599999999999</v>
      </c>
    </row>
    <row r="826" spans="1:8" x14ac:dyDescent="0.3">
      <c r="A826">
        <f t="shared" si="31"/>
        <v>1</v>
      </c>
      <c r="B826">
        <v>1511</v>
      </c>
      <c r="C826" s="1">
        <v>23.064242219297348</v>
      </c>
      <c r="D826" s="9">
        <v>17.627055555558194</v>
      </c>
      <c r="E826" s="1">
        <v>3.0695000000000001</v>
      </c>
      <c r="F826" s="1">
        <v>4.6113499999999998</v>
      </c>
      <c r="G826" s="1">
        <v>13.0695</v>
      </c>
      <c r="H826" s="1">
        <v>6.1113799999999996</v>
      </c>
    </row>
    <row r="827" spans="1:8" x14ac:dyDescent="0.3">
      <c r="A827" t="e">
        <f t="shared" si="31"/>
        <v>#REF!</v>
      </c>
      <c r="B827">
        <v>1561</v>
      </c>
      <c r="C827" s="1">
        <v>22.789789446782549</v>
      </c>
      <c r="D827" s="9">
        <v>17.674277777780503</v>
      </c>
      <c r="E827" s="1">
        <v>3.2066599999999998</v>
      </c>
      <c r="F827" s="1">
        <v>4.8598299999999997</v>
      </c>
      <c r="G827" s="1">
        <v>13.2141</v>
      </c>
      <c r="H827" s="1">
        <v>5.80945</v>
      </c>
    </row>
    <row r="828" spans="1:8" x14ac:dyDescent="0.3">
      <c r="A828" t="e">
        <f t="shared" si="31"/>
        <v>#REF!</v>
      </c>
      <c r="B828">
        <v>1611</v>
      </c>
      <c r="C828" s="1">
        <v>22.43268772364824</v>
      </c>
      <c r="D828" s="9">
        <v>17.721500000002813</v>
      </c>
      <c r="E828" s="1">
        <v>3.4961799999999998</v>
      </c>
      <c r="F828" s="1">
        <v>5.40205</v>
      </c>
      <c r="G828" s="1">
        <v>13.3368</v>
      </c>
      <c r="H828" s="1">
        <v>5.2098199999999997</v>
      </c>
    </row>
    <row r="829" spans="1:8" x14ac:dyDescent="0.3">
      <c r="A829" t="e">
        <f t="shared" ref="A829:A860" si="32">A779</f>
        <v>#REF!</v>
      </c>
      <c r="B829">
        <v>1661</v>
      </c>
      <c r="C829" s="1">
        <v>21.994711815905561</v>
      </c>
      <c r="D829" s="9">
        <v>17.768722222225122</v>
      </c>
      <c r="E829" s="1">
        <v>4.1587399999999999</v>
      </c>
      <c r="F829" s="1">
        <v>6.3368399999999996</v>
      </c>
      <c r="G829" s="1">
        <v>13.3467</v>
      </c>
      <c r="H829" s="1">
        <v>4.3565500000000004</v>
      </c>
    </row>
    <row r="830" spans="1:8" x14ac:dyDescent="0.3">
      <c r="A830">
        <f t="shared" si="32"/>
        <v>8</v>
      </c>
      <c r="B830">
        <v>1711</v>
      </c>
      <c r="C830" s="1">
        <v>21.541864916165771</v>
      </c>
      <c r="D830" s="9">
        <v>17.815944444447432</v>
      </c>
      <c r="E830" s="1">
        <v>4.9984299999999999</v>
      </c>
      <c r="F830" s="1">
        <v>7.4137700000000004</v>
      </c>
      <c r="G830" s="1">
        <v>13.399800000000001</v>
      </c>
      <c r="H830" s="1">
        <v>3.3420999999999998</v>
      </c>
    </row>
    <row r="831" spans="1:8" x14ac:dyDescent="0.3">
      <c r="A831" t="e">
        <f t="shared" si="32"/>
        <v>#REF!</v>
      </c>
      <c r="B831">
        <v>1761</v>
      </c>
      <c r="C831" s="1">
        <v>21.213463097719231</v>
      </c>
      <c r="D831" s="9">
        <v>17.863166666669741</v>
      </c>
      <c r="E831" s="1">
        <v>5.7129300000000001</v>
      </c>
      <c r="F831" s="1">
        <v>8.3536000000000001</v>
      </c>
      <c r="G831" s="1">
        <v>13.553100000000001</v>
      </c>
      <c r="H831" s="1">
        <v>2.2468300000000001</v>
      </c>
    </row>
    <row r="832" spans="1:8" x14ac:dyDescent="0.3">
      <c r="A832" t="e">
        <f t="shared" si="32"/>
        <v>#REF!</v>
      </c>
      <c r="B832">
        <v>1811</v>
      </c>
      <c r="C832" s="1">
        <v>20.81589364667435</v>
      </c>
      <c r="D832" s="9">
        <v>17.910388888892051</v>
      </c>
      <c r="E832" s="1">
        <v>5.8884999999999996</v>
      </c>
      <c r="F832" s="1">
        <v>8.9032800000000005</v>
      </c>
      <c r="G832" s="1">
        <v>13.6129</v>
      </c>
      <c r="H832" s="1">
        <v>1.11591</v>
      </c>
    </row>
    <row r="833" spans="1:8" x14ac:dyDescent="0.3">
      <c r="A833" t="e">
        <f t="shared" si="32"/>
        <v>#REF!</v>
      </c>
      <c r="B833">
        <v>1861</v>
      </c>
      <c r="C833" s="1">
        <v>20.47527659025279</v>
      </c>
      <c r="D833" s="9">
        <v>17.95761111111436</v>
      </c>
      <c r="E833" s="1">
        <v>5.3563499999999999</v>
      </c>
      <c r="F833" s="1">
        <v>9.0096399999999992</v>
      </c>
      <c r="G833" s="1">
        <v>13.5031</v>
      </c>
      <c r="H833" s="1">
        <v>-4.1408100000000003E-2</v>
      </c>
    </row>
    <row r="834" spans="1:8" x14ac:dyDescent="0.3">
      <c r="A834" t="e">
        <f t="shared" si="32"/>
        <v>#REF!</v>
      </c>
      <c r="B834">
        <v>1911</v>
      </c>
      <c r="C834" s="1">
        <v>20.067244391884689</v>
      </c>
      <c r="D834" s="9">
        <v>18.00483333333667</v>
      </c>
      <c r="E834" s="1">
        <v>4.4559699999999998</v>
      </c>
      <c r="F834" s="1">
        <v>9.0054099999999995</v>
      </c>
      <c r="G834" s="1">
        <v>13.4368</v>
      </c>
      <c r="H834" s="1">
        <v>-1.2777799999999999</v>
      </c>
    </row>
    <row r="835" spans="1:8" x14ac:dyDescent="0.3">
      <c r="A835" t="e">
        <f t="shared" si="32"/>
        <v>#REF!</v>
      </c>
      <c r="B835">
        <v>1961</v>
      </c>
      <c r="C835" s="1">
        <v>19.763699860571531</v>
      </c>
      <c r="D835" s="9">
        <v>18.052055555558979</v>
      </c>
      <c r="E835" s="1">
        <v>3.5597099999999999</v>
      </c>
      <c r="F835" s="1">
        <v>9.0828900000000008</v>
      </c>
      <c r="G835" s="1">
        <v>13.5284</v>
      </c>
      <c r="H835" s="1">
        <v>-2.59076</v>
      </c>
    </row>
    <row r="836" spans="1:8" x14ac:dyDescent="0.3">
      <c r="A836">
        <f t="shared" si="32"/>
        <v>6</v>
      </c>
      <c r="B836">
        <v>2011</v>
      </c>
      <c r="C836" s="1">
        <v>19.467144598519241</v>
      </c>
      <c r="D836" s="9">
        <v>18.099277777781289</v>
      </c>
      <c r="E836" s="1">
        <v>2.9861200000000001</v>
      </c>
      <c r="F836" s="1">
        <v>9.0718899999999998</v>
      </c>
      <c r="G836" s="1">
        <v>13.634600000000001</v>
      </c>
      <c r="H836" s="1">
        <v>-3.85649</v>
      </c>
    </row>
    <row r="837" spans="1:8" x14ac:dyDescent="0.3">
      <c r="A837" t="e">
        <f t="shared" si="32"/>
        <v>#REF!</v>
      </c>
      <c r="B837">
        <v>2061</v>
      </c>
      <c r="C837" s="1">
        <v>19.294629843933329</v>
      </c>
      <c r="D837" s="9">
        <v>18.146500000003599</v>
      </c>
      <c r="E837" s="1">
        <v>2.8357000000000001</v>
      </c>
      <c r="F837" s="1">
        <v>8.8772900000000003</v>
      </c>
      <c r="G837" s="1">
        <v>13.682399999999999</v>
      </c>
      <c r="H837" s="1">
        <v>-4.9572900000000004</v>
      </c>
    </row>
    <row r="838" spans="1:8" x14ac:dyDescent="0.3">
      <c r="A838" t="e">
        <f t="shared" si="32"/>
        <v>#REF!</v>
      </c>
      <c r="B838">
        <v>2111</v>
      </c>
      <c r="C838" s="1">
        <v>19.190000000000001</v>
      </c>
      <c r="D838" s="9">
        <v>18.193722222225908</v>
      </c>
      <c r="E838" s="1">
        <v>2.7966500000000001</v>
      </c>
      <c r="F838" s="1">
        <v>8.6328300000000002</v>
      </c>
      <c r="G838" s="1">
        <v>13.794600000000001</v>
      </c>
      <c r="H838" s="1">
        <v>-5.81447</v>
      </c>
    </row>
    <row r="839" spans="1:8" x14ac:dyDescent="0.3">
      <c r="A839" t="e">
        <f t="shared" si="32"/>
        <v>#REF!</v>
      </c>
      <c r="B839">
        <v>2161</v>
      </c>
      <c r="C839" s="1">
        <v>19.190000000000001</v>
      </c>
      <c r="D839" s="9">
        <v>18.240944444448218</v>
      </c>
      <c r="E839" s="1">
        <v>2.6866099999999999</v>
      </c>
      <c r="F839" s="1">
        <v>8.47499</v>
      </c>
      <c r="G839" s="1">
        <v>13.9971</v>
      </c>
      <c r="H839" s="1">
        <v>-6.3199399999999999</v>
      </c>
    </row>
    <row r="840" spans="1:8" x14ac:dyDescent="0.3">
      <c r="A840" t="e">
        <f t="shared" si="32"/>
        <v>#REF!</v>
      </c>
      <c r="B840">
        <v>2211</v>
      </c>
      <c r="C840" s="1">
        <v>19.18</v>
      </c>
      <c r="D840" s="9">
        <v>18.288166666670527</v>
      </c>
      <c r="E840" s="1">
        <v>2.6667900000000002</v>
      </c>
      <c r="F840" s="1">
        <v>8.4930400000000006</v>
      </c>
      <c r="G840" s="1">
        <v>14.084099999999999</v>
      </c>
      <c r="H840" s="1">
        <v>-6.3010200000000003</v>
      </c>
    </row>
    <row r="841" spans="1:8" x14ac:dyDescent="0.3">
      <c r="A841" t="e">
        <f t="shared" si="32"/>
        <v>#REF!</v>
      </c>
      <c r="B841">
        <v>2261</v>
      </c>
      <c r="C841" s="1">
        <v>19.38157965322349</v>
      </c>
      <c r="D841" s="9">
        <v>18.335388888892837</v>
      </c>
      <c r="E841" s="1">
        <v>2.8032599999999999</v>
      </c>
      <c r="F841" s="1">
        <v>8.6536399999999993</v>
      </c>
      <c r="G841" s="1">
        <v>13.970700000000001</v>
      </c>
      <c r="H841" s="1">
        <v>-5.7224399999999997</v>
      </c>
    </row>
    <row r="842" spans="1:8" x14ac:dyDescent="0.3">
      <c r="A842">
        <f t="shared" si="32"/>
        <v>4</v>
      </c>
      <c r="B842">
        <v>2311</v>
      </c>
      <c r="C842" s="1">
        <v>19.657953697219369</v>
      </c>
      <c r="D842" s="9">
        <v>18.382611111115146</v>
      </c>
      <c r="E842" s="1">
        <v>2.9019599999999999</v>
      </c>
      <c r="F842" s="1">
        <v>8.6968499999999995</v>
      </c>
      <c r="G842" s="1">
        <v>13.8573</v>
      </c>
      <c r="H842" s="1">
        <v>-4.8275699999999997</v>
      </c>
    </row>
    <row r="843" spans="1:8" x14ac:dyDescent="0.3">
      <c r="A843" t="e">
        <f t="shared" si="32"/>
        <v>#REF!</v>
      </c>
      <c r="B843">
        <v>2361</v>
      </c>
      <c r="C843" s="1">
        <v>20.065139111277009</v>
      </c>
      <c r="D843" s="9">
        <v>18.429833333337456</v>
      </c>
      <c r="E843" s="1">
        <v>2.8637600000000001</v>
      </c>
      <c r="F843" s="1">
        <v>8.4814799999999995</v>
      </c>
      <c r="G843" s="1">
        <v>13.845800000000001</v>
      </c>
      <c r="H843" s="1">
        <v>-3.8144499999999999</v>
      </c>
    </row>
    <row r="844" spans="1:8" x14ac:dyDescent="0.3">
      <c r="A844" t="e">
        <f t="shared" si="32"/>
        <v>#REF!</v>
      </c>
      <c r="B844">
        <v>2411</v>
      </c>
      <c r="C844" s="1">
        <v>20.57498686962586</v>
      </c>
      <c r="D844" s="9">
        <v>18.477055555559765</v>
      </c>
      <c r="E844" s="1">
        <v>2.8296999999999999</v>
      </c>
      <c r="F844" s="1">
        <v>8.1472099999999994</v>
      </c>
      <c r="G844" s="1">
        <v>13.786199999999999</v>
      </c>
      <c r="H844" s="1">
        <v>-2.7327900000000001</v>
      </c>
    </row>
    <row r="845" spans="1:8" x14ac:dyDescent="0.3">
      <c r="A845" t="e">
        <f t="shared" si="32"/>
        <v>#REF!</v>
      </c>
      <c r="B845">
        <v>2461</v>
      </c>
      <c r="C845" s="1">
        <v>21.17081465764424</v>
      </c>
      <c r="D845" s="9">
        <v>18.524277777782075</v>
      </c>
      <c r="E845" s="1">
        <v>2.82219</v>
      </c>
      <c r="F845" s="1">
        <v>7.8765799999999997</v>
      </c>
      <c r="G845" s="1">
        <v>13.645099999999999</v>
      </c>
      <c r="H845" s="1">
        <v>-1.5991599999999999</v>
      </c>
    </row>
    <row r="846" spans="1:8" x14ac:dyDescent="0.3">
      <c r="A846">
        <f t="shared" si="32"/>
        <v>11</v>
      </c>
      <c r="B846">
        <v>2511</v>
      </c>
      <c r="C846" s="1">
        <v>21.67934357977094</v>
      </c>
      <c r="D846" s="9">
        <v>18.571500000004384</v>
      </c>
      <c r="E846" s="1">
        <v>2.58344</v>
      </c>
      <c r="F846" s="1">
        <v>7.8711200000000003</v>
      </c>
      <c r="G846" s="1">
        <v>13.666499999999999</v>
      </c>
      <c r="H846" s="1">
        <v>-0.39902100000000001</v>
      </c>
    </row>
    <row r="847" spans="1:8" x14ac:dyDescent="0.3">
      <c r="A847" t="e">
        <f t="shared" si="32"/>
        <v>#REF!</v>
      </c>
      <c r="B847">
        <v>2561</v>
      </c>
      <c r="C847" s="1">
        <v>22.14467491454057</v>
      </c>
      <c r="D847" s="9">
        <v>18.618722222226694</v>
      </c>
      <c r="E847" s="1">
        <v>1.99837</v>
      </c>
      <c r="F847" s="1">
        <v>8.1470300000000009</v>
      </c>
      <c r="G847" s="1">
        <v>13.949</v>
      </c>
      <c r="H847" s="1">
        <v>0.85873699999999997</v>
      </c>
    </row>
    <row r="848" spans="1:8" x14ac:dyDescent="0.3">
      <c r="A848">
        <f t="shared" si="32"/>
        <v>2</v>
      </c>
      <c r="B848">
        <v>2611</v>
      </c>
      <c r="C848" s="1">
        <v>22.482863458556999</v>
      </c>
      <c r="D848" s="9">
        <v>18.665944444449003</v>
      </c>
      <c r="E848" s="1">
        <v>1.2876399999999999</v>
      </c>
      <c r="F848" s="1">
        <v>8.3606099999999994</v>
      </c>
      <c r="G848" s="1">
        <v>14.2525</v>
      </c>
      <c r="H848" s="1">
        <v>2.11374</v>
      </c>
    </row>
    <row r="849" spans="1:8" x14ac:dyDescent="0.3">
      <c r="A849" t="e">
        <f t="shared" si="32"/>
        <v>#REF!</v>
      </c>
      <c r="B849">
        <v>2661</v>
      </c>
      <c r="C849" s="1">
        <v>22.86137140789322</v>
      </c>
      <c r="D849" s="9">
        <v>18.713166666671313</v>
      </c>
      <c r="E849" s="1">
        <v>0.72992699999999999</v>
      </c>
      <c r="F849" s="1">
        <v>8.2902299999999993</v>
      </c>
      <c r="G849" s="1">
        <v>14.3558</v>
      </c>
      <c r="H849" s="1">
        <v>3.2913100000000002</v>
      </c>
    </row>
    <row r="850" spans="1:8" x14ac:dyDescent="0.3">
      <c r="A850" t="e">
        <f t="shared" si="32"/>
        <v>#REF!</v>
      </c>
      <c r="B850">
        <v>2711</v>
      </c>
      <c r="C850" s="1">
        <v>23.324461444446989</v>
      </c>
      <c r="D850" s="9">
        <v>18.760388888893623</v>
      </c>
      <c r="E850" s="1">
        <v>0.64031400000000005</v>
      </c>
      <c r="F850" s="1">
        <v>8.0282300000000006</v>
      </c>
      <c r="G850" s="1">
        <v>14.146800000000001</v>
      </c>
      <c r="H850" s="1">
        <v>4.3007</v>
      </c>
    </row>
    <row r="851" spans="1:8" x14ac:dyDescent="0.3">
      <c r="A851" t="e">
        <f t="shared" si="32"/>
        <v>#REF!</v>
      </c>
      <c r="B851">
        <v>2761</v>
      </c>
      <c r="C851" s="1">
        <v>23.75187516891565</v>
      </c>
      <c r="D851" s="9">
        <v>18.807611111115932</v>
      </c>
      <c r="E851" s="1">
        <v>1.13307</v>
      </c>
      <c r="F851" s="1">
        <v>7.7929199999999996</v>
      </c>
      <c r="G851" s="1">
        <v>13.668900000000001</v>
      </c>
      <c r="H851" s="1">
        <v>5.0658399999999997</v>
      </c>
    </row>
    <row r="852" spans="1:8" x14ac:dyDescent="0.3">
      <c r="A852">
        <f t="shared" si="32"/>
        <v>9</v>
      </c>
      <c r="B852">
        <v>2811</v>
      </c>
      <c r="C852" s="1">
        <v>24.05010412437035</v>
      </c>
      <c r="D852" s="9">
        <v>18.854833333338242</v>
      </c>
      <c r="E852" s="1">
        <v>1.93127</v>
      </c>
      <c r="F852" s="1">
        <v>7.9740200000000003</v>
      </c>
      <c r="G852" s="1">
        <v>13.236700000000001</v>
      </c>
      <c r="H852" s="1">
        <v>5.5427099999999996</v>
      </c>
    </row>
    <row r="853" spans="1:8" x14ac:dyDescent="0.3">
      <c r="A853">
        <f t="shared" si="32"/>
        <v>0</v>
      </c>
      <c r="B853">
        <v>2861</v>
      </c>
      <c r="C853" s="1">
        <v>24.250560436304241</v>
      </c>
      <c r="D853" s="9">
        <v>18.902055555560551</v>
      </c>
      <c r="E853" s="1">
        <v>2.71943</v>
      </c>
      <c r="F853" s="1">
        <v>8.77529</v>
      </c>
      <c r="G853" s="1">
        <v>13.1419</v>
      </c>
      <c r="H853" s="1">
        <v>5.78362</v>
      </c>
    </row>
    <row r="854" spans="1:8" x14ac:dyDescent="0.3">
      <c r="A854" t="e">
        <f t="shared" si="32"/>
        <v>#REF!</v>
      </c>
      <c r="B854">
        <v>2911</v>
      </c>
      <c r="C854" s="1">
        <v>24.22</v>
      </c>
      <c r="D854" s="9">
        <v>18.949277777782861</v>
      </c>
      <c r="E854" s="1">
        <v>3.1944699999999999</v>
      </c>
      <c r="F854" s="1">
        <v>10.007999999999999</v>
      </c>
      <c r="G854" s="1">
        <v>13.573600000000001</v>
      </c>
      <c r="H854" s="1">
        <v>6.0148200000000003</v>
      </c>
    </row>
    <row r="855" spans="1:8" x14ac:dyDescent="0.3">
      <c r="A855" t="e">
        <f t="shared" si="32"/>
        <v>#REF!</v>
      </c>
      <c r="B855">
        <v>2961</v>
      </c>
      <c r="C855" s="1">
        <v>24.09693484096309</v>
      </c>
      <c r="D855" s="9">
        <v>18.99650000000517</v>
      </c>
      <c r="E855" s="1">
        <v>3.3055099999999999</v>
      </c>
      <c r="F855" s="1">
        <v>11.393700000000001</v>
      </c>
      <c r="G855" s="1">
        <v>14.548999999999999</v>
      </c>
      <c r="H855" s="1">
        <v>6.3551099999999998</v>
      </c>
    </row>
    <row r="856" spans="1:8" x14ac:dyDescent="0.3">
      <c r="A856" t="e">
        <f t="shared" si="32"/>
        <v>#REF!</v>
      </c>
      <c r="B856">
        <v>3011</v>
      </c>
      <c r="C856" s="1">
        <v>23.99</v>
      </c>
      <c r="D856" s="9">
        <v>19.04372222222748</v>
      </c>
      <c r="E856" s="1">
        <v>3.4763799999999998</v>
      </c>
      <c r="F856" s="1">
        <v>12.567399999999999</v>
      </c>
      <c r="G856" s="1">
        <v>15.782500000000001</v>
      </c>
      <c r="H856" s="1">
        <v>6.68581</v>
      </c>
    </row>
    <row r="857" spans="1:8" x14ac:dyDescent="0.3">
      <c r="A857" t="e">
        <f t="shared" si="32"/>
        <v>#REF!</v>
      </c>
      <c r="B857">
        <v>3061</v>
      </c>
      <c r="C857" s="1">
        <v>23.84</v>
      </c>
      <c r="D857" s="9">
        <v>19.090944444449789</v>
      </c>
      <c r="E857" s="1">
        <v>4.0101500000000003</v>
      </c>
      <c r="F857" s="1">
        <v>13.2151</v>
      </c>
      <c r="G857" s="1">
        <v>16.9495</v>
      </c>
      <c r="H857" s="1">
        <v>6.9753999999999996</v>
      </c>
    </row>
    <row r="858" spans="1:8" x14ac:dyDescent="0.3">
      <c r="A858">
        <f t="shared" si="32"/>
        <v>7</v>
      </c>
      <c r="B858">
        <v>3111</v>
      </c>
      <c r="C858" s="1">
        <v>23.46605945090019</v>
      </c>
      <c r="D858" s="9">
        <v>19.138166666672099</v>
      </c>
      <c r="E858" s="1">
        <v>4.8758999999999997</v>
      </c>
      <c r="F858" s="1">
        <v>13.1533</v>
      </c>
      <c r="G858" s="1">
        <v>17.7258</v>
      </c>
      <c r="H858" s="1">
        <v>7.4010699999999998</v>
      </c>
    </row>
    <row r="859" spans="1:8" x14ac:dyDescent="0.3">
      <c r="A859" t="e">
        <f t="shared" si="32"/>
        <v>#REF!</v>
      </c>
      <c r="B859">
        <v>3161</v>
      </c>
      <c r="C859" s="1">
        <v>23.063369345064949</v>
      </c>
      <c r="D859" s="9">
        <v>19.185388888894408</v>
      </c>
      <c r="E859" s="1">
        <v>5.9432900000000002</v>
      </c>
      <c r="F859" s="1">
        <v>12.4072</v>
      </c>
      <c r="G859" s="1">
        <v>17.956499999999998</v>
      </c>
      <c r="H859" s="1">
        <v>8.0890699999999995</v>
      </c>
    </row>
    <row r="860" spans="1:8" x14ac:dyDescent="0.3">
      <c r="A860" t="e">
        <f t="shared" si="32"/>
        <v>#REF!</v>
      </c>
      <c r="B860">
        <v>3211</v>
      </c>
      <c r="C860" s="1">
        <v>22.706546636741681</v>
      </c>
      <c r="D860" s="9">
        <v>19.232611111116718</v>
      </c>
      <c r="E860" s="1">
        <v>6.9829499999999998</v>
      </c>
      <c r="F860" s="1">
        <v>11.323499999999999</v>
      </c>
      <c r="G860" s="1">
        <v>17.772400000000001</v>
      </c>
      <c r="H860" s="1">
        <v>9.0391300000000001</v>
      </c>
    </row>
    <row r="861" spans="1:8" x14ac:dyDescent="0.3">
      <c r="A861" t="e">
        <f t="shared" ref="A861:A867" si="33">A811</f>
        <v>#REF!</v>
      </c>
      <c r="B861">
        <v>3261</v>
      </c>
      <c r="C861" s="1">
        <v>22.328697396169542</v>
      </c>
      <c r="D861" s="9">
        <v>19.279833333339027</v>
      </c>
      <c r="E861" s="1">
        <v>7.8894500000000001</v>
      </c>
      <c r="F861" s="1">
        <v>10.2578</v>
      </c>
      <c r="G861" s="1">
        <v>17.3596</v>
      </c>
      <c r="H861" s="1">
        <v>10.210699999999999</v>
      </c>
    </row>
    <row r="862" spans="1:8" x14ac:dyDescent="0.3">
      <c r="A862" t="e">
        <f t="shared" si="33"/>
        <v>#REF!</v>
      </c>
      <c r="B862">
        <v>3311</v>
      </c>
      <c r="C862" s="1">
        <v>21.940242303221758</v>
      </c>
      <c r="D862" s="9">
        <v>19.327055555561337</v>
      </c>
      <c r="E862" s="1">
        <v>8.9094499999999996</v>
      </c>
      <c r="F862" s="1">
        <v>9.7942400000000003</v>
      </c>
      <c r="G862" s="1">
        <v>17.0441</v>
      </c>
      <c r="H862" s="1">
        <v>11.540900000000001</v>
      </c>
    </row>
    <row r="863" spans="1:8" x14ac:dyDescent="0.3">
      <c r="A863" t="e">
        <f t="shared" si="33"/>
        <v>#REF!</v>
      </c>
      <c r="B863">
        <v>3361</v>
      </c>
      <c r="C863" s="1">
        <v>21.62704338049123</v>
      </c>
      <c r="D863" s="9">
        <v>19.374277777783647</v>
      </c>
      <c r="E863" s="1">
        <v>10.4573</v>
      </c>
      <c r="F863" s="1">
        <v>10.844799999999999</v>
      </c>
      <c r="G863" s="1">
        <v>17.183</v>
      </c>
      <c r="H863" s="1">
        <v>12.976699999999999</v>
      </c>
    </row>
    <row r="864" spans="1:8" x14ac:dyDescent="0.3">
      <c r="A864">
        <f t="shared" si="33"/>
        <v>5</v>
      </c>
      <c r="B864">
        <v>3411</v>
      </c>
      <c r="C864" s="1">
        <v>21.290219685308681</v>
      </c>
      <c r="D864" s="9">
        <v>19.421500000005956</v>
      </c>
      <c r="E864" s="1">
        <v>12.249499999999999</v>
      </c>
      <c r="F864" s="1">
        <v>12.436400000000001</v>
      </c>
      <c r="G864" s="1">
        <v>17.483799999999999</v>
      </c>
      <c r="H864" s="1">
        <v>14.392799999999999</v>
      </c>
    </row>
    <row r="865" spans="1:8" x14ac:dyDescent="0.3">
      <c r="A865" t="e">
        <f t="shared" si="33"/>
        <v>#REF!</v>
      </c>
      <c r="B865">
        <v>3461</v>
      </c>
      <c r="C865" s="1">
        <v>20.817006661842839</v>
      </c>
      <c r="D865" s="9">
        <v>19.468722222228266</v>
      </c>
      <c r="E865" s="1">
        <v>14.141500000000001</v>
      </c>
      <c r="F865" s="1">
        <v>14.228999999999999</v>
      </c>
      <c r="G865" s="1">
        <v>17.9193</v>
      </c>
      <c r="H865" s="1">
        <v>15.787100000000001</v>
      </c>
    </row>
    <row r="866" spans="1:8" x14ac:dyDescent="0.3">
      <c r="A866" t="e">
        <f t="shared" si="33"/>
        <v>#REF!</v>
      </c>
      <c r="B866">
        <v>3511</v>
      </c>
      <c r="C866" s="1">
        <v>20.340657806597878</v>
      </c>
      <c r="D866" s="9">
        <v>19.515944444450575</v>
      </c>
      <c r="E866" s="1">
        <v>16.083100000000002</v>
      </c>
      <c r="F866" s="1">
        <v>16.1191</v>
      </c>
      <c r="G866" s="1">
        <v>18.458500000000001</v>
      </c>
      <c r="H866" s="1">
        <v>17.167000000000002</v>
      </c>
    </row>
    <row r="867" spans="1:8" x14ac:dyDescent="0.3">
      <c r="A867" t="e">
        <f t="shared" si="33"/>
        <v>#REF!</v>
      </c>
      <c r="B867">
        <v>3561</v>
      </c>
      <c r="C867" s="1">
        <v>19.949671826766441</v>
      </c>
      <c r="D867" s="9">
        <v>19.563166666672885</v>
      </c>
      <c r="E867" s="1">
        <v>18.052199999999999</v>
      </c>
      <c r="F867" s="1">
        <v>18.062200000000001</v>
      </c>
      <c r="G867" s="1">
        <v>19.075800000000001</v>
      </c>
      <c r="H867" s="1">
        <v>18.536799999999999</v>
      </c>
    </row>
    <row r="868" spans="1:8" x14ac:dyDescent="0.3">
      <c r="A868">
        <v>12</v>
      </c>
      <c r="B868">
        <v>12</v>
      </c>
      <c r="C868" s="1">
        <v>16.183989034634319</v>
      </c>
      <c r="D868" s="9">
        <v>16.211333333333354</v>
      </c>
      <c r="E868" s="1">
        <v>15.7545</v>
      </c>
      <c r="F868" s="1">
        <v>15.7248</v>
      </c>
      <c r="G868" s="1">
        <v>16.052299999999999</v>
      </c>
      <c r="H868" s="1">
        <v>15.7529</v>
      </c>
    </row>
    <row r="869" spans="1:8" x14ac:dyDescent="0.3">
      <c r="A869" t="e">
        <f t="shared" ref="A869:A900" si="34">A819</f>
        <v>#REF!</v>
      </c>
      <c r="B869">
        <v>62</v>
      </c>
      <c r="C869" s="1">
        <v>16.13</v>
      </c>
      <c r="D869" s="9">
        <v>16.258555555555663</v>
      </c>
      <c r="E869" s="1">
        <v>13.9116</v>
      </c>
      <c r="F869" s="1">
        <v>13.7605</v>
      </c>
      <c r="G869" s="1">
        <v>15.4695</v>
      </c>
      <c r="H869" s="1">
        <v>13.8847</v>
      </c>
    </row>
    <row r="870" spans="1:8" x14ac:dyDescent="0.3">
      <c r="A870">
        <f t="shared" si="34"/>
        <v>3</v>
      </c>
      <c r="B870">
        <v>112</v>
      </c>
      <c r="C870" s="1">
        <v>16.249117395154911</v>
      </c>
      <c r="D870" s="9">
        <v>16.305777777777973</v>
      </c>
      <c r="E870" s="1">
        <v>12.096299999999999</v>
      </c>
      <c r="F870" s="1">
        <v>11.8337</v>
      </c>
      <c r="G870" s="1">
        <v>14.948499999999999</v>
      </c>
      <c r="H870" s="1">
        <v>12.0068</v>
      </c>
    </row>
    <row r="871" spans="1:8" x14ac:dyDescent="0.3">
      <c r="A871" t="e">
        <f t="shared" si="34"/>
        <v>#REF!</v>
      </c>
      <c r="B871">
        <v>162</v>
      </c>
      <c r="C871" s="1">
        <v>16.46</v>
      </c>
      <c r="D871" s="9">
        <v>16.353000000000282</v>
      </c>
      <c r="E871" s="1">
        <v>10.3216</v>
      </c>
      <c r="F871" s="1">
        <v>9.9725199999999994</v>
      </c>
      <c r="G871" s="1">
        <v>14.504899999999999</v>
      </c>
      <c r="H871" s="1">
        <v>10.1187</v>
      </c>
    </row>
    <row r="872" spans="1:8" x14ac:dyDescent="0.3">
      <c r="A872" t="e">
        <f t="shared" si="34"/>
        <v>#REF!</v>
      </c>
      <c r="B872">
        <v>212</v>
      </c>
      <c r="C872" s="1">
        <v>16.82</v>
      </c>
      <c r="D872" s="9">
        <v>16.400222222222592</v>
      </c>
      <c r="E872" s="1">
        <v>8.6118900000000007</v>
      </c>
      <c r="F872" s="1">
        <v>8.2367600000000003</v>
      </c>
      <c r="G872" s="1">
        <v>14.1562</v>
      </c>
      <c r="H872" s="1">
        <v>8.2225900000000003</v>
      </c>
    </row>
    <row r="873" spans="1:8" x14ac:dyDescent="0.3">
      <c r="A873" t="e">
        <f t="shared" si="34"/>
        <v>#REF!</v>
      </c>
      <c r="B873">
        <v>262</v>
      </c>
      <c r="C873" s="1">
        <v>16.949425456030799</v>
      </c>
      <c r="D873" s="9">
        <v>16.447444444444901</v>
      </c>
      <c r="E873" s="1">
        <v>7.0135100000000001</v>
      </c>
      <c r="F873" s="1">
        <v>6.7695999999999996</v>
      </c>
      <c r="G873" s="1">
        <v>13.897399999999999</v>
      </c>
      <c r="H873" s="1">
        <v>6.3335299999999997</v>
      </c>
    </row>
    <row r="874" spans="1:8" x14ac:dyDescent="0.3">
      <c r="A874">
        <f t="shared" si="34"/>
        <v>10</v>
      </c>
      <c r="B874">
        <v>312</v>
      </c>
      <c r="C874" s="1">
        <v>17.125226120797731</v>
      </c>
      <c r="D874" s="9">
        <v>16.494666666667211</v>
      </c>
      <c r="E874" s="1">
        <v>5.7654800000000002</v>
      </c>
      <c r="F874" s="1">
        <v>6.1972199999999997</v>
      </c>
      <c r="G874" s="1">
        <v>13.835000000000001</v>
      </c>
      <c r="H874" s="1">
        <v>4.7188299999999996</v>
      </c>
    </row>
    <row r="875" spans="1:8" x14ac:dyDescent="0.3">
      <c r="A875" t="e">
        <f t="shared" si="34"/>
        <v>#REF!</v>
      </c>
      <c r="B875">
        <v>362</v>
      </c>
      <c r="C875" s="1">
        <v>17.350000000000001</v>
      </c>
      <c r="D875" s="9">
        <v>16.54188888888952</v>
      </c>
      <c r="E875" s="1">
        <v>4.9626400000000004</v>
      </c>
      <c r="F875" s="1">
        <v>6.4798200000000001</v>
      </c>
      <c r="G875" s="1">
        <v>14.0229</v>
      </c>
      <c r="H875" s="1">
        <v>3.6004100000000001</v>
      </c>
    </row>
    <row r="876" spans="1:8" x14ac:dyDescent="0.3">
      <c r="A876">
        <f t="shared" si="34"/>
        <v>1</v>
      </c>
      <c r="B876">
        <v>412</v>
      </c>
      <c r="C876" s="1">
        <v>17.51702781675543</v>
      </c>
      <c r="D876" s="9">
        <v>16.58911111111183</v>
      </c>
      <c r="E876" s="1">
        <v>4.4257900000000001</v>
      </c>
      <c r="F876" s="1">
        <v>6.72844</v>
      </c>
      <c r="G876" s="1">
        <v>14.047700000000001</v>
      </c>
      <c r="H876" s="1">
        <v>2.84484</v>
      </c>
    </row>
    <row r="877" spans="1:8" x14ac:dyDescent="0.3">
      <c r="A877" t="e">
        <f t="shared" si="34"/>
        <v>#REF!</v>
      </c>
      <c r="B877">
        <v>462</v>
      </c>
      <c r="C877" s="1">
        <v>17.84</v>
      </c>
      <c r="D877" s="9">
        <v>16.636333333334139</v>
      </c>
      <c r="E877" s="1">
        <v>4.0469600000000003</v>
      </c>
      <c r="F877" s="1">
        <v>6.63422</v>
      </c>
      <c r="G877" s="1">
        <v>13.7989</v>
      </c>
      <c r="H877" s="1">
        <v>2.3734899999999999</v>
      </c>
    </row>
    <row r="878" spans="1:8" x14ac:dyDescent="0.3">
      <c r="A878" t="e">
        <f t="shared" si="34"/>
        <v>#REF!</v>
      </c>
      <c r="B878">
        <v>512</v>
      </c>
      <c r="C878" s="1">
        <v>18.006490843479138</v>
      </c>
      <c r="D878" s="9">
        <v>16.683555555556449</v>
      </c>
      <c r="E878" s="1">
        <v>3.51925</v>
      </c>
      <c r="F878" s="1">
        <v>6.1281800000000004</v>
      </c>
      <c r="G878" s="1">
        <v>13.4521</v>
      </c>
      <c r="H878" s="1">
        <v>1.8708400000000001</v>
      </c>
    </row>
    <row r="879" spans="1:8" x14ac:dyDescent="0.3">
      <c r="A879" t="e">
        <f t="shared" si="34"/>
        <v>#REF!</v>
      </c>
      <c r="B879">
        <v>562</v>
      </c>
      <c r="C879" s="1">
        <v>18.219088492263221</v>
      </c>
      <c r="D879" s="9">
        <v>16.730777777778759</v>
      </c>
      <c r="E879" s="1">
        <v>2.6865000000000001</v>
      </c>
      <c r="F879" s="1">
        <v>5.2487000000000004</v>
      </c>
      <c r="G879" s="1">
        <v>13.1233</v>
      </c>
      <c r="H879" s="1">
        <v>1.16547</v>
      </c>
    </row>
    <row r="880" spans="1:8" x14ac:dyDescent="0.3">
      <c r="A880">
        <f t="shared" si="34"/>
        <v>8</v>
      </c>
      <c r="B880">
        <v>612</v>
      </c>
      <c r="C880" s="1">
        <v>18.42168038920596</v>
      </c>
      <c r="D880" s="9">
        <v>16.778000000001068</v>
      </c>
      <c r="E880" s="1">
        <v>1.7683199999999999</v>
      </c>
      <c r="F880" s="1">
        <v>4.2158199999999999</v>
      </c>
      <c r="G880" s="1">
        <v>12.7379</v>
      </c>
      <c r="H880" s="1">
        <v>0.45683200000000002</v>
      </c>
    </row>
    <row r="881" spans="1:8" x14ac:dyDescent="0.3">
      <c r="A881" t="e">
        <f t="shared" si="34"/>
        <v>#REF!</v>
      </c>
      <c r="B881">
        <v>662</v>
      </c>
      <c r="C881" s="1">
        <v>18.48599866370067</v>
      </c>
      <c r="D881" s="9">
        <v>16.825222222223378</v>
      </c>
      <c r="E881" s="1">
        <v>1.01925</v>
      </c>
      <c r="F881" s="1">
        <v>3.2655400000000001</v>
      </c>
      <c r="G881" s="1">
        <v>12.318</v>
      </c>
      <c r="H881" s="1">
        <v>9.3267599999999999E-3</v>
      </c>
    </row>
    <row r="882" spans="1:8" x14ac:dyDescent="0.3">
      <c r="A882" t="e">
        <f t="shared" si="34"/>
        <v>#REF!</v>
      </c>
      <c r="B882">
        <v>712</v>
      </c>
      <c r="C882" s="1">
        <v>18.71</v>
      </c>
      <c r="D882" s="9">
        <v>16.872444444445687</v>
      </c>
      <c r="E882" s="1">
        <v>0.65886900000000004</v>
      </c>
      <c r="F882" s="1">
        <v>2.6044700000000001</v>
      </c>
      <c r="G882" s="1">
        <v>12.1198</v>
      </c>
      <c r="H882" s="1">
        <v>0.116256</v>
      </c>
    </row>
    <row r="883" spans="1:8" x14ac:dyDescent="0.3">
      <c r="A883" t="e">
        <f t="shared" si="34"/>
        <v>#REF!</v>
      </c>
      <c r="B883">
        <v>762</v>
      </c>
      <c r="C883" s="1">
        <v>18.829999999999998</v>
      </c>
      <c r="D883" s="9">
        <v>16.919666666667997</v>
      </c>
      <c r="E883" s="1">
        <v>0.74208300000000005</v>
      </c>
      <c r="F883" s="1">
        <v>2.2758799999999999</v>
      </c>
      <c r="G883" s="1">
        <v>12.2897</v>
      </c>
      <c r="H883" s="1">
        <v>0.86222100000000002</v>
      </c>
    </row>
    <row r="884" spans="1:8" x14ac:dyDescent="0.3">
      <c r="A884" t="e">
        <f t="shared" si="34"/>
        <v>#REF!</v>
      </c>
      <c r="B884">
        <v>812</v>
      </c>
      <c r="C884" s="1">
        <v>19.236454303565448</v>
      </c>
      <c r="D884" s="9">
        <v>16.966888888890306</v>
      </c>
      <c r="E884" s="1">
        <v>1.01491</v>
      </c>
      <c r="F884" s="1">
        <v>2.01634</v>
      </c>
      <c r="G884" s="1">
        <v>12.7074</v>
      </c>
      <c r="H884" s="1">
        <v>1.9231499999999999</v>
      </c>
    </row>
    <row r="885" spans="1:8" x14ac:dyDescent="0.3">
      <c r="A885" t="e">
        <f t="shared" si="34"/>
        <v>#REF!</v>
      </c>
      <c r="B885">
        <v>862</v>
      </c>
      <c r="C885" s="1">
        <v>19.463872370958342</v>
      </c>
      <c r="D885" s="9">
        <v>17.014111111112616</v>
      </c>
      <c r="E885" s="1">
        <v>1.30372</v>
      </c>
      <c r="F885" s="1">
        <v>1.72014</v>
      </c>
      <c r="G885" s="1">
        <v>13.164099999999999</v>
      </c>
      <c r="H885" s="1">
        <v>2.9238900000000001</v>
      </c>
    </row>
    <row r="886" spans="1:8" x14ac:dyDescent="0.3">
      <c r="A886">
        <f t="shared" si="34"/>
        <v>6</v>
      </c>
      <c r="B886">
        <v>912</v>
      </c>
      <c r="C886" s="1">
        <v>19.74140667535876</v>
      </c>
      <c r="D886" s="9">
        <v>17.061333333334925</v>
      </c>
      <c r="E886" s="1">
        <v>1.6565099999999999</v>
      </c>
      <c r="F886" s="1">
        <v>1.6511199999999999</v>
      </c>
      <c r="G886" s="1">
        <v>13.339499999999999</v>
      </c>
      <c r="H886" s="1">
        <v>3.4818799999999999</v>
      </c>
    </row>
    <row r="887" spans="1:8" x14ac:dyDescent="0.3">
      <c r="A887" t="e">
        <f t="shared" si="34"/>
        <v>#REF!</v>
      </c>
      <c r="B887">
        <v>962</v>
      </c>
      <c r="C887" s="1">
        <v>20.068046493438391</v>
      </c>
      <c r="D887" s="9">
        <v>17.108555555557235</v>
      </c>
      <c r="E887" s="1">
        <v>2.0546700000000002</v>
      </c>
      <c r="F887" s="1">
        <v>1.9659</v>
      </c>
      <c r="G887" s="1">
        <v>13.1181</v>
      </c>
      <c r="H887" s="1">
        <v>3.4330599999999998</v>
      </c>
    </row>
    <row r="888" spans="1:8" x14ac:dyDescent="0.3">
      <c r="A888" t="e">
        <f t="shared" si="34"/>
        <v>#REF!</v>
      </c>
      <c r="B888">
        <v>1012</v>
      </c>
      <c r="C888" s="1">
        <v>20.469612666309921</v>
      </c>
      <c r="D888" s="9">
        <v>17.155777777779544</v>
      </c>
      <c r="E888" s="1">
        <v>2.3041499999999999</v>
      </c>
      <c r="F888" s="1">
        <v>2.5340199999999999</v>
      </c>
      <c r="G888" s="1">
        <v>12.8035</v>
      </c>
      <c r="H888" s="1">
        <v>3.03382</v>
      </c>
    </row>
    <row r="889" spans="1:8" x14ac:dyDescent="0.3">
      <c r="A889" t="e">
        <f t="shared" si="34"/>
        <v>#REF!</v>
      </c>
      <c r="B889">
        <v>1062</v>
      </c>
      <c r="C889" s="1">
        <v>20.917680742355849</v>
      </c>
      <c r="D889" s="9">
        <v>17.203000000001854</v>
      </c>
      <c r="E889" s="1">
        <v>2.3275600000000001</v>
      </c>
      <c r="F889" s="1">
        <v>3.1339100000000002</v>
      </c>
      <c r="G889" s="1">
        <v>12.650499999999999</v>
      </c>
      <c r="H889" s="1">
        <v>2.62446</v>
      </c>
    </row>
    <row r="890" spans="1:8" x14ac:dyDescent="0.3">
      <c r="A890" t="e">
        <f t="shared" si="34"/>
        <v>#REF!</v>
      </c>
      <c r="B890">
        <v>1112</v>
      </c>
      <c r="C890" s="1">
        <v>21.304072239142709</v>
      </c>
      <c r="D890" s="9">
        <v>17.250222222224163</v>
      </c>
      <c r="E890" s="1">
        <v>2.30823</v>
      </c>
      <c r="F890" s="1">
        <v>3.43391</v>
      </c>
      <c r="G890" s="1">
        <v>12.7285</v>
      </c>
      <c r="H890" s="1">
        <v>2.6127600000000002</v>
      </c>
    </row>
    <row r="891" spans="1:8" x14ac:dyDescent="0.3">
      <c r="A891" t="e">
        <f t="shared" si="34"/>
        <v>#REF!</v>
      </c>
      <c r="B891">
        <v>1162</v>
      </c>
      <c r="C891" s="1">
        <v>21.594956678763051</v>
      </c>
      <c r="D891" s="9">
        <v>17.297444444446473</v>
      </c>
      <c r="E891" s="1">
        <v>2.32362</v>
      </c>
      <c r="F891" s="1">
        <v>3.3245900000000002</v>
      </c>
      <c r="G891" s="1">
        <v>12.9771</v>
      </c>
      <c r="H891" s="1">
        <v>3.1729599999999998</v>
      </c>
    </row>
    <row r="892" spans="1:8" x14ac:dyDescent="0.3">
      <c r="A892">
        <f t="shared" si="34"/>
        <v>4</v>
      </c>
      <c r="B892">
        <v>1212</v>
      </c>
      <c r="C892" s="1">
        <v>22.03424203844105</v>
      </c>
      <c r="D892" s="9">
        <v>17.344666666668783</v>
      </c>
      <c r="E892" s="1">
        <v>2.1939899999999999</v>
      </c>
      <c r="F892" s="1">
        <v>3.1429</v>
      </c>
      <c r="G892" s="1">
        <v>13.130100000000001</v>
      </c>
      <c r="H892" s="1">
        <v>4.0212000000000003</v>
      </c>
    </row>
    <row r="893" spans="1:8" x14ac:dyDescent="0.3">
      <c r="A893" t="e">
        <f t="shared" si="34"/>
        <v>#REF!</v>
      </c>
      <c r="B893">
        <v>1262</v>
      </c>
      <c r="C893" s="1">
        <v>22.446622974782709</v>
      </c>
      <c r="D893" s="9">
        <v>17.391888888891092</v>
      </c>
      <c r="E893" s="1">
        <v>1.8843700000000001</v>
      </c>
      <c r="F893" s="1">
        <v>3.1501999999999999</v>
      </c>
      <c r="G893" s="1">
        <v>13.075799999999999</v>
      </c>
      <c r="H893" s="1">
        <v>4.8594999999999997</v>
      </c>
    </row>
    <row r="894" spans="1:8" x14ac:dyDescent="0.3">
      <c r="A894" t="e">
        <f t="shared" si="34"/>
        <v>#REF!</v>
      </c>
      <c r="B894">
        <v>1312</v>
      </c>
      <c r="C894" s="1">
        <v>22.88085973608413</v>
      </c>
      <c r="D894" s="9">
        <v>17.439111111113402</v>
      </c>
      <c r="E894" s="1">
        <v>1.6896199999999999</v>
      </c>
      <c r="F894" s="1">
        <v>3.3685200000000002</v>
      </c>
      <c r="G894" s="1">
        <v>13.0404</v>
      </c>
      <c r="H894" s="1">
        <v>5.4616100000000003</v>
      </c>
    </row>
    <row r="895" spans="1:8" x14ac:dyDescent="0.3">
      <c r="A895" t="e">
        <f t="shared" si="34"/>
        <v>#REF!</v>
      </c>
      <c r="B895">
        <v>1362</v>
      </c>
      <c r="C895" s="1">
        <v>23.12</v>
      </c>
      <c r="D895" s="9">
        <v>17.486333333335711</v>
      </c>
      <c r="E895" s="1">
        <v>1.8112999999999999</v>
      </c>
      <c r="F895" s="1">
        <v>3.7423299999999999</v>
      </c>
      <c r="G895" s="1">
        <v>13.1332</v>
      </c>
      <c r="H895" s="1">
        <v>5.7550600000000003</v>
      </c>
    </row>
    <row r="896" spans="1:8" x14ac:dyDescent="0.3">
      <c r="A896">
        <f t="shared" si="34"/>
        <v>11</v>
      </c>
      <c r="B896">
        <v>1412</v>
      </c>
      <c r="C896" s="1">
        <v>23.237451626844479</v>
      </c>
      <c r="D896" s="9">
        <v>17.533555555558021</v>
      </c>
      <c r="E896" s="1">
        <v>2.2028300000000001</v>
      </c>
      <c r="F896" s="1">
        <v>4.1203799999999999</v>
      </c>
      <c r="G896" s="1">
        <v>13.1717</v>
      </c>
      <c r="H896" s="1">
        <v>5.9412099999999999</v>
      </c>
    </row>
    <row r="897" spans="1:8" x14ac:dyDescent="0.3">
      <c r="A897" t="e">
        <f t="shared" si="34"/>
        <v>#REF!</v>
      </c>
      <c r="B897">
        <v>1462</v>
      </c>
      <c r="C897" s="1">
        <v>23.23076974842116</v>
      </c>
      <c r="D897" s="9">
        <v>17.58077777778033</v>
      </c>
      <c r="E897" s="1">
        <v>2.71746</v>
      </c>
      <c r="F897" s="1">
        <v>4.4040699999999999</v>
      </c>
      <c r="G897" s="1">
        <v>13.0844</v>
      </c>
      <c r="H897" s="1">
        <v>6.1139099999999997</v>
      </c>
    </row>
    <row r="898" spans="1:8" x14ac:dyDescent="0.3">
      <c r="A898">
        <f t="shared" si="34"/>
        <v>2</v>
      </c>
      <c r="B898">
        <v>1512</v>
      </c>
      <c r="C898" s="1">
        <v>23.060192406601189</v>
      </c>
      <c r="D898" s="9">
        <v>17.62800000000264</v>
      </c>
      <c r="E898" s="1">
        <v>3.0735299999999999</v>
      </c>
      <c r="F898" s="1">
        <v>4.6152100000000003</v>
      </c>
      <c r="G898" s="1">
        <v>13.071199999999999</v>
      </c>
      <c r="H898" s="1">
        <v>6.10839</v>
      </c>
    </row>
    <row r="899" spans="1:8" x14ac:dyDescent="0.3">
      <c r="A899" t="e">
        <f t="shared" si="34"/>
        <v>#REF!</v>
      </c>
      <c r="B899">
        <v>1562</v>
      </c>
      <c r="C899" s="1">
        <v>22.785667418249869</v>
      </c>
      <c r="D899" s="9">
        <v>17.675222222224949</v>
      </c>
      <c r="E899" s="1">
        <v>3.20953</v>
      </c>
      <c r="F899" s="1">
        <v>4.8668800000000001</v>
      </c>
      <c r="G899" s="1">
        <v>13.217499999999999</v>
      </c>
      <c r="H899" s="1">
        <v>5.8003099999999996</v>
      </c>
    </row>
    <row r="900" spans="1:8" x14ac:dyDescent="0.3">
      <c r="A900" t="e">
        <f t="shared" si="34"/>
        <v>#REF!</v>
      </c>
      <c r="B900">
        <v>1612</v>
      </c>
      <c r="C900" s="1">
        <v>22.424637392980909</v>
      </c>
      <c r="D900" s="9">
        <v>17.722444444447259</v>
      </c>
      <c r="E900" s="1">
        <v>3.5061100000000001</v>
      </c>
      <c r="F900" s="1">
        <v>5.4174600000000002</v>
      </c>
      <c r="G900" s="1">
        <v>13.3378</v>
      </c>
      <c r="H900" s="1">
        <v>5.1949699999999996</v>
      </c>
    </row>
    <row r="901" spans="1:8" x14ac:dyDescent="0.3">
      <c r="A901" t="e">
        <f t="shared" ref="A901:A932" si="35">A851</f>
        <v>#REF!</v>
      </c>
      <c r="B901">
        <v>1662</v>
      </c>
      <c r="C901" s="1">
        <v>21.986763006239809</v>
      </c>
      <c r="D901" s="9">
        <v>17.769666666669568</v>
      </c>
      <c r="E901" s="1">
        <v>4.1746100000000004</v>
      </c>
      <c r="F901" s="1">
        <v>6.3579600000000003</v>
      </c>
      <c r="G901" s="1">
        <v>13.3468</v>
      </c>
      <c r="H901" s="1">
        <v>4.3375199999999996</v>
      </c>
    </row>
    <row r="902" spans="1:8" x14ac:dyDescent="0.3">
      <c r="A902">
        <f t="shared" si="35"/>
        <v>9</v>
      </c>
      <c r="B902">
        <v>1712</v>
      </c>
      <c r="C902" s="1">
        <v>21.526047136981969</v>
      </c>
      <c r="D902" s="9">
        <v>17.816888888891878</v>
      </c>
      <c r="E902" s="1">
        <v>5.0152400000000004</v>
      </c>
      <c r="F902" s="1">
        <v>7.4347700000000003</v>
      </c>
      <c r="G902" s="1">
        <v>13.4023</v>
      </c>
      <c r="H902" s="1">
        <v>3.3208099999999998</v>
      </c>
    </row>
    <row r="903" spans="1:8" x14ac:dyDescent="0.3">
      <c r="A903">
        <f t="shared" si="35"/>
        <v>0</v>
      </c>
      <c r="B903">
        <v>1762</v>
      </c>
      <c r="C903" s="1">
        <v>21.20558210931619</v>
      </c>
      <c r="D903" s="9">
        <v>17.864111111114187</v>
      </c>
      <c r="E903" s="1">
        <v>5.7231300000000003</v>
      </c>
      <c r="F903" s="1">
        <v>8.3692399999999996</v>
      </c>
      <c r="G903" s="1">
        <v>13.555999999999999</v>
      </c>
      <c r="H903" s="1">
        <v>2.2244299999999999</v>
      </c>
    </row>
    <row r="904" spans="1:8" x14ac:dyDescent="0.3">
      <c r="A904" t="e">
        <f t="shared" si="35"/>
        <v>#REF!</v>
      </c>
      <c r="B904">
        <v>1812</v>
      </c>
      <c r="C904" s="1">
        <v>20.80788523651907</v>
      </c>
      <c r="D904" s="9">
        <v>17.911333333336497</v>
      </c>
      <c r="E904" s="1">
        <v>5.8840500000000002</v>
      </c>
      <c r="F904" s="1">
        <v>8.9089299999999998</v>
      </c>
      <c r="G904" s="1">
        <v>13.6119</v>
      </c>
      <c r="H904" s="1">
        <v>1.0931599999999999</v>
      </c>
    </row>
    <row r="905" spans="1:8" x14ac:dyDescent="0.3">
      <c r="A905" t="e">
        <f t="shared" si="35"/>
        <v>#REF!</v>
      </c>
      <c r="B905">
        <v>1862</v>
      </c>
      <c r="C905" s="1">
        <v>20.46721069780946</v>
      </c>
      <c r="D905" s="9">
        <v>17.958555555558807</v>
      </c>
      <c r="E905" s="1">
        <v>5.3406200000000004</v>
      </c>
      <c r="F905" s="1">
        <v>9.0093899999999998</v>
      </c>
      <c r="G905" s="1">
        <v>13.5006</v>
      </c>
      <c r="H905" s="1">
        <v>-6.5164799999999995E-2</v>
      </c>
    </row>
    <row r="906" spans="1:8" x14ac:dyDescent="0.3">
      <c r="A906" t="e">
        <f t="shared" si="35"/>
        <v>#REF!</v>
      </c>
      <c r="B906">
        <v>1912</v>
      </c>
      <c r="C906" s="1">
        <v>20.05496832775453</v>
      </c>
      <c r="D906" s="9">
        <v>18.005777777781116</v>
      </c>
      <c r="E906" s="1">
        <v>4.4368999999999996</v>
      </c>
      <c r="F906" s="1">
        <v>9.0064499999999992</v>
      </c>
      <c r="G906" s="1">
        <v>13.4374</v>
      </c>
      <c r="H906" s="1">
        <v>-1.3036099999999999</v>
      </c>
    </row>
    <row r="907" spans="1:8" x14ac:dyDescent="0.3">
      <c r="A907" t="e">
        <f t="shared" si="35"/>
        <v>#REF!</v>
      </c>
      <c r="B907">
        <v>1962</v>
      </c>
      <c r="C907" s="1">
        <v>19.759124052520399</v>
      </c>
      <c r="D907" s="9">
        <v>18.053000000003426</v>
      </c>
      <c r="E907" s="1">
        <v>3.5440499999999999</v>
      </c>
      <c r="F907" s="1">
        <v>9.0842399999999994</v>
      </c>
      <c r="G907" s="1">
        <v>13.531000000000001</v>
      </c>
      <c r="H907" s="1">
        <v>-2.617</v>
      </c>
    </row>
    <row r="908" spans="1:8" x14ac:dyDescent="0.3">
      <c r="A908">
        <f t="shared" si="35"/>
        <v>7</v>
      </c>
      <c r="B908">
        <v>2012</v>
      </c>
      <c r="C908" s="1">
        <v>19.463054117069571</v>
      </c>
      <c r="D908" s="9">
        <v>18.100222222225735</v>
      </c>
      <c r="E908" s="1">
        <v>2.9796999999999998</v>
      </c>
      <c r="F908" s="1">
        <v>9.0695200000000007</v>
      </c>
      <c r="G908" s="1">
        <v>13.6358</v>
      </c>
      <c r="H908" s="1">
        <v>-3.88042</v>
      </c>
    </row>
    <row r="909" spans="1:8" x14ac:dyDescent="0.3">
      <c r="A909" t="e">
        <f t="shared" si="35"/>
        <v>#REF!</v>
      </c>
      <c r="B909">
        <v>2062</v>
      </c>
      <c r="C909" s="1">
        <v>19.290611649549149</v>
      </c>
      <c r="D909" s="9">
        <v>18.147444444448045</v>
      </c>
      <c r="E909" s="1">
        <v>2.8350200000000001</v>
      </c>
      <c r="F909" s="1">
        <v>8.8723500000000008</v>
      </c>
      <c r="G909" s="1">
        <v>13.6835</v>
      </c>
      <c r="H909" s="1">
        <v>-4.9770700000000003</v>
      </c>
    </row>
    <row r="910" spans="1:8" x14ac:dyDescent="0.3">
      <c r="A910" t="e">
        <f t="shared" si="35"/>
        <v>#REF!</v>
      </c>
      <c r="B910">
        <v>2112</v>
      </c>
      <c r="C910" s="1">
        <v>19.190000000000001</v>
      </c>
      <c r="D910" s="9">
        <v>18.194666666670354</v>
      </c>
      <c r="E910" s="1">
        <v>2.7948599999999999</v>
      </c>
      <c r="F910" s="1">
        <v>8.6284899999999993</v>
      </c>
      <c r="G910" s="1">
        <v>13.798299999999999</v>
      </c>
      <c r="H910" s="1">
        <v>-5.8285600000000004</v>
      </c>
    </row>
    <row r="911" spans="1:8" x14ac:dyDescent="0.3">
      <c r="A911" t="e">
        <f t="shared" si="35"/>
        <v>#REF!</v>
      </c>
      <c r="B911">
        <v>2162</v>
      </c>
      <c r="C911" s="1">
        <v>19.190000000000001</v>
      </c>
      <c r="D911" s="9">
        <v>18.241888888892664</v>
      </c>
      <c r="E911" s="1">
        <v>2.6846700000000001</v>
      </c>
      <c r="F911" s="1">
        <v>8.4733599999999996</v>
      </c>
      <c r="G911" s="1">
        <v>14.0008</v>
      </c>
      <c r="H911" s="1">
        <v>-6.3252899999999999</v>
      </c>
    </row>
    <row r="912" spans="1:8" x14ac:dyDescent="0.3">
      <c r="A912" t="e">
        <f t="shared" si="35"/>
        <v>#REF!</v>
      </c>
      <c r="B912">
        <v>2212</v>
      </c>
      <c r="C912" s="1">
        <v>19.18</v>
      </c>
      <c r="D912" s="9">
        <v>18.289111111114973</v>
      </c>
      <c r="E912" s="1">
        <v>2.6684399999999999</v>
      </c>
      <c r="F912" s="1">
        <v>8.4955599999999993</v>
      </c>
      <c r="G912" s="1">
        <v>14.083399999999999</v>
      </c>
      <c r="H912" s="1">
        <v>-6.2943300000000004</v>
      </c>
    </row>
    <row r="913" spans="1:8" x14ac:dyDescent="0.3">
      <c r="A913" t="e">
        <f t="shared" si="35"/>
        <v>#REF!</v>
      </c>
      <c r="B913">
        <v>2262</v>
      </c>
      <c r="C913" s="1">
        <v>19.385571095571098</v>
      </c>
      <c r="D913" s="9">
        <v>18.336333333337283</v>
      </c>
      <c r="E913" s="1">
        <v>2.8063400000000001</v>
      </c>
      <c r="F913" s="1">
        <v>8.6565999999999992</v>
      </c>
      <c r="G913" s="1">
        <v>13.967700000000001</v>
      </c>
      <c r="H913" s="1">
        <v>-5.7067300000000003</v>
      </c>
    </row>
    <row r="914" spans="1:8" x14ac:dyDescent="0.3">
      <c r="A914">
        <f t="shared" si="35"/>
        <v>5</v>
      </c>
      <c r="B914">
        <v>2312</v>
      </c>
      <c r="C914" s="1">
        <v>19.666192626158619</v>
      </c>
      <c r="D914" s="9">
        <v>18.383555555559592</v>
      </c>
      <c r="E914" s="1">
        <v>2.9022399999999999</v>
      </c>
      <c r="F914" s="1">
        <v>8.69482</v>
      </c>
      <c r="G914" s="1">
        <v>13.856400000000001</v>
      </c>
      <c r="H914" s="1">
        <v>-4.8081899999999997</v>
      </c>
    </row>
    <row r="915" spans="1:8" x14ac:dyDescent="0.3">
      <c r="A915" t="e">
        <f t="shared" si="35"/>
        <v>#REF!</v>
      </c>
      <c r="B915">
        <v>2362</v>
      </c>
      <c r="C915" s="1">
        <v>20.07477070239521</v>
      </c>
      <c r="D915" s="9">
        <v>18.430777777781902</v>
      </c>
      <c r="E915" s="1">
        <v>2.8624900000000002</v>
      </c>
      <c r="F915" s="1">
        <v>8.4753900000000009</v>
      </c>
      <c r="G915" s="1">
        <v>13.845599999999999</v>
      </c>
      <c r="H915" s="1">
        <v>-3.79338</v>
      </c>
    </row>
    <row r="916" spans="1:8" x14ac:dyDescent="0.3">
      <c r="A916" t="e">
        <f t="shared" si="35"/>
        <v>#REF!</v>
      </c>
      <c r="B916">
        <v>2412</v>
      </c>
      <c r="C916" s="1">
        <v>20.586606669765299</v>
      </c>
      <c r="D916" s="9">
        <v>18.478000000004212</v>
      </c>
      <c r="E916" s="1">
        <v>2.8299500000000002</v>
      </c>
      <c r="F916" s="1">
        <v>8.1405100000000008</v>
      </c>
      <c r="G916" s="1">
        <v>13.7836</v>
      </c>
      <c r="H916" s="1">
        <v>-2.7106599999999998</v>
      </c>
    </row>
    <row r="917" spans="1:8" x14ac:dyDescent="0.3">
      <c r="A917" t="e">
        <f t="shared" si="35"/>
        <v>#REF!</v>
      </c>
      <c r="B917">
        <v>2462</v>
      </c>
      <c r="C917" s="1">
        <v>21.181522877966351</v>
      </c>
      <c r="D917" s="9">
        <v>18.525222222226521</v>
      </c>
      <c r="E917" s="1">
        <v>2.82064</v>
      </c>
      <c r="F917" s="1">
        <v>7.8731999999999998</v>
      </c>
      <c r="G917" s="1">
        <v>13.6431</v>
      </c>
      <c r="H917" s="1">
        <v>-1.5758700000000001</v>
      </c>
    </row>
    <row r="918" spans="1:8" x14ac:dyDescent="0.3">
      <c r="A918">
        <f t="shared" si="35"/>
        <v>12</v>
      </c>
      <c r="B918">
        <v>2512</v>
      </c>
      <c r="C918" s="1">
        <v>21.690606299567431</v>
      </c>
      <c r="D918" s="9">
        <v>18.572444444448831</v>
      </c>
      <c r="E918" s="1">
        <v>2.5746500000000001</v>
      </c>
      <c r="F918" s="1">
        <v>7.8747600000000002</v>
      </c>
      <c r="G918" s="1">
        <v>13.670199999999999</v>
      </c>
      <c r="H918" s="1">
        <v>-0.37426700000000002</v>
      </c>
    </row>
    <row r="919" spans="1:8" x14ac:dyDescent="0.3">
      <c r="A919" t="e">
        <f t="shared" si="35"/>
        <v>#REF!</v>
      </c>
      <c r="B919">
        <v>2562</v>
      </c>
      <c r="C919" s="1">
        <v>22.155994046136801</v>
      </c>
      <c r="D919" s="9">
        <v>18.61966666667114</v>
      </c>
      <c r="E919" s="1">
        <v>1.9845200000000001</v>
      </c>
      <c r="F919" s="1">
        <v>8.1531900000000004</v>
      </c>
      <c r="G919" s="1">
        <v>13.9558</v>
      </c>
      <c r="H919" s="1">
        <v>0.88408500000000001</v>
      </c>
    </row>
    <row r="920" spans="1:8" x14ac:dyDescent="0.3">
      <c r="A920">
        <f t="shared" si="35"/>
        <v>3</v>
      </c>
      <c r="B920">
        <v>2612</v>
      </c>
      <c r="C920" s="1">
        <v>22.486635634234769</v>
      </c>
      <c r="D920" s="9">
        <v>18.66688888889345</v>
      </c>
      <c r="E920" s="1">
        <v>1.2739499999999999</v>
      </c>
      <c r="F920" s="1">
        <v>8.36191</v>
      </c>
      <c r="G920" s="1">
        <v>14.257</v>
      </c>
      <c r="H920" s="1">
        <v>2.13835</v>
      </c>
    </row>
    <row r="921" spans="1:8" x14ac:dyDescent="0.3">
      <c r="A921" t="e">
        <f t="shared" si="35"/>
        <v>#REF!</v>
      </c>
      <c r="B921">
        <v>2662</v>
      </c>
      <c r="C921" s="1">
        <v>22.86510201340781</v>
      </c>
      <c r="D921" s="9">
        <v>18.714111111115759</v>
      </c>
      <c r="E921" s="1">
        <v>0.72249600000000003</v>
      </c>
      <c r="F921" s="1">
        <v>8.2864400000000007</v>
      </c>
      <c r="G921" s="1">
        <v>14.355</v>
      </c>
      <c r="H921" s="1">
        <v>3.3134600000000001</v>
      </c>
    </row>
    <row r="922" spans="1:8" x14ac:dyDescent="0.3">
      <c r="A922" t="e">
        <f t="shared" si="35"/>
        <v>#REF!</v>
      </c>
      <c r="B922">
        <v>2712</v>
      </c>
      <c r="C922" s="1">
        <v>23.33386902687058</v>
      </c>
      <c r="D922" s="9">
        <v>18.761333333338069</v>
      </c>
      <c r="E922" s="1">
        <v>0.64510000000000001</v>
      </c>
      <c r="F922" s="1">
        <v>8.0220900000000004</v>
      </c>
      <c r="G922" s="1">
        <v>14.139099999999999</v>
      </c>
      <c r="H922" s="1">
        <v>4.3185700000000002</v>
      </c>
    </row>
    <row r="923" spans="1:8" x14ac:dyDescent="0.3">
      <c r="A923" t="e">
        <f t="shared" si="35"/>
        <v>#REF!</v>
      </c>
      <c r="B923">
        <v>2762</v>
      </c>
      <c r="C923" s="1">
        <v>23.76362582009757</v>
      </c>
      <c r="D923" s="9">
        <v>18.808555555560378</v>
      </c>
      <c r="E923" s="1">
        <v>1.1471100000000001</v>
      </c>
      <c r="F923" s="1">
        <v>7.7911099999999998</v>
      </c>
      <c r="G923" s="1">
        <v>13.6587</v>
      </c>
      <c r="H923" s="1">
        <v>5.0783399999999999</v>
      </c>
    </row>
    <row r="924" spans="1:8" x14ac:dyDescent="0.3">
      <c r="A924">
        <f t="shared" si="35"/>
        <v>10</v>
      </c>
      <c r="B924">
        <v>2812</v>
      </c>
      <c r="C924" s="1">
        <v>24.054124370328999</v>
      </c>
      <c r="D924" s="9">
        <v>18.855777777782688</v>
      </c>
      <c r="E924" s="1">
        <v>1.9481599999999999</v>
      </c>
      <c r="F924" s="1">
        <v>7.9843099999999998</v>
      </c>
      <c r="G924" s="1">
        <v>13.2308</v>
      </c>
      <c r="H924" s="1">
        <v>5.5492100000000004</v>
      </c>
    </row>
    <row r="925" spans="1:8" x14ac:dyDescent="0.3">
      <c r="A925" t="e">
        <f t="shared" si="35"/>
        <v>#REF!</v>
      </c>
      <c r="B925">
        <v>2862</v>
      </c>
      <c r="C925" s="1">
        <v>24.254564696837448</v>
      </c>
      <c r="D925" s="9">
        <v>18.903000000004997</v>
      </c>
      <c r="E925" s="1">
        <v>2.73299</v>
      </c>
      <c r="F925" s="1">
        <v>8.7965</v>
      </c>
      <c r="G925" s="1">
        <v>13.1448</v>
      </c>
      <c r="H925" s="1">
        <v>5.7875300000000003</v>
      </c>
    </row>
    <row r="926" spans="1:8" x14ac:dyDescent="0.3">
      <c r="A926">
        <f t="shared" si="35"/>
        <v>1</v>
      </c>
      <c r="B926">
        <v>2912</v>
      </c>
      <c r="C926" s="1">
        <v>24.22</v>
      </c>
      <c r="D926" s="9">
        <v>18.950222222227307</v>
      </c>
      <c r="E926" s="1">
        <v>3.1991900000000002</v>
      </c>
      <c r="F926" s="1">
        <v>10.035399999999999</v>
      </c>
      <c r="G926" s="1">
        <v>13.5885</v>
      </c>
      <c r="H926" s="1">
        <v>6.0207800000000002</v>
      </c>
    </row>
    <row r="927" spans="1:8" x14ac:dyDescent="0.3">
      <c r="A927" t="e">
        <f t="shared" si="35"/>
        <v>#REF!</v>
      </c>
      <c r="B927">
        <v>2962</v>
      </c>
      <c r="C927" s="1">
        <v>24.092892215520429</v>
      </c>
      <c r="D927" s="9">
        <v>18.997444444449616</v>
      </c>
      <c r="E927" s="1">
        <v>3.3067600000000001</v>
      </c>
      <c r="F927" s="1">
        <v>11.420500000000001</v>
      </c>
      <c r="G927" s="1">
        <v>14.5722</v>
      </c>
      <c r="H927" s="1">
        <v>6.3623000000000003</v>
      </c>
    </row>
    <row r="928" spans="1:8" x14ac:dyDescent="0.3">
      <c r="A928" t="e">
        <f t="shared" si="35"/>
        <v>#REF!</v>
      </c>
      <c r="B928">
        <v>3012</v>
      </c>
      <c r="C928" s="1">
        <v>23.98902732606733</v>
      </c>
      <c r="D928" s="9">
        <v>19.044666666671926</v>
      </c>
      <c r="E928" s="1">
        <v>3.4833500000000002</v>
      </c>
      <c r="F928" s="1">
        <v>12.5862</v>
      </c>
      <c r="G928" s="1">
        <v>15.807600000000001</v>
      </c>
      <c r="H928" s="1">
        <v>6.69156</v>
      </c>
    </row>
    <row r="929" spans="1:8" x14ac:dyDescent="0.3">
      <c r="A929" t="e">
        <f t="shared" si="35"/>
        <v>#REF!</v>
      </c>
      <c r="B929">
        <v>3062</v>
      </c>
      <c r="C929" s="1">
        <v>23.8370357294896</v>
      </c>
      <c r="D929" s="9">
        <v>19.091888888894236</v>
      </c>
      <c r="E929" s="1">
        <v>4.0244499999999999</v>
      </c>
      <c r="F929" s="1">
        <v>13.221299999999999</v>
      </c>
      <c r="G929" s="1">
        <v>16.969899999999999</v>
      </c>
      <c r="H929" s="1">
        <v>6.9819300000000002</v>
      </c>
    </row>
    <row r="930" spans="1:8" x14ac:dyDescent="0.3">
      <c r="A930">
        <f t="shared" si="35"/>
        <v>8</v>
      </c>
      <c r="B930">
        <v>3112</v>
      </c>
      <c r="C930" s="1">
        <v>23.457681364622658</v>
      </c>
      <c r="D930" s="9">
        <v>19.139111111116545</v>
      </c>
      <c r="E930" s="1">
        <v>4.8959900000000003</v>
      </c>
      <c r="F930" s="1">
        <v>13.1441</v>
      </c>
      <c r="G930" s="1">
        <v>17.735499999999998</v>
      </c>
      <c r="H930" s="1">
        <v>7.4121699999999997</v>
      </c>
    </row>
    <row r="931" spans="1:8" x14ac:dyDescent="0.3">
      <c r="A931" t="e">
        <f t="shared" si="35"/>
        <v>#REF!</v>
      </c>
      <c r="B931">
        <v>3162</v>
      </c>
      <c r="C931" s="1">
        <v>23.05756165919281</v>
      </c>
      <c r="D931" s="9">
        <v>19.186333333338855</v>
      </c>
      <c r="E931" s="1">
        <v>5.9651199999999998</v>
      </c>
      <c r="F931" s="1">
        <v>12.387600000000001</v>
      </c>
      <c r="G931" s="1">
        <v>17.956399999999999</v>
      </c>
      <c r="H931" s="1">
        <v>8.1055600000000005</v>
      </c>
    </row>
    <row r="932" spans="1:8" x14ac:dyDescent="0.3">
      <c r="A932" t="e">
        <f t="shared" si="35"/>
        <v>#REF!</v>
      </c>
      <c r="B932">
        <v>3212</v>
      </c>
      <c r="C932" s="1">
        <v>22.70242095187799</v>
      </c>
      <c r="D932" s="9">
        <v>19.233555555561164</v>
      </c>
      <c r="E932" s="1">
        <v>7.0020499999999997</v>
      </c>
      <c r="F932" s="1">
        <v>11.300800000000001</v>
      </c>
      <c r="G932" s="1">
        <v>17.765599999999999</v>
      </c>
      <c r="H932" s="1">
        <v>9.0606600000000004</v>
      </c>
    </row>
    <row r="933" spans="1:8" x14ac:dyDescent="0.3">
      <c r="A933" t="e">
        <f t="shared" ref="A933:A939" si="36">A883</f>
        <v>#REF!</v>
      </c>
      <c r="B933">
        <v>3262</v>
      </c>
      <c r="C933" s="1">
        <v>22.32008969227455</v>
      </c>
      <c r="D933" s="9">
        <v>19.280777777783474</v>
      </c>
      <c r="E933" s="1">
        <v>7.9073500000000001</v>
      </c>
      <c r="F933" s="1">
        <v>10.2393</v>
      </c>
      <c r="G933" s="1">
        <v>17.3508</v>
      </c>
      <c r="H933" s="1">
        <v>10.235900000000001</v>
      </c>
    </row>
    <row r="934" spans="1:8" x14ac:dyDescent="0.3">
      <c r="A934" t="e">
        <f t="shared" si="36"/>
        <v>#REF!</v>
      </c>
      <c r="B934">
        <v>3312</v>
      </c>
      <c r="C934" s="1">
        <v>21.93598574073679</v>
      </c>
      <c r="D934" s="9">
        <v>19.328000000005783</v>
      </c>
      <c r="E934" s="1">
        <v>8.9350299999999994</v>
      </c>
      <c r="F934" s="1">
        <v>9.8010599999999997</v>
      </c>
      <c r="G934" s="1">
        <v>17.043099999999999</v>
      </c>
      <c r="H934" s="1">
        <v>11.569000000000001</v>
      </c>
    </row>
    <row r="935" spans="1:8" x14ac:dyDescent="0.3">
      <c r="A935" t="e">
        <f t="shared" si="36"/>
        <v>#REF!</v>
      </c>
      <c r="B935">
        <v>3362</v>
      </c>
      <c r="C935" s="1">
        <v>21.622816498366291</v>
      </c>
      <c r="D935" s="9">
        <v>19.375222222228093</v>
      </c>
      <c r="E935" s="1">
        <v>10.4916</v>
      </c>
      <c r="F935" s="1">
        <v>10.8734</v>
      </c>
      <c r="G935" s="1">
        <v>17.1876</v>
      </c>
      <c r="H935" s="1">
        <v>13.0053</v>
      </c>
    </row>
    <row r="936" spans="1:8" x14ac:dyDescent="0.3">
      <c r="A936">
        <f t="shared" si="36"/>
        <v>6</v>
      </c>
      <c r="B936">
        <v>3412</v>
      </c>
      <c r="C936" s="1">
        <v>21.28166829143148</v>
      </c>
      <c r="D936" s="9">
        <v>19.422444444450402</v>
      </c>
      <c r="E936" s="1">
        <v>12.2866</v>
      </c>
      <c r="F936" s="1">
        <v>12.470800000000001</v>
      </c>
      <c r="G936" s="1">
        <v>17.491299999999999</v>
      </c>
      <c r="H936" s="1">
        <v>14.4208</v>
      </c>
    </row>
    <row r="937" spans="1:8" x14ac:dyDescent="0.3">
      <c r="A937" t="e">
        <f t="shared" si="36"/>
        <v>#REF!</v>
      </c>
      <c r="B937">
        <v>3462</v>
      </c>
      <c r="C937" s="1">
        <v>20.808039238463451</v>
      </c>
      <c r="D937" s="9">
        <v>19.469666666672712</v>
      </c>
      <c r="E937" s="1">
        <v>14.1799</v>
      </c>
      <c r="F937" s="1">
        <v>14.266</v>
      </c>
      <c r="G937" s="1">
        <v>17.929200000000002</v>
      </c>
      <c r="H937" s="1">
        <v>15.8148</v>
      </c>
    </row>
    <row r="938" spans="1:8" x14ac:dyDescent="0.3">
      <c r="A938" t="e">
        <f t="shared" si="36"/>
        <v>#REF!</v>
      </c>
      <c r="B938">
        <v>3512</v>
      </c>
      <c r="C938" s="1">
        <v>20.333386041569181</v>
      </c>
      <c r="D938" s="9">
        <v>19.516888888895021</v>
      </c>
      <c r="E938" s="1">
        <v>16.122199999999999</v>
      </c>
      <c r="F938" s="1">
        <v>16.157599999999999</v>
      </c>
      <c r="G938" s="1">
        <v>18.470099999999999</v>
      </c>
      <c r="H938" s="1">
        <v>17.194500000000001</v>
      </c>
    </row>
    <row r="939" spans="1:8" x14ac:dyDescent="0.3">
      <c r="A939" t="e">
        <f t="shared" si="36"/>
        <v>#REF!</v>
      </c>
      <c r="B939">
        <v>3562</v>
      </c>
      <c r="C939" s="1">
        <v>19.938280878014311</v>
      </c>
      <c r="D939" s="9">
        <v>19.564111111117331</v>
      </c>
      <c r="E939" s="1">
        <v>18.091799999999999</v>
      </c>
      <c r="F939" s="1">
        <v>18.101400000000002</v>
      </c>
      <c r="G939" s="1">
        <v>19.088799999999999</v>
      </c>
      <c r="H939" s="1">
        <v>18.5641</v>
      </c>
    </row>
    <row r="940" spans="1:8" x14ac:dyDescent="0.3">
      <c r="A940">
        <v>13</v>
      </c>
      <c r="B940">
        <v>13</v>
      </c>
      <c r="C940" s="1">
        <v>16.180160345500909</v>
      </c>
      <c r="D940" s="9">
        <v>16.2122777777778</v>
      </c>
      <c r="E940" s="1">
        <v>15.717499999999999</v>
      </c>
      <c r="F940" s="1">
        <v>15.6852</v>
      </c>
      <c r="G940" s="1">
        <v>16.040099999999999</v>
      </c>
      <c r="H940" s="1">
        <v>15.7156</v>
      </c>
    </row>
    <row r="941" spans="1:8" x14ac:dyDescent="0.3">
      <c r="A941" t="e">
        <f t="shared" ref="A941:A972" si="37">A891</f>
        <v>#REF!</v>
      </c>
      <c r="B941">
        <v>63</v>
      </c>
      <c r="C941" s="1">
        <v>16.13</v>
      </c>
      <c r="D941" s="9">
        <v>16.259500000000109</v>
      </c>
      <c r="E941" s="1">
        <v>13.875</v>
      </c>
      <c r="F941" s="1">
        <v>13.721500000000001</v>
      </c>
      <c r="G941" s="1">
        <v>15.458399999999999</v>
      </c>
      <c r="H941" s="1">
        <v>13.847200000000001</v>
      </c>
    </row>
    <row r="942" spans="1:8" x14ac:dyDescent="0.3">
      <c r="A942">
        <f t="shared" si="37"/>
        <v>4</v>
      </c>
      <c r="B942">
        <v>113</v>
      </c>
      <c r="C942" s="1">
        <v>16.25552966843734</v>
      </c>
      <c r="D942" s="9">
        <v>16.306722222222419</v>
      </c>
      <c r="E942" s="1">
        <v>12.0603</v>
      </c>
      <c r="F942" s="1">
        <v>11.7957</v>
      </c>
      <c r="G942" s="1">
        <v>14.938800000000001</v>
      </c>
      <c r="H942" s="1">
        <v>11.969099999999999</v>
      </c>
    </row>
    <row r="943" spans="1:8" x14ac:dyDescent="0.3">
      <c r="A943" t="e">
        <f t="shared" si="37"/>
        <v>#REF!</v>
      </c>
      <c r="B943">
        <v>163</v>
      </c>
      <c r="C943" s="1">
        <v>16.46</v>
      </c>
      <c r="D943" s="9">
        <v>16.353944444444728</v>
      </c>
      <c r="E943" s="1">
        <v>10.2867</v>
      </c>
      <c r="F943" s="1">
        <v>9.9362899999999996</v>
      </c>
      <c r="G943" s="1">
        <v>14.497</v>
      </c>
      <c r="H943" s="1">
        <v>10.0809</v>
      </c>
    </row>
    <row r="944" spans="1:8" x14ac:dyDescent="0.3">
      <c r="A944" t="e">
        <f t="shared" si="37"/>
        <v>#REF!</v>
      </c>
      <c r="B944">
        <v>213</v>
      </c>
      <c r="C944" s="1">
        <v>16.82</v>
      </c>
      <c r="D944" s="9">
        <v>16.401166666667038</v>
      </c>
      <c r="E944" s="1">
        <v>8.5786200000000008</v>
      </c>
      <c r="F944" s="1">
        <v>8.2040799999999994</v>
      </c>
      <c r="G944" s="1">
        <v>14.1502</v>
      </c>
      <c r="H944" s="1">
        <v>8.1846399999999999</v>
      </c>
    </row>
    <row r="945" spans="1:8" x14ac:dyDescent="0.3">
      <c r="A945" t="e">
        <f t="shared" si="37"/>
        <v>#REF!</v>
      </c>
      <c r="B945">
        <v>263</v>
      </c>
      <c r="C945" s="1">
        <v>16.956989723942041</v>
      </c>
      <c r="D945" s="9">
        <v>16.448388888889347</v>
      </c>
      <c r="E945" s="1">
        <v>6.9832099999999997</v>
      </c>
      <c r="F945" s="1">
        <v>6.7449500000000002</v>
      </c>
      <c r="G945" s="1">
        <v>13.8927</v>
      </c>
      <c r="H945" s="1">
        <v>6.2961900000000002</v>
      </c>
    </row>
    <row r="946" spans="1:8" x14ac:dyDescent="0.3">
      <c r="A946">
        <f t="shared" si="37"/>
        <v>11</v>
      </c>
      <c r="B946">
        <v>313</v>
      </c>
      <c r="C946" s="1">
        <v>17.129071712595849</v>
      </c>
      <c r="D946" s="9">
        <v>16.495611111111657</v>
      </c>
      <c r="E946" s="1">
        <v>5.7462799999999996</v>
      </c>
      <c r="F946" s="1">
        <v>6.19909</v>
      </c>
      <c r="G946" s="1">
        <v>13.838100000000001</v>
      </c>
      <c r="H946" s="1">
        <v>4.6926100000000002</v>
      </c>
    </row>
    <row r="947" spans="1:8" x14ac:dyDescent="0.3">
      <c r="A947" t="e">
        <f t="shared" si="37"/>
        <v>#REF!</v>
      </c>
      <c r="B947">
        <v>363</v>
      </c>
      <c r="C947" s="1">
        <v>17.35355713766857</v>
      </c>
      <c r="D947" s="9">
        <v>16.542833333333967</v>
      </c>
      <c r="E947" s="1">
        <v>4.94937</v>
      </c>
      <c r="F947" s="1">
        <v>6.4867499999999998</v>
      </c>
      <c r="G947" s="1">
        <v>14.0259</v>
      </c>
      <c r="H947" s="1">
        <v>3.5816699999999999</v>
      </c>
    </row>
    <row r="948" spans="1:8" x14ac:dyDescent="0.3">
      <c r="A948">
        <f t="shared" si="37"/>
        <v>2</v>
      </c>
      <c r="B948">
        <v>413</v>
      </c>
      <c r="C948" s="1">
        <v>17.521012500547219</v>
      </c>
      <c r="D948" s="9">
        <v>16.590055555556276</v>
      </c>
      <c r="E948" s="1">
        <v>4.4175300000000002</v>
      </c>
      <c r="F948" s="1">
        <v>6.73027</v>
      </c>
      <c r="G948" s="1">
        <v>14.045</v>
      </c>
      <c r="H948" s="1">
        <v>2.8334899999999998</v>
      </c>
    </row>
    <row r="949" spans="1:8" x14ac:dyDescent="0.3">
      <c r="A949" t="e">
        <f t="shared" si="37"/>
        <v>#REF!</v>
      </c>
      <c r="B949">
        <v>463</v>
      </c>
      <c r="C949" s="1">
        <v>17.842304127586679</v>
      </c>
      <c r="D949" s="9">
        <v>16.637277777778586</v>
      </c>
      <c r="E949" s="1">
        <v>4.0389900000000001</v>
      </c>
      <c r="F949" s="1">
        <v>6.6283000000000003</v>
      </c>
      <c r="G949" s="1">
        <v>13.792199999999999</v>
      </c>
      <c r="H949" s="1">
        <v>2.3649100000000001</v>
      </c>
    </row>
    <row r="950" spans="1:8" x14ac:dyDescent="0.3">
      <c r="A950" t="e">
        <f t="shared" si="37"/>
        <v>#REF!</v>
      </c>
      <c r="B950">
        <v>513</v>
      </c>
      <c r="C950" s="1">
        <v>18.010705921994781</v>
      </c>
      <c r="D950" s="9">
        <v>16.684500000000895</v>
      </c>
      <c r="E950" s="1">
        <v>3.5051600000000001</v>
      </c>
      <c r="F950" s="1">
        <v>6.1136699999999999</v>
      </c>
      <c r="G950" s="1">
        <v>13.445399999999999</v>
      </c>
      <c r="H950" s="1">
        <v>1.8583499999999999</v>
      </c>
    </row>
    <row r="951" spans="1:8" x14ac:dyDescent="0.3">
      <c r="A951" t="e">
        <f t="shared" si="37"/>
        <v>#REF!</v>
      </c>
      <c r="B951">
        <v>563</v>
      </c>
      <c r="C951" s="1">
        <v>18.22</v>
      </c>
      <c r="D951" s="9">
        <v>16.731722222223205</v>
      </c>
      <c r="E951" s="1">
        <v>2.6680799999999998</v>
      </c>
      <c r="F951" s="1">
        <v>5.22872</v>
      </c>
      <c r="G951" s="1">
        <v>13.116400000000001</v>
      </c>
      <c r="H951" s="1">
        <v>1.1505099999999999</v>
      </c>
    </row>
    <row r="952" spans="1:8" x14ac:dyDescent="0.3">
      <c r="A952">
        <f t="shared" si="37"/>
        <v>9</v>
      </c>
      <c r="B952">
        <v>613</v>
      </c>
      <c r="C952" s="1">
        <v>18.425849261901089</v>
      </c>
      <c r="D952" s="9">
        <v>16.778944444445514</v>
      </c>
      <c r="E952" s="1">
        <v>1.75092</v>
      </c>
      <c r="F952" s="1">
        <v>4.19529</v>
      </c>
      <c r="G952" s="1">
        <v>12.729200000000001</v>
      </c>
      <c r="H952" s="1">
        <v>0.44436100000000001</v>
      </c>
    </row>
    <row r="953" spans="1:8" x14ac:dyDescent="0.3">
      <c r="A953">
        <f t="shared" si="37"/>
        <v>0</v>
      </c>
      <c r="B953">
        <v>663</v>
      </c>
      <c r="C953" s="1">
        <v>18.48999955990142</v>
      </c>
      <c r="D953" s="9">
        <v>16.826166666667824</v>
      </c>
      <c r="E953" s="1">
        <v>1.00752</v>
      </c>
      <c r="F953" s="1">
        <v>3.2488100000000002</v>
      </c>
      <c r="G953" s="1">
        <v>12.3109</v>
      </c>
      <c r="H953" s="1">
        <v>5.05624E-3</v>
      </c>
    </row>
    <row r="954" spans="1:8" x14ac:dyDescent="0.3">
      <c r="A954" t="e">
        <f t="shared" si="37"/>
        <v>#REF!</v>
      </c>
      <c r="B954">
        <v>713</v>
      </c>
      <c r="C954" s="1">
        <v>18.71</v>
      </c>
      <c r="D954" s="9">
        <v>16.873388888890133</v>
      </c>
      <c r="E954" s="1">
        <v>0.65680799999999995</v>
      </c>
      <c r="F954" s="1">
        <v>2.5952999999999999</v>
      </c>
      <c r="G954" s="1">
        <v>12.1198</v>
      </c>
      <c r="H954" s="1">
        <v>0.125692</v>
      </c>
    </row>
    <row r="955" spans="1:8" x14ac:dyDescent="0.3">
      <c r="A955" t="e">
        <f t="shared" si="37"/>
        <v>#REF!</v>
      </c>
      <c r="B955">
        <v>763</v>
      </c>
      <c r="C955" s="1">
        <v>18.829999999999998</v>
      </c>
      <c r="D955" s="9">
        <v>16.920611111112443</v>
      </c>
      <c r="E955" s="1">
        <v>0.74663800000000002</v>
      </c>
      <c r="F955" s="1">
        <v>2.2709999999999999</v>
      </c>
      <c r="G955" s="1">
        <v>12.296099999999999</v>
      </c>
      <c r="H955" s="1">
        <v>0.88158700000000001</v>
      </c>
    </row>
    <row r="956" spans="1:8" x14ac:dyDescent="0.3">
      <c r="A956" t="e">
        <f t="shared" si="37"/>
        <v>#REF!</v>
      </c>
      <c r="B956">
        <v>813</v>
      </c>
      <c r="C956" s="1">
        <v>19.244338096458211</v>
      </c>
      <c r="D956" s="9">
        <v>16.967833333334752</v>
      </c>
      <c r="E956" s="1">
        <v>1.0205299999999999</v>
      </c>
      <c r="F956" s="1">
        <v>2.0101599999999999</v>
      </c>
      <c r="G956" s="1">
        <v>12.7171</v>
      </c>
      <c r="H956" s="1">
        <v>1.94503</v>
      </c>
    </row>
    <row r="957" spans="1:8" x14ac:dyDescent="0.3">
      <c r="A957" t="e">
        <f t="shared" si="37"/>
        <v>#REF!</v>
      </c>
      <c r="B957">
        <v>863</v>
      </c>
      <c r="C957" s="1">
        <v>19.46794919462349</v>
      </c>
      <c r="D957" s="9">
        <v>17.015055555557062</v>
      </c>
      <c r="E957" s="1">
        <v>1.3099099999999999</v>
      </c>
      <c r="F957" s="1">
        <v>1.7155199999999999</v>
      </c>
      <c r="G957" s="1">
        <v>13.1714</v>
      </c>
      <c r="H957" s="1">
        <v>2.9406599999999998</v>
      </c>
    </row>
    <row r="958" spans="1:8" x14ac:dyDescent="0.3">
      <c r="A958">
        <f t="shared" si="37"/>
        <v>7</v>
      </c>
      <c r="B958">
        <v>913</v>
      </c>
      <c r="C958" s="1">
        <v>19.745653627109149</v>
      </c>
      <c r="D958" s="9">
        <v>17.062277777779371</v>
      </c>
      <c r="E958" s="1">
        <v>1.66455</v>
      </c>
      <c r="F958" s="1">
        <v>1.65388</v>
      </c>
      <c r="G958" s="1">
        <v>13.338200000000001</v>
      </c>
      <c r="H958" s="1">
        <v>3.48631</v>
      </c>
    </row>
    <row r="959" spans="1:8" x14ac:dyDescent="0.3">
      <c r="A959" t="e">
        <f t="shared" si="37"/>
        <v>#REF!</v>
      </c>
      <c r="B959">
        <v>963</v>
      </c>
      <c r="C959" s="1">
        <v>20.072501305506339</v>
      </c>
      <c r="D959" s="9">
        <v>17.109500000001681</v>
      </c>
      <c r="E959" s="1">
        <v>2.06182</v>
      </c>
      <c r="F959" s="1">
        <v>1.97532</v>
      </c>
      <c r="G959" s="1">
        <v>13.111599999999999</v>
      </c>
      <c r="H959" s="1">
        <v>3.4274900000000001</v>
      </c>
    </row>
    <row r="960" spans="1:8" x14ac:dyDescent="0.3">
      <c r="A960" t="e">
        <f t="shared" si="37"/>
        <v>#REF!</v>
      </c>
      <c r="B960">
        <v>1013</v>
      </c>
      <c r="C960" s="1">
        <v>20.478839290657131</v>
      </c>
      <c r="D960" s="9">
        <v>17.156722222223991</v>
      </c>
      <c r="E960" s="1">
        <v>2.3064100000000001</v>
      </c>
      <c r="F960" s="1">
        <v>2.5467399999999998</v>
      </c>
      <c r="G960" s="1">
        <v>12.798500000000001</v>
      </c>
      <c r="H960" s="1">
        <v>3.0244200000000001</v>
      </c>
    </row>
    <row r="961" spans="1:8" x14ac:dyDescent="0.3">
      <c r="A961" t="e">
        <f t="shared" si="37"/>
        <v>#REF!</v>
      </c>
      <c r="B961">
        <v>1063</v>
      </c>
      <c r="C961" s="1">
        <v>20.924657709949219</v>
      </c>
      <c r="D961" s="9">
        <v>17.2039444444463</v>
      </c>
      <c r="E961" s="1">
        <v>2.3268900000000001</v>
      </c>
      <c r="F961" s="1">
        <v>3.14398</v>
      </c>
      <c r="G961" s="1">
        <v>12.649699999999999</v>
      </c>
      <c r="H961" s="1">
        <v>2.61896</v>
      </c>
    </row>
    <row r="962" spans="1:8" x14ac:dyDescent="0.3">
      <c r="A962" t="e">
        <f t="shared" si="37"/>
        <v>#REF!</v>
      </c>
      <c r="B962">
        <v>1113</v>
      </c>
      <c r="C962" s="1">
        <v>21.313092027304069</v>
      </c>
      <c r="D962" s="9">
        <v>17.25116666666861</v>
      </c>
      <c r="E962" s="1">
        <v>2.3086099999999998</v>
      </c>
      <c r="F962" s="1">
        <v>3.43493</v>
      </c>
      <c r="G962" s="1">
        <v>12.7326</v>
      </c>
      <c r="H962" s="1">
        <v>2.61897</v>
      </c>
    </row>
    <row r="963" spans="1:8" x14ac:dyDescent="0.3">
      <c r="A963" t="e">
        <f t="shared" si="37"/>
        <v>#REF!</v>
      </c>
      <c r="B963">
        <v>1163</v>
      </c>
      <c r="C963" s="1">
        <v>21.60364767885665</v>
      </c>
      <c r="D963" s="9">
        <v>17.298388888890919</v>
      </c>
      <c r="E963" s="1">
        <v>2.3231299999999999</v>
      </c>
      <c r="F963" s="1">
        <v>3.3203800000000001</v>
      </c>
      <c r="G963" s="1">
        <v>12.982100000000001</v>
      </c>
      <c r="H963" s="1">
        <v>3.1882199999999998</v>
      </c>
    </row>
    <row r="964" spans="1:8" x14ac:dyDescent="0.3">
      <c r="A964">
        <f t="shared" si="37"/>
        <v>5</v>
      </c>
      <c r="B964">
        <v>1213</v>
      </c>
      <c r="C964" s="1">
        <v>22.0415240407666</v>
      </c>
      <c r="D964" s="9">
        <v>17.345611111113229</v>
      </c>
      <c r="E964" s="1">
        <v>2.1888100000000001</v>
      </c>
      <c r="F964" s="1">
        <v>3.1409500000000001</v>
      </c>
      <c r="G964" s="1">
        <v>13.130599999999999</v>
      </c>
      <c r="H964" s="1">
        <v>4.0388700000000002</v>
      </c>
    </row>
    <row r="965" spans="1:8" x14ac:dyDescent="0.3">
      <c r="A965" t="e">
        <f t="shared" si="37"/>
        <v>#REF!</v>
      </c>
      <c r="B965">
        <v>1263</v>
      </c>
      <c r="C965" s="1">
        <v>22.45099682667167</v>
      </c>
      <c r="D965" s="9">
        <v>17.392833333335538</v>
      </c>
      <c r="E965" s="1">
        <v>1.87825</v>
      </c>
      <c r="F965" s="1">
        <v>3.15252</v>
      </c>
      <c r="G965" s="1">
        <v>13.0741</v>
      </c>
      <c r="H965" s="1">
        <v>4.8745799999999999</v>
      </c>
    </row>
    <row r="966" spans="1:8" x14ac:dyDescent="0.3">
      <c r="A966" t="e">
        <f t="shared" si="37"/>
        <v>#REF!</v>
      </c>
      <c r="B966">
        <v>1313</v>
      </c>
      <c r="C966" s="1">
        <v>22.889232701453551</v>
      </c>
      <c r="D966" s="9">
        <v>17.440055555557848</v>
      </c>
      <c r="E966" s="1">
        <v>1.68892</v>
      </c>
      <c r="F966" s="1">
        <v>3.3749099999999999</v>
      </c>
      <c r="G966" s="1">
        <v>13.041399999999999</v>
      </c>
      <c r="H966" s="1">
        <v>5.4700199999999999</v>
      </c>
    </row>
    <row r="967" spans="1:8" x14ac:dyDescent="0.3">
      <c r="A967" t="e">
        <f t="shared" si="37"/>
        <v>#REF!</v>
      </c>
      <c r="B967">
        <v>1363</v>
      </c>
      <c r="C967" s="1">
        <v>23.123072591396362</v>
      </c>
      <c r="D967" s="9">
        <v>17.487277777780157</v>
      </c>
      <c r="E967" s="1">
        <v>1.81674</v>
      </c>
      <c r="F967" s="1">
        <v>3.7503799999999998</v>
      </c>
      <c r="G967" s="1">
        <v>13.135199999999999</v>
      </c>
      <c r="H967" s="1">
        <v>5.7590700000000004</v>
      </c>
    </row>
    <row r="968" spans="1:8" x14ac:dyDescent="0.3">
      <c r="A968">
        <f t="shared" si="37"/>
        <v>12</v>
      </c>
      <c r="B968">
        <v>1413</v>
      </c>
      <c r="C968" s="1">
        <v>23.24</v>
      </c>
      <c r="D968" s="9">
        <v>17.534500000002467</v>
      </c>
      <c r="E968" s="1">
        <v>2.2127599999999998</v>
      </c>
      <c r="F968" s="1">
        <v>4.1269900000000002</v>
      </c>
      <c r="G968" s="1">
        <v>13.1707</v>
      </c>
      <c r="H968" s="1">
        <v>5.9451599999999996</v>
      </c>
    </row>
    <row r="969" spans="1:8" x14ac:dyDescent="0.3">
      <c r="A969" t="e">
        <f t="shared" si="37"/>
        <v>#REF!</v>
      </c>
      <c r="B969">
        <v>1463</v>
      </c>
      <c r="C969" s="1">
        <v>23.23</v>
      </c>
      <c r="D969" s="9">
        <v>17.581722222224776</v>
      </c>
      <c r="E969" s="1">
        <v>2.7271100000000001</v>
      </c>
      <c r="F969" s="1">
        <v>4.4088900000000004</v>
      </c>
      <c r="G969" s="1">
        <v>13.082700000000001</v>
      </c>
      <c r="H969" s="1">
        <v>6.1161899999999996</v>
      </c>
    </row>
    <row r="970" spans="1:8" x14ac:dyDescent="0.3">
      <c r="A970">
        <f t="shared" si="37"/>
        <v>3</v>
      </c>
      <c r="B970">
        <v>1513</v>
      </c>
      <c r="C970" s="1">
        <v>23.056140217933081</v>
      </c>
      <c r="D970" s="9">
        <v>17.628944444447086</v>
      </c>
      <c r="E970" s="1">
        <v>3.0774499999999998</v>
      </c>
      <c r="F970" s="1">
        <v>4.6190899999999999</v>
      </c>
      <c r="G970" s="1">
        <v>13.073</v>
      </c>
      <c r="H970" s="1">
        <v>6.10527</v>
      </c>
    </row>
    <row r="971" spans="1:8" x14ac:dyDescent="0.3">
      <c r="A971" t="e">
        <f t="shared" si="37"/>
        <v>#REF!</v>
      </c>
      <c r="B971">
        <v>1563</v>
      </c>
      <c r="C971" s="1">
        <v>22.781545389717181</v>
      </c>
      <c r="D971" s="9">
        <v>17.676166666669396</v>
      </c>
      <c r="E971" s="1">
        <v>3.2124700000000002</v>
      </c>
      <c r="F971" s="1">
        <v>4.8740600000000001</v>
      </c>
      <c r="G971" s="1">
        <v>13.2209</v>
      </c>
      <c r="H971" s="1">
        <v>5.7910500000000003</v>
      </c>
    </row>
    <row r="972" spans="1:8" x14ac:dyDescent="0.3">
      <c r="A972" t="e">
        <f t="shared" si="37"/>
        <v>#REF!</v>
      </c>
      <c r="B972">
        <v>1613</v>
      </c>
      <c r="C972" s="1">
        <v>22.416603590684399</v>
      </c>
      <c r="D972" s="9">
        <v>17.723388888891705</v>
      </c>
      <c r="E972" s="1">
        <v>3.5162100000000001</v>
      </c>
      <c r="F972" s="1">
        <v>5.4330499999999997</v>
      </c>
      <c r="G972" s="1">
        <v>13.338699999999999</v>
      </c>
      <c r="H972" s="1">
        <v>5.1800100000000002</v>
      </c>
    </row>
    <row r="973" spans="1:8" x14ac:dyDescent="0.3">
      <c r="A973" t="e">
        <f t="shared" ref="A973:A1004" si="38">A923</f>
        <v>#REF!</v>
      </c>
      <c r="B973">
        <v>1663</v>
      </c>
      <c r="C973" s="1">
        <v>21.978814629998961</v>
      </c>
      <c r="D973" s="9">
        <v>17.770611111114015</v>
      </c>
      <c r="E973" s="1">
        <v>4.1905599999999996</v>
      </c>
      <c r="F973" s="1">
        <v>6.37913</v>
      </c>
      <c r="G973" s="1">
        <v>13.3468</v>
      </c>
      <c r="H973" s="1">
        <v>4.3184199999999997</v>
      </c>
    </row>
    <row r="974" spans="1:8" x14ac:dyDescent="0.3">
      <c r="A974">
        <f t="shared" si="38"/>
        <v>10</v>
      </c>
      <c r="B974">
        <v>1713</v>
      </c>
      <c r="C974" s="1">
        <v>21.51022935779816</v>
      </c>
      <c r="D974" s="9">
        <v>17.817833333336324</v>
      </c>
      <c r="E974" s="1">
        <v>5.0320099999999996</v>
      </c>
      <c r="F974" s="1">
        <v>7.4557200000000003</v>
      </c>
      <c r="G974" s="1">
        <v>13.4049</v>
      </c>
      <c r="H974" s="1">
        <v>3.29948</v>
      </c>
    </row>
    <row r="975" spans="1:8" x14ac:dyDescent="0.3">
      <c r="A975" t="e">
        <f t="shared" si="38"/>
        <v>#REF!</v>
      </c>
      <c r="B975">
        <v>1763</v>
      </c>
      <c r="C975" s="1">
        <v>21.19770005635667</v>
      </c>
      <c r="D975" s="9">
        <v>17.865055555558634</v>
      </c>
      <c r="E975" s="1">
        <v>5.7331200000000004</v>
      </c>
      <c r="F975" s="1">
        <v>8.3847199999999997</v>
      </c>
      <c r="G975" s="1">
        <v>13.5588</v>
      </c>
      <c r="H975" s="1">
        <v>2.20201</v>
      </c>
    </row>
    <row r="976" spans="1:8" x14ac:dyDescent="0.3">
      <c r="A976">
        <f t="shared" si="38"/>
        <v>1</v>
      </c>
      <c r="B976">
        <v>1813</v>
      </c>
      <c r="C976" s="1">
        <v>20.799880529751491</v>
      </c>
      <c r="D976" s="9">
        <v>17.912277777780943</v>
      </c>
      <c r="E976" s="1">
        <v>5.8792900000000001</v>
      </c>
      <c r="F976" s="1">
        <v>8.9143899999999991</v>
      </c>
      <c r="G976" s="1">
        <v>13.610799999999999</v>
      </c>
      <c r="H976" s="1">
        <v>1.07039</v>
      </c>
    </row>
    <row r="977" spans="1:8" x14ac:dyDescent="0.3">
      <c r="A977" t="e">
        <f t="shared" si="38"/>
        <v>#REF!</v>
      </c>
      <c r="B977">
        <v>1863</v>
      </c>
      <c r="C977" s="1">
        <v>20.459145401167849</v>
      </c>
      <c r="D977" s="9">
        <v>17.959500000003253</v>
      </c>
      <c r="E977" s="1">
        <v>5.3247499999999999</v>
      </c>
      <c r="F977" s="1">
        <v>9.0091000000000001</v>
      </c>
      <c r="G977" s="1">
        <v>13.497999999999999</v>
      </c>
      <c r="H977" s="1">
        <v>-8.8953699999999997E-2</v>
      </c>
    </row>
    <row r="978" spans="1:8" x14ac:dyDescent="0.3">
      <c r="A978" t="e">
        <f t="shared" si="38"/>
        <v>#REF!</v>
      </c>
      <c r="B978">
        <v>1913</v>
      </c>
      <c r="C978" s="1">
        <v>20.042692263624371</v>
      </c>
      <c r="D978" s="9">
        <v>18.006722222225562</v>
      </c>
      <c r="E978" s="1">
        <v>4.4178300000000004</v>
      </c>
      <c r="F978" s="1">
        <v>9.0075500000000002</v>
      </c>
      <c r="G978" s="1">
        <v>13.438000000000001</v>
      </c>
      <c r="H978" s="1">
        <v>-1.32948</v>
      </c>
    </row>
    <row r="979" spans="1:8" x14ac:dyDescent="0.3">
      <c r="A979" t="e">
        <f t="shared" si="38"/>
        <v>#REF!</v>
      </c>
      <c r="B979">
        <v>1963</v>
      </c>
      <c r="C979" s="1">
        <v>19.750840077869359</v>
      </c>
      <c r="D979" s="9">
        <v>18.053944444447872</v>
      </c>
      <c r="E979" s="1">
        <v>3.5285199999999999</v>
      </c>
      <c r="F979" s="1">
        <v>9.0855499999999996</v>
      </c>
      <c r="G979" s="1">
        <v>13.5335</v>
      </c>
      <c r="H979" s="1">
        <v>-2.6432199999999999</v>
      </c>
    </row>
    <row r="980" spans="1:8" x14ac:dyDescent="0.3">
      <c r="A980">
        <f t="shared" si="38"/>
        <v>8</v>
      </c>
      <c r="B980">
        <v>2013</v>
      </c>
      <c r="C980" s="1">
        <v>19.458964998856171</v>
      </c>
      <c r="D980" s="9">
        <v>18.101166666670181</v>
      </c>
      <c r="E980" s="1">
        <v>2.9734699999999998</v>
      </c>
      <c r="F980" s="1">
        <v>9.0670699999999993</v>
      </c>
      <c r="G980" s="1">
        <v>13.6371</v>
      </c>
      <c r="H980" s="1">
        <v>-3.9042699999999999</v>
      </c>
    </row>
    <row r="981" spans="1:8" x14ac:dyDescent="0.3">
      <c r="A981" t="e">
        <f t="shared" si="38"/>
        <v>#REF!</v>
      </c>
      <c r="B981">
        <v>2063</v>
      </c>
      <c r="C981" s="1">
        <v>19.286594905492141</v>
      </c>
      <c r="D981" s="9">
        <v>18.148388888892491</v>
      </c>
      <c r="E981" s="1">
        <v>2.8343699999999998</v>
      </c>
      <c r="F981" s="1">
        <v>8.8673999999999999</v>
      </c>
      <c r="G981" s="1">
        <v>13.684699999999999</v>
      </c>
      <c r="H981" s="1">
        <v>-4.9967499999999996</v>
      </c>
    </row>
    <row r="982" spans="1:8" x14ac:dyDescent="0.3">
      <c r="A982" t="e">
        <f t="shared" si="38"/>
        <v>#REF!</v>
      </c>
      <c r="B982">
        <v>2113</v>
      </c>
      <c r="C982" s="1">
        <v>19.190000000000001</v>
      </c>
      <c r="D982" s="9">
        <v>18.1956111111148</v>
      </c>
      <c r="E982" s="1">
        <v>2.7930299999999999</v>
      </c>
      <c r="F982" s="1">
        <v>8.6241800000000008</v>
      </c>
      <c r="G982" s="1">
        <v>13.802</v>
      </c>
      <c r="H982" s="1">
        <v>-5.8425099999999999</v>
      </c>
    </row>
    <row r="983" spans="1:8" x14ac:dyDescent="0.3">
      <c r="A983" t="e">
        <f t="shared" si="38"/>
        <v>#REF!</v>
      </c>
      <c r="B983">
        <v>2163</v>
      </c>
      <c r="C983" s="1">
        <v>19.190000000000001</v>
      </c>
      <c r="D983" s="9">
        <v>18.24283333333711</v>
      </c>
      <c r="E983" s="1">
        <v>2.6827700000000001</v>
      </c>
      <c r="F983" s="1">
        <v>8.4717900000000004</v>
      </c>
      <c r="G983" s="1">
        <v>14.0044</v>
      </c>
      <c r="H983" s="1">
        <v>-6.3304299999999998</v>
      </c>
    </row>
    <row r="984" spans="1:8" x14ac:dyDescent="0.3">
      <c r="A984" t="e">
        <f t="shared" si="38"/>
        <v>#REF!</v>
      </c>
      <c r="B984">
        <v>2213</v>
      </c>
      <c r="C984" s="1">
        <v>19.18</v>
      </c>
      <c r="D984" s="9">
        <v>18.29005555555942</v>
      </c>
      <c r="E984" s="1">
        <v>2.6701700000000002</v>
      </c>
      <c r="F984" s="1">
        <v>8.4981399999999994</v>
      </c>
      <c r="G984" s="1">
        <v>14.0825</v>
      </c>
      <c r="H984" s="1">
        <v>-6.2873999999999999</v>
      </c>
    </row>
    <row r="985" spans="1:8" x14ac:dyDescent="0.3">
      <c r="A985" t="e">
        <f t="shared" si="38"/>
        <v>#REF!</v>
      </c>
      <c r="B985">
        <v>2263</v>
      </c>
      <c r="C985" s="1">
        <v>19.38956253791871</v>
      </c>
      <c r="D985" s="9">
        <v>18.337277777781729</v>
      </c>
      <c r="E985" s="1">
        <v>2.8094100000000002</v>
      </c>
      <c r="F985" s="1">
        <v>8.6595099999999992</v>
      </c>
      <c r="G985" s="1">
        <v>13.964700000000001</v>
      </c>
      <c r="H985" s="1">
        <v>-5.6908899999999996</v>
      </c>
    </row>
    <row r="986" spans="1:8" x14ac:dyDescent="0.3">
      <c r="A986">
        <f t="shared" si="38"/>
        <v>6</v>
      </c>
      <c r="B986">
        <v>2313</v>
      </c>
      <c r="C986" s="1">
        <v>19.672210832206439</v>
      </c>
      <c r="D986" s="9">
        <v>18.384500000004039</v>
      </c>
      <c r="E986" s="1">
        <v>2.90246</v>
      </c>
      <c r="F986" s="1">
        <v>8.6926699999999997</v>
      </c>
      <c r="G986" s="1">
        <v>13.855499999999999</v>
      </c>
      <c r="H986" s="1">
        <v>-4.7887700000000004</v>
      </c>
    </row>
    <row r="987" spans="1:8" x14ac:dyDescent="0.3">
      <c r="A987" t="e">
        <f t="shared" si="38"/>
        <v>#REF!</v>
      </c>
      <c r="B987">
        <v>2363</v>
      </c>
      <c r="C987" s="1">
        <v>20.082772014610409</v>
      </c>
      <c r="D987" s="9">
        <v>18.431722222226348</v>
      </c>
      <c r="E987" s="1">
        <v>2.8612199999999999</v>
      </c>
      <c r="F987" s="1">
        <v>8.4692500000000006</v>
      </c>
      <c r="G987" s="1">
        <v>13.845499999999999</v>
      </c>
      <c r="H987" s="1">
        <v>-3.7722799999999999</v>
      </c>
    </row>
    <row r="988" spans="1:8" x14ac:dyDescent="0.3">
      <c r="A988" t="e">
        <f t="shared" si="38"/>
        <v>#REF!</v>
      </c>
      <c r="B988">
        <v>2413</v>
      </c>
      <c r="C988" s="1">
        <v>20.598188252983039</v>
      </c>
      <c r="D988" s="9">
        <v>18.478944444448658</v>
      </c>
      <c r="E988" s="1">
        <v>2.8302200000000002</v>
      </c>
      <c r="F988" s="1">
        <v>8.1338399999999993</v>
      </c>
      <c r="G988" s="1">
        <v>13.780900000000001</v>
      </c>
      <c r="H988" s="1">
        <v>-2.6884999999999999</v>
      </c>
    </row>
    <row r="989" spans="1:8" x14ac:dyDescent="0.3">
      <c r="A989" t="e">
        <f t="shared" si="38"/>
        <v>#REF!</v>
      </c>
      <c r="B989">
        <v>2463</v>
      </c>
      <c r="C989" s="1">
        <v>21.18917053510658</v>
      </c>
      <c r="D989" s="9">
        <v>18.526166666670967</v>
      </c>
      <c r="E989" s="1">
        <v>2.8189899999999999</v>
      </c>
      <c r="F989" s="1">
        <v>7.8699399999999997</v>
      </c>
      <c r="G989" s="1">
        <v>13.6411</v>
      </c>
      <c r="H989" s="1">
        <v>-1.5525500000000001</v>
      </c>
    </row>
    <row r="990" spans="1:8" x14ac:dyDescent="0.3">
      <c r="A990">
        <f t="shared" si="38"/>
        <v>13</v>
      </c>
      <c r="B990">
        <v>2513</v>
      </c>
      <c r="C990" s="1">
        <v>21.701871620403761</v>
      </c>
      <c r="D990" s="9">
        <v>18.573388888893277</v>
      </c>
      <c r="E990" s="1">
        <v>2.5657000000000001</v>
      </c>
      <c r="F990" s="1">
        <v>7.8785299999999996</v>
      </c>
      <c r="G990" s="1">
        <v>13.6739</v>
      </c>
      <c r="H990" s="1">
        <v>-0.34948800000000002</v>
      </c>
    </row>
    <row r="991" spans="1:8" x14ac:dyDescent="0.3">
      <c r="A991" t="e">
        <f t="shared" si="38"/>
        <v>#REF!</v>
      </c>
      <c r="B991">
        <v>2563</v>
      </c>
      <c r="C991" s="1">
        <v>22.16243698112924</v>
      </c>
      <c r="D991" s="9">
        <v>18.620611111115586</v>
      </c>
      <c r="E991" s="1">
        <v>1.9706300000000001</v>
      </c>
      <c r="F991" s="1">
        <v>8.1593099999999996</v>
      </c>
      <c r="G991" s="1">
        <v>13.9626</v>
      </c>
      <c r="H991" s="1">
        <v>0.90943099999999999</v>
      </c>
    </row>
    <row r="992" spans="1:8" x14ac:dyDescent="0.3">
      <c r="A992">
        <f t="shared" si="38"/>
        <v>4</v>
      </c>
      <c r="B992">
        <v>2613</v>
      </c>
      <c r="C992" s="1">
        <v>22.4908160569451</v>
      </c>
      <c r="D992" s="9">
        <v>18.667833333337896</v>
      </c>
      <c r="E992" s="1">
        <v>1.26034</v>
      </c>
      <c r="F992" s="1">
        <v>8.3630899999999997</v>
      </c>
      <c r="G992" s="1">
        <v>14.2614</v>
      </c>
      <c r="H992" s="1">
        <v>2.1629200000000002</v>
      </c>
    </row>
    <row r="993" spans="1:8" x14ac:dyDescent="0.3">
      <c r="A993" t="e">
        <f t="shared" si="38"/>
        <v>#REF!</v>
      </c>
      <c r="B993">
        <v>2663</v>
      </c>
      <c r="C993" s="1">
        <v>22.86883261892239</v>
      </c>
      <c r="D993" s="9">
        <v>18.715055555560205</v>
      </c>
      <c r="E993" s="1">
        <v>0.71525499999999997</v>
      </c>
      <c r="F993" s="1">
        <v>8.2825699999999998</v>
      </c>
      <c r="G993" s="1">
        <v>14.354100000000001</v>
      </c>
      <c r="H993" s="1">
        <v>3.3355299999999999</v>
      </c>
    </row>
    <row r="994" spans="1:8" x14ac:dyDescent="0.3">
      <c r="A994" t="e">
        <f t="shared" si="38"/>
        <v>#REF!</v>
      </c>
      <c r="B994">
        <v>2713</v>
      </c>
      <c r="C994" s="1">
        <v>23.341446736280581</v>
      </c>
      <c r="D994" s="9">
        <v>18.762277777782515</v>
      </c>
      <c r="E994" s="1">
        <v>0.65013399999999999</v>
      </c>
      <c r="F994" s="1">
        <v>8.0159500000000001</v>
      </c>
      <c r="G994" s="1">
        <v>14.1312</v>
      </c>
      <c r="H994" s="1">
        <v>4.3363399999999999</v>
      </c>
    </row>
    <row r="995" spans="1:8" x14ac:dyDescent="0.3">
      <c r="A995" t="e">
        <f t="shared" si="38"/>
        <v>#REF!</v>
      </c>
      <c r="B995">
        <v>2763</v>
      </c>
      <c r="C995" s="1">
        <v>23.77537647127949</v>
      </c>
      <c r="D995" s="9">
        <v>18.809500000004824</v>
      </c>
      <c r="E995" s="1">
        <v>1.16127</v>
      </c>
      <c r="F995" s="1">
        <v>7.7894699999999997</v>
      </c>
      <c r="G995" s="1">
        <v>13.6485</v>
      </c>
      <c r="H995" s="1">
        <v>5.0907099999999996</v>
      </c>
    </row>
    <row r="996" spans="1:8" x14ac:dyDescent="0.3">
      <c r="A996">
        <f t="shared" si="38"/>
        <v>11</v>
      </c>
      <c r="B996">
        <v>2813</v>
      </c>
      <c r="C996" s="1">
        <v>24.058144616287638</v>
      </c>
      <c r="D996" s="9">
        <v>18.856722222227134</v>
      </c>
      <c r="E996" s="1">
        <v>1.9650399999999999</v>
      </c>
      <c r="F996" s="1">
        <v>7.9948600000000001</v>
      </c>
      <c r="G996" s="1">
        <v>13.225099999999999</v>
      </c>
      <c r="H996" s="1">
        <v>5.5556099999999997</v>
      </c>
    </row>
    <row r="997" spans="1:8" x14ac:dyDescent="0.3">
      <c r="A997" t="e">
        <f t="shared" si="38"/>
        <v>#REF!</v>
      </c>
      <c r="B997">
        <v>2863</v>
      </c>
      <c r="C997" s="1">
        <v>24.25856895737066</v>
      </c>
      <c r="D997" s="9">
        <v>18.903944444449444</v>
      </c>
      <c r="E997" s="1">
        <v>2.7464300000000001</v>
      </c>
      <c r="F997" s="1">
        <v>8.8178699999999992</v>
      </c>
      <c r="G997" s="1">
        <v>13.1479</v>
      </c>
      <c r="H997" s="1">
        <v>5.7914399999999997</v>
      </c>
    </row>
    <row r="998" spans="1:8" x14ac:dyDescent="0.3">
      <c r="A998">
        <f t="shared" si="38"/>
        <v>2</v>
      </c>
      <c r="B998">
        <v>2913</v>
      </c>
      <c r="C998" s="1">
        <v>24.22</v>
      </c>
      <c r="D998" s="9">
        <v>18.951166666671753</v>
      </c>
      <c r="E998" s="1">
        <v>3.2037399999999998</v>
      </c>
      <c r="F998" s="1">
        <v>10.062799999999999</v>
      </c>
      <c r="G998" s="1">
        <v>13.6036</v>
      </c>
      <c r="H998" s="1">
        <v>6.0267999999999997</v>
      </c>
    </row>
    <row r="999" spans="1:8" x14ac:dyDescent="0.3">
      <c r="A999" t="e">
        <f t="shared" si="38"/>
        <v>#REF!</v>
      </c>
      <c r="B999">
        <v>2963</v>
      </c>
      <c r="C999" s="1">
        <v>24.088849203942051</v>
      </c>
      <c r="D999" s="9">
        <v>18.998388888894063</v>
      </c>
      <c r="E999" s="1">
        <v>3.3080400000000001</v>
      </c>
      <c r="F999" s="1">
        <v>11.4472</v>
      </c>
      <c r="G999" s="1">
        <v>14.595599999999999</v>
      </c>
      <c r="H999" s="1">
        <v>6.3694800000000003</v>
      </c>
    </row>
    <row r="1000" spans="1:8" x14ac:dyDescent="0.3">
      <c r="A1000" t="e">
        <f t="shared" si="38"/>
        <v>#REF!</v>
      </c>
      <c r="B1000">
        <v>3013</v>
      </c>
      <c r="C1000" s="1">
        <v>23.984889520593839</v>
      </c>
      <c r="D1000" s="9">
        <v>19.045611111116372</v>
      </c>
      <c r="E1000" s="1">
        <v>3.4904799999999998</v>
      </c>
      <c r="F1000" s="1">
        <v>12.604799999999999</v>
      </c>
      <c r="G1000" s="1">
        <v>15.832700000000001</v>
      </c>
      <c r="H1000" s="1">
        <v>6.6972699999999996</v>
      </c>
    </row>
    <row r="1001" spans="1:8" x14ac:dyDescent="0.3">
      <c r="A1001" t="e">
        <f t="shared" si="38"/>
        <v>#REF!</v>
      </c>
      <c r="B1001">
        <v>3063</v>
      </c>
      <c r="C1001" s="1">
        <v>23.832735634457499</v>
      </c>
      <c r="D1001" s="9">
        <v>19.092833333338682</v>
      </c>
      <c r="E1001" s="1">
        <v>4.0388900000000003</v>
      </c>
      <c r="F1001" s="1">
        <v>13.2272</v>
      </c>
      <c r="G1001" s="1">
        <v>16.990100000000002</v>
      </c>
      <c r="H1001" s="1">
        <v>6.9885099999999998</v>
      </c>
    </row>
    <row r="1002" spans="1:8" x14ac:dyDescent="0.3">
      <c r="A1002">
        <f t="shared" si="38"/>
        <v>9</v>
      </c>
      <c r="B1002">
        <v>3113</v>
      </c>
      <c r="C1002" s="1">
        <v>23.449304577611979</v>
      </c>
      <c r="D1002" s="9">
        <v>19.140055555560991</v>
      </c>
      <c r="E1002" s="1">
        <v>4.9161599999999996</v>
      </c>
      <c r="F1002" s="1">
        <v>13.134600000000001</v>
      </c>
      <c r="G1002" s="1">
        <v>17.745000000000001</v>
      </c>
      <c r="H1002" s="1">
        <v>7.4233700000000002</v>
      </c>
    </row>
    <row r="1003" spans="1:8" x14ac:dyDescent="0.3">
      <c r="A1003">
        <f t="shared" si="38"/>
        <v>0</v>
      </c>
      <c r="B1003">
        <v>3163</v>
      </c>
      <c r="C1003" s="1">
        <v>23.05344005539434</v>
      </c>
      <c r="D1003" s="9">
        <v>19.187277777783301</v>
      </c>
      <c r="E1003" s="1">
        <v>5.9869399999999997</v>
      </c>
      <c r="F1003" s="1">
        <v>12.367900000000001</v>
      </c>
      <c r="G1003" s="1">
        <v>17.956099999999999</v>
      </c>
      <c r="H1003" s="1">
        <v>8.1221499999999995</v>
      </c>
    </row>
    <row r="1004" spans="1:8" x14ac:dyDescent="0.3">
      <c r="A1004" t="e">
        <f t="shared" si="38"/>
        <v>#REF!</v>
      </c>
      <c r="B1004">
        <v>3213</v>
      </c>
      <c r="C1004" s="1">
        <v>22.696581224868002</v>
      </c>
      <c r="D1004" s="9">
        <v>19.23450000000561</v>
      </c>
      <c r="E1004" s="1">
        <v>7.0210800000000004</v>
      </c>
      <c r="F1004" s="1">
        <v>11.2782</v>
      </c>
      <c r="G1004" s="1">
        <v>17.758700000000001</v>
      </c>
      <c r="H1004" s="1">
        <v>9.0822800000000008</v>
      </c>
    </row>
    <row r="1005" spans="1:8" x14ac:dyDescent="0.3">
      <c r="A1005" t="e">
        <f t="shared" ref="A1005:A1011" si="39">A955</f>
        <v>#REF!</v>
      </c>
      <c r="B1005">
        <v>3263</v>
      </c>
      <c r="C1005" s="1">
        <v>22.311459861573741</v>
      </c>
      <c r="D1005" s="9">
        <v>19.28172222222792</v>
      </c>
      <c r="E1005" s="1">
        <v>7.9252799999999999</v>
      </c>
      <c r="F1005" s="1">
        <v>10.2211</v>
      </c>
      <c r="G1005" s="1">
        <v>17.341999999999999</v>
      </c>
      <c r="H1005" s="1">
        <v>10.261100000000001</v>
      </c>
    </row>
    <row r="1006" spans="1:8" x14ac:dyDescent="0.3">
      <c r="A1006" t="e">
        <f t="shared" si="39"/>
        <v>#REF!</v>
      </c>
      <c r="B1006">
        <v>3313</v>
      </c>
      <c r="C1006" s="1">
        <v>21.931729244259039</v>
      </c>
      <c r="D1006" s="9">
        <v>19.328944444450229</v>
      </c>
      <c r="E1006" s="1">
        <v>8.9609199999999998</v>
      </c>
      <c r="F1006" s="1">
        <v>9.8087300000000006</v>
      </c>
      <c r="G1006" s="1">
        <v>17.042300000000001</v>
      </c>
      <c r="H1006" s="1">
        <v>11.597200000000001</v>
      </c>
    </row>
    <row r="1007" spans="1:8" x14ac:dyDescent="0.3">
      <c r="A1007" t="e">
        <f t="shared" si="39"/>
        <v>#REF!</v>
      </c>
      <c r="B1007">
        <v>3363</v>
      </c>
      <c r="C1007" s="1">
        <v>21.617183851052221</v>
      </c>
      <c r="D1007" s="9">
        <v>19.376166666672539</v>
      </c>
      <c r="E1007" s="1">
        <v>10.526</v>
      </c>
      <c r="F1007" s="1">
        <v>10.902200000000001</v>
      </c>
      <c r="G1007" s="1">
        <v>17.1922</v>
      </c>
      <c r="H1007" s="1">
        <v>13.033899999999999</v>
      </c>
    </row>
    <row r="1008" spans="1:8" x14ac:dyDescent="0.3">
      <c r="A1008">
        <f t="shared" si="39"/>
        <v>7</v>
      </c>
      <c r="B1008">
        <v>3413</v>
      </c>
      <c r="C1008" s="1">
        <v>21.276557830634871</v>
      </c>
      <c r="D1008" s="9">
        <v>19.423388888894848</v>
      </c>
      <c r="E1008" s="1">
        <v>12.3238</v>
      </c>
      <c r="F1008" s="1">
        <v>12.5052</v>
      </c>
      <c r="G1008" s="1">
        <v>17.498899999999999</v>
      </c>
      <c r="H1008" s="1">
        <v>14.4489</v>
      </c>
    </row>
    <row r="1009" spans="1:8" x14ac:dyDescent="0.3">
      <c r="A1009" t="e">
        <f t="shared" si="39"/>
        <v>#REF!</v>
      </c>
      <c r="B1009">
        <v>3463</v>
      </c>
      <c r="C1009" s="1">
        <v>20.795593119785561</v>
      </c>
      <c r="D1009" s="9">
        <v>19.470611111117158</v>
      </c>
      <c r="E1009" s="1">
        <v>14.218400000000001</v>
      </c>
      <c r="F1009" s="1">
        <v>14.303100000000001</v>
      </c>
      <c r="G1009" s="1">
        <v>17.9391</v>
      </c>
      <c r="H1009" s="1">
        <v>15.842599999999999</v>
      </c>
    </row>
    <row r="1010" spans="1:8" x14ac:dyDescent="0.3">
      <c r="A1010" t="e">
        <f t="shared" si="39"/>
        <v>#REF!</v>
      </c>
      <c r="B1010">
        <v>3513</v>
      </c>
      <c r="C1010" s="1">
        <v>20.325456016113801</v>
      </c>
      <c r="D1010" s="9">
        <v>19.517833333339468</v>
      </c>
      <c r="E1010" s="1">
        <v>16.1614</v>
      </c>
      <c r="F1010" s="1">
        <v>16.196000000000002</v>
      </c>
      <c r="G1010" s="1">
        <v>18.4818</v>
      </c>
      <c r="H1010" s="1">
        <v>17.222000000000001</v>
      </c>
    </row>
    <row r="1011" spans="1:8" x14ac:dyDescent="0.3">
      <c r="A1011" t="e">
        <f t="shared" si="39"/>
        <v>#REF!</v>
      </c>
      <c r="B1011">
        <v>3563</v>
      </c>
      <c r="C1011" s="1">
        <v>19.92792286537005</v>
      </c>
      <c r="D1011" s="9">
        <v>19.565055555561777</v>
      </c>
      <c r="E1011" s="1">
        <v>18.1313</v>
      </c>
      <c r="F1011" s="1">
        <v>18.140699999999999</v>
      </c>
      <c r="G1011" s="1">
        <v>19.101800000000001</v>
      </c>
      <c r="H1011" s="1">
        <v>18.5914</v>
      </c>
    </row>
    <row r="1012" spans="1:8" x14ac:dyDescent="0.3">
      <c r="A1012">
        <v>14</v>
      </c>
      <c r="B1012">
        <v>14</v>
      </c>
      <c r="C1012" s="1">
        <v>16.18</v>
      </c>
      <c r="D1012" s="9">
        <v>16.213222222222246</v>
      </c>
      <c r="E1012" s="1">
        <v>15.680400000000001</v>
      </c>
      <c r="F1012" s="1">
        <v>15.6457</v>
      </c>
      <c r="G1012" s="1">
        <v>16.027999999999999</v>
      </c>
      <c r="H1012" s="1">
        <v>15.6784</v>
      </c>
    </row>
    <row r="1013" spans="1:8" x14ac:dyDescent="0.3">
      <c r="A1013" t="e">
        <f t="shared" ref="A1013:A1044" si="40">A963</f>
        <v>#REF!</v>
      </c>
      <c r="B1013">
        <v>64</v>
      </c>
      <c r="C1013" s="1">
        <v>16.13484564769777</v>
      </c>
      <c r="D1013" s="9">
        <v>16.260444444444556</v>
      </c>
      <c r="E1013" s="1">
        <v>13.8384</v>
      </c>
      <c r="F1013" s="1">
        <v>13.682600000000001</v>
      </c>
      <c r="G1013" s="1">
        <v>15.4474</v>
      </c>
      <c r="H1013" s="1">
        <v>13.809699999999999</v>
      </c>
    </row>
    <row r="1014" spans="1:8" x14ac:dyDescent="0.3">
      <c r="A1014">
        <f t="shared" si="40"/>
        <v>5</v>
      </c>
      <c r="B1014">
        <v>114</v>
      </c>
      <c r="C1014" s="1">
        <v>16.262826381997549</v>
      </c>
      <c r="D1014" s="9">
        <v>16.307666666666865</v>
      </c>
      <c r="E1014" s="1">
        <v>12.0244</v>
      </c>
      <c r="F1014" s="1">
        <v>11.7578</v>
      </c>
      <c r="G1014" s="1">
        <v>14.9292</v>
      </c>
      <c r="H1014" s="1">
        <v>11.9315</v>
      </c>
    </row>
    <row r="1015" spans="1:8" x14ac:dyDescent="0.3">
      <c r="A1015" t="e">
        <f t="shared" si="40"/>
        <v>#REF!</v>
      </c>
      <c r="B1015">
        <v>164</v>
      </c>
      <c r="C1015" s="1">
        <v>16.46054359488144</v>
      </c>
      <c r="D1015" s="9">
        <v>16.354888888889175</v>
      </c>
      <c r="E1015" s="1">
        <v>10.251799999999999</v>
      </c>
      <c r="F1015" s="1">
        <v>9.9001099999999997</v>
      </c>
      <c r="G1015" s="1">
        <v>14.489000000000001</v>
      </c>
      <c r="H1015" s="1">
        <v>10.042999999999999</v>
      </c>
    </row>
    <row r="1016" spans="1:8" x14ac:dyDescent="0.3">
      <c r="A1016" t="e">
        <f t="shared" si="40"/>
        <v>#REF!</v>
      </c>
      <c r="B1016">
        <v>214</v>
      </c>
      <c r="C1016" s="1">
        <v>16.82</v>
      </c>
      <c r="D1016" s="9">
        <v>16.402111111111484</v>
      </c>
      <c r="E1016" s="1">
        <v>8.5454000000000008</v>
      </c>
      <c r="F1016" s="1">
        <v>8.1714900000000004</v>
      </c>
      <c r="G1016" s="1">
        <v>14.144299999999999</v>
      </c>
      <c r="H1016" s="1">
        <v>8.1466999999999992</v>
      </c>
    </row>
    <row r="1017" spans="1:8" x14ac:dyDescent="0.3">
      <c r="A1017" t="e">
        <f t="shared" si="40"/>
        <v>#REF!</v>
      </c>
      <c r="B1017">
        <v>264</v>
      </c>
      <c r="C1017" s="1">
        <v>16.962278987015939</v>
      </c>
      <c r="D1017" s="9">
        <v>16.449333333333794</v>
      </c>
      <c r="E1017" s="1">
        <v>6.9530200000000004</v>
      </c>
      <c r="F1017" s="1">
        <v>6.7206299999999999</v>
      </c>
      <c r="G1017" s="1">
        <v>13.8879</v>
      </c>
      <c r="H1017" s="1">
        <v>6.2589199999999998</v>
      </c>
    </row>
    <row r="1018" spans="1:8" x14ac:dyDescent="0.3">
      <c r="A1018">
        <f t="shared" si="40"/>
        <v>12</v>
      </c>
      <c r="B1018">
        <v>314</v>
      </c>
      <c r="C1018" s="1">
        <v>17.132930172733449</v>
      </c>
      <c r="D1018" s="9">
        <v>16.496555555556103</v>
      </c>
      <c r="E1018" s="1">
        <v>5.7272299999999996</v>
      </c>
      <c r="F1018" s="1">
        <v>6.2012600000000004</v>
      </c>
      <c r="G1018" s="1">
        <v>13.8414</v>
      </c>
      <c r="H1018" s="1">
        <v>4.6665700000000001</v>
      </c>
    </row>
    <row r="1019" spans="1:8" x14ac:dyDescent="0.3">
      <c r="A1019" t="e">
        <f t="shared" si="40"/>
        <v>#REF!</v>
      </c>
      <c r="B1019">
        <v>364</v>
      </c>
      <c r="C1019" s="1">
        <v>17.357462518111198</v>
      </c>
      <c r="D1019" s="9">
        <v>16.543777777778413</v>
      </c>
      <c r="E1019" s="1">
        <v>4.93621</v>
      </c>
      <c r="F1019" s="1">
        <v>6.4936600000000002</v>
      </c>
      <c r="G1019" s="1">
        <v>14.0289</v>
      </c>
      <c r="H1019" s="1">
        <v>3.5630799999999998</v>
      </c>
    </row>
    <row r="1020" spans="1:8" x14ac:dyDescent="0.3">
      <c r="A1020">
        <f t="shared" si="40"/>
        <v>3</v>
      </c>
      <c r="B1020">
        <v>414</v>
      </c>
      <c r="C1020" s="1">
        <v>17.524992299089821</v>
      </c>
      <c r="D1020" s="9">
        <v>16.591000000000722</v>
      </c>
      <c r="E1020" s="1">
        <v>4.4093400000000003</v>
      </c>
      <c r="F1020" s="1">
        <v>6.7319500000000003</v>
      </c>
      <c r="G1020" s="1">
        <v>14.042199999999999</v>
      </c>
      <c r="H1020" s="1">
        <v>2.8222700000000001</v>
      </c>
    </row>
    <row r="1021" spans="1:8" x14ac:dyDescent="0.3">
      <c r="A1021" t="e">
        <f t="shared" si="40"/>
        <v>#REF!</v>
      </c>
      <c r="B1021">
        <v>464</v>
      </c>
      <c r="C1021" s="1">
        <v>17.846412405355551</v>
      </c>
      <c r="D1021" s="9">
        <v>16.638222222223032</v>
      </c>
      <c r="E1021" s="1">
        <v>4.0309499999999998</v>
      </c>
      <c r="F1021" s="1">
        <v>6.6222200000000004</v>
      </c>
      <c r="G1021" s="1">
        <v>13.785500000000001</v>
      </c>
      <c r="H1021" s="1">
        <v>2.3563200000000002</v>
      </c>
    </row>
    <row r="1022" spans="1:8" x14ac:dyDescent="0.3">
      <c r="A1022" t="e">
        <f t="shared" si="40"/>
        <v>#REF!</v>
      </c>
      <c r="B1022">
        <v>514</v>
      </c>
      <c r="C1022" s="1">
        <v>18.01491786707102</v>
      </c>
      <c r="D1022" s="9">
        <v>16.685444444445341</v>
      </c>
      <c r="E1022" s="1">
        <v>3.49092</v>
      </c>
      <c r="F1022" s="1">
        <v>6.0990099999999998</v>
      </c>
      <c r="G1022" s="1">
        <v>13.438800000000001</v>
      </c>
      <c r="H1022" s="1">
        <v>1.8457600000000001</v>
      </c>
    </row>
    <row r="1023" spans="1:8" x14ac:dyDescent="0.3">
      <c r="A1023" t="e">
        <f t="shared" si="40"/>
        <v>#REF!</v>
      </c>
      <c r="B1023">
        <v>564</v>
      </c>
      <c r="C1023" s="1">
        <v>18.22</v>
      </c>
      <c r="D1023" s="9">
        <v>16.732666666667651</v>
      </c>
      <c r="E1023" s="1">
        <v>2.6496200000000001</v>
      </c>
      <c r="F1023" s="1">
        <v>5.2086800000000002</v>
      </c>
      <c r="G1023" s="1">
        <v>13.1096</v>
      </c>
      <c r="H1023" s="1">
        <v>1.13554</v>
      </c>
    </row>
    <row r="1024" spans="1:8" x14ac:dyDescent="0.3">
      <c r="A1024">
        <f t="shared" si="40"/>
        <v>10</v>
      </c>
      <c r="B1024">
        <v>614</v>
      </c>
      <c r="C1024" s="1">
        <v>18.430018095067741</v>
      </c>
      <c r="D1024" s="9">
        <v>16.77988888888996</v>
      </c>
      <c r="E1024" s="1">
        <v>1.73359</v>
      </c>
      <c r="F1024" s="1">
        <v>4.1748000000000003</v>
      </c>
      <c r="G1024" s="1">
        <v>12.7204</v>
      </c>
      <c r="H1024" s="1">
        <v>0.43199599999999999</v>
      </c>
    </row>
    <row r="1025" spans="1:8" x14ac:dyDescent="0.3">
      <c r="A1025" t="e">
        <f t="shared" si="40"/>
        <v>#REF!</v>
      </c>
      <c r="B1025">
        <v>664</v>
      </c>
      <c r="C1025" s="1">
        <v>18.497973858815278</v>
      </c>
      <c r="D1025" s="9">
        <v>16.82711111111227</v>
      </c>
      <c r="E1025" s="1">
        <v>0.99595500000000003</v>
      </c>
      <c r="F1025" s="1">
        <v>3.2322099999999998</v>
      </c>
      <c r="G1025" s="1">
        <v>12.303900000000001</v>
      </c>
      <c r="H1025" s="1">
        <v>1.0106E-3</v>
      </c>
    </row>
    <row r="1026" spans="1:8" x14ac:dyDescent="0.3">
      <c r="A1026">
        <f t="shared" si="40"/>
        <v>1</v>
      </c>
      <c r="B1026">
        <v>714</v>
      </c>
      <c r="C1026" s="1">
        <v>18.71</v>
      </c>
      <c r="D1026" s="9">
        <v>16.87433333333458</v>
      </c>
      <c r="E1026" s="1">
        <v>0.65493500000000004</v>
      </c>
      <c r="F1026" s="1">
        <v>2.5862699999999998</v>
      </c>
      <c r="G1026" s="1">
        <v>12.12</v>
      </c>
      <c r="H1026" s="1">
        <v>0.13539899999999999</v>
      </c>
    </row>
    <row r="1027" spans="1:8" x14ac:dyDescent="0.3">
      <c r="A1027" t="e">
        <f t="shared" si="40"/>
        <v>#REF!</v>
      </c>
      <c r="B1027">
        <v>764</v>
      </c>
      <c r="C1027" s="1">
        <v>18.829999999999998</v>
      </c>
      <c r="D1027" s="9">
        <v>16.921555555556889</v>
      </c>
      <c r="E1027" s="1">
        <v>0.75126599999999999</v>
      </c>
      <c r="F1027" s="1">
        <v>2.26614</v>
      </c>
      <c r="G1027" s="1">
        <v>12.3026</v>
      </c>
      <c r="H1027" s="1">
        <v>0.90107599999999999</v>
      </c>
    </row>
    <row r="1028" spans="1:8" x14ac:dyDescent="0.3">
      <c r="A1028" t="e">
        <f t="shared" si="40"/>
        <v>#REF!</v>
      </c>
      <c r="B1028">
        <v>814</v>
      </c>
      <c r="C1028" s="1">
        <v>19.252224994177581</v>
      </c>
      <c r="D1028" s="9">
        <v>16.968777777779199</v>
      </c>
      <c r="E1028" s="1">
        <v>1.0261499999999999</v>
      </c>
      <c r="F1028" s="1">
        <v>2.0039500000000001</v>
      </c>
      <c r="G1028" s="1">
        <v>12.726900000000001</v>
      </c>
      <c r="H1028" s="1">
        <v>1.96688</v>
      </c>
    </row>
    <row r="1029" spans="1:8" x14ac:dyDescent="0.3">
      <c r="A1029" t="e">
        <f t="shared" si="40"/>
        <v>#REF!</v>
      </c>
      <c r="B1029">
        <v>864</v>
      </c>
      <c r="C1029" s="1">
        <v>19.474059483987439</v>
      </c>
      <c r="D1029" s="9">
        <v>17.016000000001508</v>
      </c>
      <c r="E1029" s="1">
        <v>1.31613</v>
      </c>
      <c r="F1029" s="1">
        <v>1.7110000000000001</v>
      </c>
      <c r="G1029" s="1">
        <v>13.178699999999999</v>
      </c>
      <c r="H1029" s="1">
        <v>2.9572400000000001</v>
      </c>
    </row>
    <row r="1030" spans="1:8" x14ac:dyDescent="0.3">
      <c r="A1030">
        <f t="shared" si="40"/>
        <v>8</v>
      </c>
      <c r="B1030">
        <v>914</v>
      </c>
      <c r="C1030" s="1">
        <v>19.749900578859531</v>
      </c>
      <c r="D1030" s="9">
        <v>17.063222222223818</v>
      </c>
      <c r="E1030" s="1">
        <v>1.67262</v>
      </c>
      <c r="F1030" s="1">
        <v>1.6568000000000001</v>
      </c>
      <c r="G1030" s="1">
        <v>13.3368</v>
      </c>
      <c r="H1030" s="1">
        <v>3.4904700000000002</v>
      </c>
    </row>
    <row r="1031" spans="1:8" x14ac:dyDescent="0.3">
      <c r="A1031" t="e">
        <f t="shared" si="40"/>
        <v>#REF!</v>
      </c>
      <c r="B1031">
        <v>964</v>
      </c>
      <c r="C1031" s="1">
        <v>20.076964575029791</v>
      </c>
      <c r="D1031" s="9">
        <v>17.110444444446127</v>
      </c>
      <c r="E1031" s="1">
        <v>2.0689099999999998</v>
      </c>
      <c r="F1031" s="1">
        <v>1.98485</v>
      </c>
      <c r="G1031" s="1">
        <v>13.105</v>
      </c>
      <c r="H1031" s="1">
        <v>3.4217900000000001</v>
      </c>
    </row>
    <row r="1032" spans="1:8" x14ac:dyDescent="0.3">
      <c r="A1032" t="e">
        <f t="shared" si="40"/>
        <v>#REF!</v>
      </c>
      <c r="B1032">
        <v>1014</v>
      </c>
      <c r="C1032" s="1">
        <v>20.488045871221889</v>
      </c>
      <c r="D1032" s="9">
        <v>17.157666666668437</v>
      </c>
      <c r="E1032" s="1">
        <v>2.30857</v>
      </c>
      <c r="F1032" s="1">
        <v>2.5594700000000001</v>
      </c>
      <c r="G1032" s="1">
        <v>12.7936</v>
      </c>
      <c r="H1032" s="1">
        <v>3.0150100000000002</v>
      </c>
    </row>
    <row r="1033" spans="1:8" x14ac:dyDescent="0.3">
      <c r="A1033" t="e">
        <f t="shared" si="40"/>
        <v>#REF!</v>
      </c>
      <c r="B1033">
        <v>1064</v>
      </c>
      <c r="C1033" s="1">
        <v>20.93395212447081</v>
      </c>
      <c r="D1033" s="9">
        <v>17.204888888890746</v>
      </c>
      <c r="E1033" s="1">
        <v>2.3262</v>
      </c>
      <c r="F1033" s="1">
        <v>3.1539299999999999</v>
      </c>
      <c r="G1033" s="1">
        <v>12.648899999999999</v>
      </c>
      <c r="H1033" s="1">
        <v>2.6136200000000001</v>
      </c>
    </row>
    <row r="1034" spans="1:8" x14ac:dyDescent="0.3">
      <c r="A1034" t="e">
        <f t="shared" si="40"/>
        <v>#REF!</v>
      </c>
      <c r="B1034">
        <v>1114</v>
      </c>
      <c r="C1034" s="1">
        <v>21.32210326882787</v>
      </c>
      <c r="D1034" s="9">
        <v>17.252111111113056</v>
      </c>
      <c r="E1034" s="1">
        <v>2.3090199999999999</v>
      </c>
      <c r="F1034" s="1">
        <v>3.4357700000000002</v>
      </c>
      <c r="G1034" s="1">
        <v>12.736700000000001</v>
      </c>
      <c r="H1034" s="1">
        <v>2.6254300000000002</v>
      </c>
    </row>
    <row r="1035" spans="1:8" x14ac:dyDescent="0.3">
      <c r="A1035" t="e">
        <f t="shared" si="40"/>
        <v>#REF!</v>
      </c>
      <c r="B1035">
        <v>1164</v>
      </c>
      <c r="C1035" s="1">
        <v>21.612351694454251</v>
      </c>
      <c r="D1035" s="9">
        <v>17.299333333335365</v>
      </c>
      <c r="E1035" s="1">
        <v>2.3225899999999999</v>
      </c>
      <c r="F1035" s="1">
        <v>3.3161499999999999</v>
      </c>
      <c r="G1035" s="1">
        <v>12.987</v>
      </c>
      <c r="H1035" s="1">
        <v>3.2035800000000001</v>
      </c>
    </row>
    <row r="1036" spans="1:8" x14ac:dyDescent="0.3">
      <c r="A1036">
        <f t="shared" si="40"/>
        <v>6</v>
      </c>
      <c r="B1036">
        <v>1214</v>
      </c>
      <c r="C1036" s="1">
        <v>22.045922680707129</v>
      </c>
      <c r="D1036" s="9">
        <v>17.346555555557675</v>
      </c>
      <c r="E1036" s="1">
        <v>2.1835499999999999</v>
      </c>
      <c r="F1036" s="1">
        <v>3.1390799999999999</v>
      </c>
      <c r="G1036" s="1">
        <v>13.1309</v>
      </c>
      <c r="H1036" s="1">
        <v>4.0565300000000004</v>
      </c>
    </row>
    <row r="1037" spans="1:8" x14ac:dyDescent="0.3">
      <c r="A1037" t="e">
        <f t="shared" si="40"/>
        <v>#REF!</v>
      </c>
      <c r="B1037">
        <v>1264</v>
      </c>
      <c r="C1037" s="1">
        <v>22.45536178998416</v>
      </c>
      <c r="D1037" s="9">
        <v>17.393777777779984</v>
      </c>
      <c r="E1037" s="1">
        <v>1.87218</v>
      </c>
      <c r="F1037" s="1">
        <v>3.1549200000000002</v>
      </c>
      <c r="G1037" s="1">
        <v>13.0723</v>
      </c>
      <c r="H1037" s="1">
        <v>4.8895600000000004</v>
      </c>
    </row>
    <row r="1038" spans="1:8" x14ac:dyDescent="0.3">
      <c r="A1038" t="e">
        <f t="shared" si="40"/>
        <v>#REF!</v>
      </c>
      <c r="B1038">
        <v>1314</v>
      </c>
      <c r="C1038" s="1">
        <v>22.897605666822969</v>
      </c>
      <c r="D1038" s="9">
        <v>17.441000000002294</v>
      </c>
      <c r="E1038" s="1">
        <v>1.6883699999999999</v>
      </c>
      <c r="F1038" s="1">
        <v>3.3813599999999999</v>
      </c>
      <c r="G1038" s="1">
        <v>13.042400000000001</v>
      </c>
      <c r="H1038" s="1">
        <v>5.4782999999999999</v>
      </c>
    </row>
    <row r="1039" spans="1:8" x14ac:dyDescent="0.3">
      <c r="A1039" t="e">
        <f t="shared" si="40"/>
        <v>#REF!</v>
      </c>
      <c r="B1039">
        <v>1364</v>
      </c>
      <c r="C1039" s="1">
        <v>23.127278106508879</v>
      </c>
      <c r="D1039" s="9">
        <v>17.488222222224604</v>
      </c>
      <c r="E1039" s="1">
        <v>1.8222799999999999</v>
      </c>
      <c r="F1039" s="1">
        <v>3.7584399999999998</v>
      </c>
      <c r="G1039" s="1">
        <v>13.1372</v>
      </c>
      <c r="H1039" s="1">
        <v>5.7630400000000002</v>
      </c>
    </row>
    <row r="1040" spans="1:8" x14ac:dyDescent="0.3">
      <c r="A1040">
        <f t="shared" si="40"/>
        <v>13</v>
      </c>
      <c r="B1040">
        <v>1414</v>
      </c>
      <c r="C1040" s="1">
        <v>23.24</v>
      </c>
      <c r="D1040" s="9">
        <v>17.535444444446913</v>
      </c>
      <c r="E1040" s="1">
        <v>2.22275</v>
      </c>
      <c r="F1040" s="1">
        <v>4.1335600000000001</v>
      </c>
      <c r="G1040" s="1">
        <v>13.169700000000001</v>
      </c>
      <c r="H1040" s="1">
        <v>5.9491199999999997</v>
      </c>
    </row>
    <row r="1041" spans="1:8" x14ac:dyDescent="0.3">
      <c r="A1041" t="e">
        <f t="shared" si="40"/>
        <v>#REF!</v>
      </c>
      <c r="B1041">
        <v>1464</v>
      </c>
      <c r="C1041" s="1">
        <v>23.23</v>
      </c>
      <c r="D1041" s="9">
        <v>17.582666666669223</v>
      </c>
      <c r="E1041" s="1">
        <v>2.7366999999999999</v>
      </c>
      <c r="F1041" s="1">
        <v>4.4136699999999998</v>
      </c>
      <c r="G1041" s="1">
        <v>13.0809</v>
      </c>
      <c r="H1041" s="1">
        <v>6.1183899999999998</v>
      </c>
    </row>
    <row r="1042" spans="1:8" x14ac:dyDescent="0.3">
      <c r="A1042">
        <f t="shared" si="40"/>
        <v>4</v>
      </c>
      <c r="B1042">
        <v>1514</v>
      </c>
      <c r="C1042" s="1">
        <v>23.052087910751979</v>
      </c>
      <c r="D1042" s="9">
        <v>17.629888888891532</v>
      </c>
      <c r="E1042" s="1">
        <v>3.0812599999999999</v>
      </c>
      <c r="F1042" s="1">
        <v>4.6229699999999996</v>
      </c>
      <c r="G1042" s="1">
        <v>13.0748</v>
      </c>
      <c r="H1042" s="1">
        <v>6.1020200000000004</v>
      </c>
    </row>
    <row r="1043" spans="1:8" x14ac:dyDescent="0.3">
      <c r="A1043" t="e">
        <f t="shared" si="40"/>
        <v>#REF!</v>
      </c>
      <c r="B1043">
        <v>1564</v>
      </c>
      <c r="C1043" s="1">
        <v>22.774859034460061</v>
      </c>
      <c r="D1043" s="9">
        <v>17.677111111113842</v>
      </c>
      <c r="E1043" s="1">
        <v>3.2154799999999999</v>
      </c>
      <c r="F1043" s="1">
        <v>4.8813599999999999</v>
      </c>
      <c r="G1043" s="1">
        <v>13.2242</v>
      </c>
      <c r="H1043" s="1">
        <v>5.7816700000000001</v>
      </c>
    </row>
    <row r="1044" spans="1:8" x14ac:dyDescent="0.3">
      <c r="A1044" t="e">
        <f t="shared" si="40"/>
        <v>#REF!</v>
      </c>
      <c r="B1044">
        <v>1614</v>
      </c>
      <c r="C1044" s="1">
        <v>22.408592246621211</v>
      </c>
      <c r="D1044" s="9">
        <v>17.724333333336151</v>
      </c>
      <c r="E1044" s="1">
        <v>3.5264700000000002</v>
      </c>
      <c r="F1044" s="1">
        <v>5.4488099999999999</v>
      </c>
      <c r="G1044" s="1">
        <v>13.339600000000001</v>
      </c>
      <c r="H1044" s="1">
        <v>5.1649599999999998</v>
      </c>
    </row>
    <row r="1045" spans="1:8" x14ac:dyDescent="0.3">
      <c r="A1045" t="e">
        <f t="shared" ref="A1045:A1076" si="41">A995</f>
        <v>#REF!</v>
      </c>
      <c r="B1045">
        <v>1664</v>
      </c>
      <c r="C1045" s="1">
        <v>21.970868725715331</v>
      </c>
      <c r="D1045" s="9">
        <v>17.771555555558461</v>
      </c>
      <c r="E1045" s="1">
        <v>4.2065700000000001</v>
      </c>
      <c r="F1045" s="1">
        <v>6.4003500000000004</v>
      </c>
      <c r="G1045" s="1">
        <v>13.3469</v>
      </c>
      <c r="H1045" s="1">
        <v>4.2992499999999998</v>
      </c>
    </row>
    <row r="1046" spans="1:8" x14ac:dyDescent="0.3">
      <c r="A1046">
        <f t="shared" si="41"/>
        <v>11</v>
      </c>
      <c r="B1046">
        <v>1714</v>
      </c>
      <c r="C1046" s="1">
        <v>21.494434107547601</v>
      </c>
      <c r="D1046" s="9">
        <v>17.81877777778077</v>
      </c>
      <c r="E1046" s="1">
        <v>5.0487299999999999</v>
      </c>
      <c r="F1046" s="1">
        <v>7.47661</v>
      </c>
      <c r="G1046" s="1">
        <v>13.407500000000001</v>
      </c>
      <c r="H1046" s="1">
        <v>3.27813</v>
      </c>
    </row>
    <row r="1047" spans="1:8" x14ac:dyDescent="0.3">
      <c r="A1047" t="e">
        <f t="shared" si="41"/>
        <v>#REF!</v>
      </c>
      <c r="B1047">
        <v>1764</v>
      </c>
      <c r="C1047" s="1">
        <v>21.189817734029031</v>
      </c>
      <c r="D1047" s="9">
        <v>17.86600000000308</v>
      </c>
      <c r="E1047" s="1">
        <v>5.7428800000000004</v>
      </c>
      <c r="F1047" s="1">
        <v>8.4000400000000006</v>
      </c>
      <c r="G1047" s="1">
        <v>13.561500000000001</v>
      </c>
      <c r="H1047" s="1">
        <v>2.1795800000000001</v>
      </c>
    </row>
    <row r="1048" spans="1:8" x14ac:dyDescent="0.3">
      <c r="A1048">
        <f t="shared" si="41"/>
        <v>2</v>
      </c>
      <c r="B1048">
        <v>1814</v>
      </c>
      <c r="C1048" s="1">
        <v>20.791875822983911</v>
      </c>
      <c r="D1048" s="9">
        <v>17.913222222225389</v>
      </c>
      <c r="E1048" s="1">
        <v>5.8742299999999998</v>
      </c>
      <c r="F1048" s="1">
        <v>8.9196600000000004</v>
      </c>
      <c r="G1048" s="1">
        <v>13.6096</v>
      </c>
      <c r="H1048" s="1">
        <v>1.04762</v>
      </c>
    </row>
    <row r="1049" spans="1:8" x14ac:dyDescent="0.3">
      <c r="A1049" t="e">
        <f t="shared" si="41"/>
        <v>#REF!</v>
      </c>
      <c r="B1049">
        <v>1864</v>
      </c>
      <c r="C1049" s="1">
        <v>20.451080104526241</v>
      </c>
      <c r="D1049" s="9">
        <v>17.960444444447699</v>
      </c>
      <c r="E1049" s="1">
        <v>5.3087400000000002</v>
      </c>
      <c r="F1049" s="1">
        <v>9.0087700000000002</v>
      </c>
      <c r="G1049" s="1">
        <v>13.4955</v>
      </c>
      <c r="H1049" s="1">
        <v>-0.112775</v>
      </c>
    </row>
    <row r="1050" spans="1:8" x14ac:dyDescent="0.3">
      <c r="A1050" t="e">
        <f t="shared" si="41"/>
        <v>#REF!</v>
      </c>
      <c r="B1050">
        <v>1914</v>
      </c>
      <c r="C1050" s="1">
        <v>20.036808612401071</v>
      </c>
      <c r="D1050" s="9">
        <v>18.007666666670008</v>
      </c>
      <c r="E1050" s="1">
        <v>4.3987800000000004</v>
      </c>
      <c r="F1050" s="1">
        <v>9.0086899999999996</v>
      </c>
      <c r="G1050" s="1">
        <v>13.438700000000001</v>
      </c>
      <c r="H1050" s="1">
        <v>-1.35538</v>
      </c>
    </row>
    <row r="1051" spans="1:8" x14ac:dyDescent="0.3">
      <c r="A1051" t="e">
        <f t="shared" si="41"/>
        <v>#REF!</v>
      </c>
      <c r="B1051">
        <v>1964</v>
      </c>
      <c r="C1051" s="1">
        <v>19.74255610321832</v>
      </c>
      <c r="D1051" s="9">
        <v>18.054888888892318</v>
      </c>
      <c r="E1051" s="1">
        <v>3.5131199999999998</v>
      </c>
      <c r="F1051" s="1">
        <v>9.0868199999999995</v>
      </c>
      <c r="G1051" s="1">
        <v>13.536099999999999</v>
      </c>
      <c r="H1051" s="1">
        <v>-2.6694100000000001</v>
      </c>
    </row>
    <row r="1052" spans="1:8" x14ac:dyDescent="0.3">
      <c r="A1052">
        <f t="shared" si="41"/>
        <v>9</v>
      </c>
      <c r="B1052">
        <v>2014</v>
      </c>
      <c r="C1052" s="1">
        <v>19.45487989803588</v>
      </c>
      <c r="D1052" s="9">
        <v>18.102111111114628</v>
      </c>
      <c r="E1052" s="1">
        <v>2.9674100000000001</v>
      </c>
      <c r="F1052" s="1">
        <v>9.0645399999999992</v>
      </c>
      <c r="G1052" s="1">
        <v>13.638299999999999</v>
      </c>
      <c r="H1052" s="1">
        <v>-3.9280599999999999</v>
      </c>
    </row>
    <row r="1053" spans="1:8" x14ac:dyDescent="0.3">
      <c r="A1053">
        <f t="shared" si="41"/>
        <v>0</v>
      </c>
      <c r="B1053">
        <v>2064</v>
      </c>
      <c r="C1053" s="1">
        <v>19.28257842184324</v>
      </c>
      <c r="D1053" s="9">
        <v>18.149333333336937</v>
      </c>
      <c r="E1053" s="1">
        <v>2.8337699999999999</v>
      </c>
      <c r="F1053" s="1">
        <v>8.8624299999999998</v>
      </c>
      <c r="G1053" s="1">
        <v>13.6858</v>
      </c>
      <c r="H1053" s="1">
        <v>-5.01633</v>
      </c>
    </row>
    <row r="1054" spans="1:8" x14ac:dyDescent="0.3">
      <c r="A1054" t="e">
        <f t="shared" si="41"/>
        <v>#REF!</v>
      </c>
      <c r="B1054">
        <v>2114</v>
      </c>
      <c r="C1054" s="1">
        <v>19.190000000000001</v>
      </c>
      <c r="D1054" s="9">
        <v>18.196555555559247</v>
      </c>
      <c r="E1054" s="1">
        <v>2.79115</v>
      </c>
      <c r="F1054" s="1">
        <v>8.6199200000000005</v>
      </c>
      <c r="G1054" s="1">
        <v>13.8058</v>
      </c>
      <c r="H1054" s="1">
        <v>-5.8563200000000002</v>
      </c>
    </row>
    <row r="1055" spans="1:8" x14ac:dyDescent="0.3">
      <c r="A1055" t="e">
        <f t="shared" si="41"/>
        <v>#REF!</v>
      </c>
      <c r="B1055">
        <v>2164</v>
      </c>
      <c r="C1055" s="1">
        <v>19.190000000000001</v>
      </c>
      <c r="D1055" s="9">
        <v>18.243777777781556</v>
      </c>
      <c r="E1055" s="1">
        <v>2.6808999999999998</v>
      </c>
      <c r="F1055" s="1">
        <v>8.4702999999999999</v>
      </c>
      <c r="G1055" s="1">
        <v>14.007899999999999</v>
      </c>
      <c r="H1055" s="1">
        <v>-6.3353599999999997</v>
      </c>
    </row>
    <row r="1056" spans="1:8" x14ac:dyDescent="0.3">
      <c r="A1056" t="e">
        <f t="shared" si="41"/>
        <v>#REF!</v>
      </c>
      <c r="B1056">
        <v>2214</v>
      </c>
      <c r="C1056" s="1">
        <v>19.18</v>
      </c>
      <c r="D1056" s="9">
        <v>18.291000000003866</v>
      </c>
      <c r="E1056" s="1">
        <v>2.67197</v>
      </c>
      <c r="F1056" s="1">
        <v>8.5007800000000007</v>
      </c>
      <c r="G1056" s="1">
        <v>14.0816</v>
      </c>
      <c r="H1056" s="1">
        <v>-6.28024</v>
      </c>
    </row>
    <row r="1057" spans="1:8" x14ac:dyDescent="0.3">
      <c r="A1057" t="e">
        <f t="shared" si="41"/>
        <v>#REF!</v>
      </c>
      <c r="B1057">
        <v>2264</v>
      </c>
      <c r="C1057" s="1">
        <v>19.393551782872152</v>
      </c>
      <c r="D1057" s="9">
        <v>18.338222222226175</v>
      </c>
      <c r="E1057" s="1">
        <v>2.8124600000000002</v>
      </c>
      <c r="F1057" s="1">
        <v>8.6623699999999992</v>
      </c>
      <c r="G1057" s="1">
        <v>13.961600000000001</v>
      </c>
      <c r="H1057" s="1">
        <v>-5.6749400000000003</v>
      </c>
    </row>
    <row r="1058" spans="1:8" x14ac:dyDescent="0.3">
      <c r="A1058">
        <f t="shared" si="41"/>
        <v>7</v>
      </c>
      <c r="B1058">
        <v>2314</v>
      </c>
      <c r="C1058" s="1">
        <v>19.676321102538921</v>
      </c>
      <c r="D1058" s="9">
        <v>18.385444444448485</v>
      </c>
      <c r="E1058" s="1">
        <v>2.9026100000000001</v>
      </c>
      <c r="F1058" s="1">
        <v>8.6904199999999996</v>
      </c>
      <c r="G1058" s="1">
        <v>13.854699999999999</v>
      </c>
      <c r="H1058" s="1">
        <v>-4.7693099999999999</v>
      </c>
    </row>
    <row r="1059" spans="1:8" x14ac:dyDescent="0.3">
      <c r="A1059" t="e">
        <f t="shared" si="41"/>
        <v>#REF!</v>
      </c>
      <c r="B1059">
        <v>2364</v>
      </c>
      <c r="C1059" s="1">
        <v>20.090772733269119</v>
      </c>
      <c r="D1059" s="9">
        <v>18.432666666670794</v>
      </c>
      <c r="E1059" s="1">
        <v>2.85995</v>
      </c>
      <c r="F1059" s="1">
        <v>8.4630600000000005</v>
      </c>
      <c r="G1059" s="1">
        <v>13.8453</v>
      </c>
      <c r="H1059" s="1">
        <v>-3.75116</v>
      </c>
    </row>
    <row r="1060" spans="1:8" x14ac:dyDescent="0.3">
      <c r="A1060" t="e">
        <f t="shared" si="41"/>
        <v>#REF!</v>
      </c>
      <c r="B1060">
        <v>2414</v>
      </c>
      <c r="C1060" s="1">
        <v>20.60975407213218</v>
      </c>
      <c r="D1060" s="9">
        <v>18.479888888893104</v>
      </c>
      <c r="E1060" s="1">
        <v>2.8304999999999998</v>
      </c>
      <c r="F1060" s="1">
        <v>8.1272000000000002</v>
      </c>
      <c r="G1060" s="1">
        <v>13.7782</v>
      </c>
      <c r="H1060" s="1">
        <v>-2.6663299999999999</v>
      </c>
    </row>
    <row r="1061" spans="1:8" x14ac:dyDescent="0.3">
      <c r="A1061" t="e">
        <f t="shared" si="41"/>
        <v>#REF!</v>
      </c>
      <c r="B1061">
        <v>2464</v>
      </c>
      <c r="C1061" s="1">
        <v>21.19681819224682</v>
      </c>
      <c r="D1061" s="9">
        <v>18.527111111115413</v>
      </c>
      <c r="E1061" s="1">
        <v>2.81724</v>
      </c>
      <c r="F1061" s="1">
        <v>7.8667800000000003</v>
      </c>
      <c r="G1061" s="1">
        <v>13.639099999999999</v>
      </c>
      <c r="H1061" s="1">
        <v>-1.52921</v>
      </c>
    </row>
    <row r="1062" spans="1:8" x14ac:dyDescent="0.3">
      <c r="A1062">
        <f t="shared" si="41"/>
        <v>14</v>
      </c>
      <c r="B1062">
        <v>2514</v>
      </c>
      <c r="C1062" s="1">
        <v>21.713136941240101</v>
      </c>
      <c r="D1062" s="9">
        <v>18.574333333337723</v>
      </c>
      <c r="E1062" s="1">
        <v>2.5566</v>
      </c>
      <c r="F1062" s="1">
        <v>7.8824300000000003</v>
      </c>
      <c r="G1062" s="1">
        <v>13.6778</v>
      </c>
      <c r="H1062" s="1">
        <v>-0.324685</v>
      </c>
    </row>
    <row r="1063" spans="1:8" x14ac:dyDescent="0.3">
      <c r="A1063" t="e">
        <f t="shared" si="41"/>
        <v>#REF!</v>
      </c>
      <c r="B1063">
        <v>2564</v>
      </c>
      <c r="C1063" s="1">
        <v>22.166208872242279</v>
      </c>
      <c r="D1063" s="9">
        <v>18.621555555560033</v>
      </c>
      <c r="E1063" s="1">
        <v>1.95668</v>
      </c>
      <c r="F1063" s="1">
        <v>8.1654099999999996</v>
      </c>
      <c r="G1063" s="1">
        <v>13.9693</v>
      </c>
      <c r="H1063" s="1">
        <v>0.93477500000000002</v>
      </c>
    </row>
    <row r="1064" spans="1:8" x14ac:dyDescent="0.3">
      <c r="A1064">
        <f t="shared" si="41"/>
        <v>5</v>
      </c>
      <c r="B1064">
        <v>2614</v>
      </c>
      <c r="C1064" s="1">
        <v>22.49836445159027</v>
      </c>
      <c r="D1064" s="9">
        <v>18.668777777782342</v>
      </c>
      <c r="E1064" s="1">
        <v>1.24678</v>
      </c>
      <c r="F1064" s="1">
        <v>8.3641299999999994</v>
      </c>
      <c r="G1064" s="1">
        <v>14.265700000000001</v>
      </c>
      <c r="H1064" s="1">
        <v>2.1874500000000001</v>
      </c>
    </row>
    <row r="1065" spans="1:8" x14ac:dyDescent="0.3">
      <c r="A1065" t="e">
        <f t="shared" si="41"/>
        <v>#REF!</v>
      </c>
      <c r="B1065">
        <v>2664</v>
      </c>
      <c r="C1065" s="1">
        <v>22.87768617507227</v>
      </c>
      <c r="D1065" s="9">
        <v>18.716000000004652</v>
      </c>
      <c r="E1065" s="1">
        <v>0.70820700000000003</v>
      </c>
      <c r="F1065" s="1">
        <v>8.2786299999999997</v>
      </c>
      <c r="G1065" s="1">
        <v>14.3531</v>
      </c>
      <c r="H1065" s="1">
        <v>3.3575400000000002</v>
      </c>
    </row>
    <row r="1066" spans="1:8" x14ac:dyDescent="0.3">
      <c r="A1066" t="e">
        <f t="shared" si="41"/>
        <v>#REF!</v>
      </c>
      <c r="B1066">
        <v>2714</v>
      </c>
      <c r="C1066" s="1">
        <v>23.349024445690581</v>
      </c>
      <c r="D1066" s="9">
        <v>18.763222222226961</v>
      </c>
      <c r="E1066" s="1">
        <v>0.65541400000000005</v>
      </c>
      <c r="F1066" s="1">
        <v>8.0098199999999995</v>
      </c>
      <c r="G1066" s="1">
        <v>14.123200000000001</v>
      </c>
      <c r="H1066" s="1">
        <v>4.3540099999999997</v>
      </c>
    </row>
    <row r="1067" spans="1:8" x14ac:dyDescent="0.3">
      <c r="A1067" t="e">
        <f t="shared" si="41"/>
        <v>#REF!</v>
      </c>
      <c r="B1067">
        <v>2764</v>
      </c>
      <c r="C1067" s="1">
        <v>23.78713047396991</v>
      </c>
      <c r="D1067" s="9">
        <v>18.810444444449271</v>
      </c>
      <c r="E1067" s="1">
        <v>1.17554</v>
      </c>
      <c r="F1067" s="1">
        <v>7.7880000000000003</v>
      </c>
      <c r="G1067" s="1">
        <v>13.638299999999999</v>
      </c>
      <c r="H1067" s="1">
        <v>5.10297</v>
      </c>
    </row>
    <row r="1068" spans="1:8" x14ac:dyDescent="0.3">
      <c r="A1068">
        <f t="shared" si="41"/>
        <v>12</v>
      </c>
      <c r="B1068">
        <v>2814</v>
      </c>
      <c r="C1068" s="1">
        <v>24.062167362972641</v>
      </c>
      <c r="D1068" s="9">
        <v>18.85766666667158</v>
      </c>
      <c r="E1068" s="1">
        <v>1.9819100000000001</v>
      </c>
      <c r="F1068" s="1">
        <v>8.0056799999999999</v>
      </c>
      <c r="G1068" s="1">
        <v>13.2194</v>
      </c>
      <c r="H1068" s="1">
        <v>5.5619100000000001</v>
      </c>
    </row>
    <row r="1069" spans="1:8" x14ac:dyDescent="0.3">
      <c r="A1069" t="e">
        <f t="shared" si="41"/>
        <v>#REF!</v>
      </c>
      <c r="B1069">
        <v>2864</v>
      </c>
      <c r="C1069" s="1">
        <v>24.2625777389128</v>
      </c>
      <c r="D1069" s="9">
        <v>18.90488888889389</v>
      </c>
      <c r="E1069" s="1">
        <v>2.7597299999999998</v>
      </c>
      <c r="F1069" s="1">
        <v>8.8394200000000005</v>
      </c>
      <c r="G1069" s="1">
        <v>13.151199999999999</v>
      </c>
      <c r="H1069" s="1">
        <v>5.79535</v>
      </c>
    </row>
    <row r="1070" spans="1:8" x14ac:dyDescent="0.3">
      <c r="A1070">
        <f t="shared" si="41"/>
        <v>3</v>
      </c>
      <c r="B1070">
        <v>2914</v>
      </c>
      <c r="C1070" s="1">
        <v>24.22</v>
      </c>
      <c r="D1070" s="9">
        <v>18.952111111116199</v>
      </c>
      <c r="E1070" s="1">
        <v>3.2081300000000001</v>
      </c>
      <c r="F1070" s="1">
        <v>10.090299999999999</v>
      </c>
      <c r="G1070" s="1">
        <v>13.619</v>
      </c>
      <c r="H1070" s="1">
        <v>6.03287</v>
      </c>
    </row>
    <row r="1071" spans="1:8" x14ac:dyDescent="0.3">
      <c r="A1071" t="e">
        <f t="shared" si="41"/>
        <v>#REF!</v>
      </c>
      <c r="B1071">
        <v>2964</v>
      </c>
      <c r="C1071" s="1">
        <v>24.084805221589988</v>
      </c>
      <c r="D1071" s="9">
        <v>18.999333333338509</v>
      </c>
      <c r="E1071" s="1">
        <v>3.3093499999999998</v>
      </c>
      <c r="F1071" s="1">
        <v>11.4739</v>
      </c>
      <c r="G1071" s="1">
        <v>14.619</v>
      </c>
      <c r="H1071" s="1">
        <v>6.3766499999999997</v>
      </c>
    </row>
    <row r="1072" spans="1:8" x14ac:dyDescent="0.3">
      <c r="A1072" t="e">
        <f t="shared" si="41"/>
        <v>#REF!</v>
      </c>
      <c r="B1072">
        <v>3014</v>
      </c>
      <c r="C1072" s="1">
        <v>23.980751715120348</v>
      </c>
      <c r="D1072" s="9">
        <v>19.046555555560818</v>
      </c>
      <c r="E1072" s="1">
        <v>3.49777</v>
      </c>
      <c r="F1072" s="1">
        <v>12.623200000000001</v>
      </c>
      <c r="G1072" s="1">
        <v>15.857699999999999</v>
      </c>
      <c r="H1072" s="1">
        <v>6.7029699999999997</v>
      </c>
    </row>
    <row r="1073" spans="1:8" x14ac:dyDescent="0.3">
      <c r="A1073" t="e">
        <f t="shared" si="41"/>
        <v>#REF!</v>
      </c>
      <c r="B1073">
        <v>3064</v>
      </c>
      <c r="C1073" s="1">
        <v>23.828435741219241</v>
      </c>
      <c r="D1073" s="9">
        <v>19.093777777783128</v>
      </c>
      <c r="E1073" s="1">
        <v>4.0534600000000003</v>
      </c>
      <c r="F1073" s="1">
        <v>13.232900000000001</v>
      </c>
      <c r="G1073" s="1">
        <v>17.010200000000001</v>
      </c>
      <c r="H1073" s="1">
        <v>6.9951600000000003</v>
      </c>
    </row>
    <row r="1074" spans="1:8" x14ac:dyDescent="0.3">
      <c r="A1074">
        <f t="shared" si="41"/>
        <v>10</v>
      </c>
      <c r="B1074">
        <v>3114</v>
      </c>
      <c r="C1074" s="1">
        <v>23.440942115034002</v>
      </c>
      <c r="D1074" s="9">
        <v>19.141000000005437</v>
      </c>
      <c r="E1074" s="1">
        <v>4.93642</v>
      </c>
      <c r="F1074" s="1">
        <v>13.1249</v>
      </c>
      <c r="G1074" s="1">
        <v>17.754300000000001</v>
      </c>
      <c r="H1074" s="1">
        <v>7.4346899999999998</v>
      </c>
    </row>
    <row r="1075" spans="1:8" x14ac:dyDescent="0.3">
      <c r="A1075" t="e">
        <f t="shared" si="41"/>
        <v>#REF!</v>
      </c>
      <c r="B1075">
        <v>3164</v>
      </c>
      <c r="C1075" s="1">
        <v>23.048636459213721</v>
      </c>
      <c r="D1075" s="9">
        <v>19.188222222227747</v>
      </c>
      <c r="E1075" s="1">
        <v>6.0087400000000004</v>
      </c>
      <c r="F1075" s="1">
        <v>12.348000000000001</v>
      </c>
      <c r="G1075" s="1">
        <v>17.9556</v>
      </c>
      <c r="H1075" s="1">
        <v>8.1388400000000001</v>
      </c>
    </row>
    <row r="1076" spans="1:8" x14ac:dyDescent="0.3">
      <c r="A1076">
        <f t="shared" si="41"/>
        <v>1</v>
      </c>
      <c r="B1076">
        <v>3214</v>
      </c>
      <c r="C1076" s="1">
        <v>22.68830732571028</v>
      </c>
      <c r="D1076" s="9">
        <v>19.235444444450057</v>
      </c>
      <c r="E1076" s="1">
        <v>7.0400499999999999</v>
      </c>
      <c r="F1076" s="1">
        <v>11.255599999999999</v>
      </c>
      <c r="G1076" s="1">
        <v>17.7517</v>
      </c>
      <c r="H1076" s="1">
        <v>9.1039899999999996</v>
      </c>
    </row>
    <row r="1077" spans="1:8" x14ac:dyDescent="0.3">
      <c r="A1077" t="e">
        <f t="shared" ref="A1077:A1083" si="42">A1027</f>
        <v>#REF!</v>
      </c>
      <c r="B1077">
        <v>3264</v>
      </c>
      <c r="C1077" s="1">
        <v>22.302829797883881</v>
      </c>
      <c r="D1077" s="9">
        <v>19.282666666672366</v>
      </c>
      <c r="E1077" s="1">
        <v>7.9432499999999999</v>
      </c>
      <c r="F1077" s="1">
        <v>10.203099999999999</v>
      </c>
      <c r="G1077" s="1">
        <v>17.333200000000001</v>
      </c>
      <c r="H1077" s="1">
        <v>10.2864</v>
      </c>
    </row>
    <row r="1078" spans="1:8" x14ac:dyDescent="0.3">
      <c r="A1078" t="e">
        <f t="shared" si="42"/>
        <v>#REF!</v>
      </c>
      <c r="B1078">
        <v>3314</v>
      </c>
      <c r="C1078" s="1">
        <v>21.924941512247049</v>
      </c>
      <c r="D1078" s="9">
        <v>19.329888888894676</v>
      </c>
      <c r="E1078" s="1">
        <v>8.9870999999999999</v>
      </c>
      <c r="F1078" s="1">
        <v>9.8172599999999992</v>
      </c>
      <c r="G1078" s="1">
        <v>17.041699999999999</v>
      </c>
      <c r="H1078" s="1">
        <v>11.625500000000001</v>
      </c>
    </row>
    <row r="1079" spans="1:8" x14ac:dyDescent="0.3">
      <c r="A1079" t="e">
        <f t="shared" si="42"/>
        <v>#REF!</v>
      </c>
      <c r="B1079">
        <v>3364</v>
      </c>
      <c r="C1079" s="1">
        <v>21.608743928530711</v>
      </c>
      <c r="D1079" s="9">
        <v>19.377111111116985</v>
      </c>
      <c r="E1079" s="1">
        <v>10.5604</v>
      </c>
      <c r="F1079" s="1">
        <v>10.931100000000001</v>
      </c>
      <c r="G1079" s="1">
        <v>17.196899999999999</v>
      </c>
      <c r="H1079" s="1">
        <v>13.0624</v>
      </c>
    </row>
    <row r="1080" spans="1:8" x14ac:dyDescent="0.3">
      <c r="A1080">
        <f t="shared" si="42"/>
        <v>8</v>
      </c>
      <c r="B1080">
        <v>3414</v>
      </c>
      <c r="C1080" s="1">
        <v>21.272281365731821</v>
      </c>
      <c r="D1080" s="9">
        <v>19.424333333339295</v>
      </c>
      <c r="E1080" s="1">
        <v>12.361000000000001</v>
      </c>
      <c r="F1080" s="1">
        <v>12.5398</v>
      </c>
      <c r="G1080" s="1">
        <v>17.506499999999999</v>
      </c>
      <c r="H1080" s="1">
        <v>14.477</v>
      </c>
    </row>
    <row r="1081" spans="1:8" x14ac:dyDescent="0.3">
      <c r="A1081" t="e">
        <f t="shared" si="42"/>
        <v>#REF!</v>
      </c>
      <c r="B1081">
        <v>3464</v>
      </c>
      <c r="C1081" s="1">
        <v>20.783147001107679</v>
      </c>
      <c r="D1081" s="9">
        <v>19.471555555561604</v>
      </c>
      <c r="E1081" s="1">
        <v>14.2569</v>
      </c>
      <c r="F1081" s="1">
        <v>14.340199999999999</v>
      </c>
      <c r="G1081" s="1">
        <v>17.949000000000002</v>
      </c>
      <c r="H1081" s="1">
        <v>15.8703</v>
      </c>
    </row>
    <row r="1082" spans="1:8" x14ac:dyDescent="0.3">
      <c r="A1082" t="e">
        <f t="shared" si="42"/>
        <v>#REF!</v>
      </c>
      <c r="B1082">
        <v>3514</v>
      </c>
      <c r="C1082" s="1">
        <v>20.317536189536021</v>
      </c>
      <c r="D1082" s="9">
        <v>19.518777777783914</v>
      </c>
      <c r="E1082" s="1">
        <v>16.200600000000001</v>
      </c>
      <c r="F1082" s="1">
        <v>16.234500000000001</v>
      </c>
      <c r="G1082" s="1">
        <v>18.493500000000001</v>
      </c>
      <c r="H1082" s="1">
        <v>17.249400000000001</v>
      </c>
    </row>
    <row r="1083" spans="1:8" x14ac:dyDescent="0.3">
      <c r="A1083" t="e">
        <f t="shared" si="42"/>
        <v>#REF!</v>
      </c>
      <c r="B1083">
        <v>3564</v>
      </c>
      <c r="C1083" s="1">
        <v>19.920315149624741</v>
      </c>
      <c r="D1083" s="9">
        <v>19.566000000006223</v>
      </c>
      <c r="E1083" s="1">
        <v>18.1709</v>
      </c>
      <c r="F1083" s="1">
        <v>18.1799</v>
      </c>
      <c r="G1083" s="1">
        <v>19.114899999999999</v>
      </c>
      <c r="H1083" s="1">
        <v>18.6187</v>
      </c>
    </row>
    <row r="1084" spans="1:8" x14ac:dyDescent="0.3">
      <c r="A1084">
        <v>15</v>
      </c>
      <c r="B1084">
        <v>15</v>
      </c>
      <c r="C1084" s="1">
        <v>16.18</v>
      </c>
      <c r="D1084" s="9">
        <v>16.214166666666692</v>
      </c>
      <c r="E1084" s="1">
        <v>15.6433</v>
      </c>
      <c r="F1084" s="1">
        <v>15.606199999999999</v>
      </c>
      <c r="G1084" s="1">
        <v>16.015799999999999</v>
      </c>
      <c r="H1084" s="1">
        <v>15.6411</v>
      </c>
    </row>
    <row r="1085" spans="1:8" x14ac:dyDescent="0.3">
      <c r="A1085" t="e">
        <f t="shared" ref="A1085:A1116" si="43">A1035</f>
        <v>#REF!</v>
      </c>
      <c r="B1085">
        <v>65</v>
      </c>
      <c r="C1085" s="1">
        <v>16.14230588463489</v>
      </c>
      <c r="D1085" s="9">
        <v>16.261388888889002</v>
      </c>
      <c r="E1085" s="1">
        <v>13.8018</v>
      </c>
      <c r="F1085" s="1">
        <v>13.643599999999999</v>
      </c>
      <c r="G1085" s="1">
        <v>15.436400000000001</v>
      </c>
      <c r="H1085" s="1">
        <v>13.7723</v>
      </c>
    </row>
    <row r="1086" spans="1:8" x14ac:dyDescent="0.3">
      <c r="A1086">
        <f t="shared" si="43"/>
        <v>6</v>
      </c>
      <c r="B1086">
        <v>115</v>
      </c>
      <c r="C1086" s="1">
        <v>16.27006146883927</v>
      </c>
      <c r="D1086" s="9">
        <v>16.308611111111311</v>
      </c>
      <c r="E1086" s="1">
        <v>11.9885</v>
      </c>
      <c r="F1086" s="1">
        <v>11.719799999999999</v>
      </c>
      <c r="G1086" s="1">
        <v>14.919499999999999</v>
      </c>
      <c r="H1086" s="1">
        <v>11.893800000000001</v>
      </c>
    </row>
    <row r="1087" spans="1:8" x14ac:dyDescent="0.3">
      <c r="A1087" t="e">
        <f t="shared" si="43"/>
        <v>#REF!</v>
      </c>
      <c r="B1087">
        <v>165</v>
      </c>
      <c r="C1087" s="1">
        <v>16.46428195456398</v>
      </c>
      <c r="D1087" s="9">
        <v>16.355833333333621</v>
      </c>
      <c r="E1087" s="1">
        <v>10.216900000000001</v>
      </c>
      <c r="F1087" s="1">
        <v>9.8639700000000001</v>
      </c>
      <c r="G1087" s="1">
        <v>14.481199999999999</v>
      </c>
      <c r="H1087" s="1">
        <v>10.005100000000001</v>
      </c>
    </row>
    <row r="1088" spans="1:8" x14ac:dyDescent="0.3">
      <c r="A1088" t="e">
        <f t="shared" si="43"/>
        <v>#REF!</v>
      </c>
      <c r="B1088">
        <v>215</v>
      </c>
      <c r="C1088" s="1">
        <v>16.827528309912591</v>
      </c>
      <c r="D1088" s="9">
        <v>16.40305555555593</v>
      </c>
      <c r="E1088" s="1">
        <v>8.5122300000000006</v>
      </c>
      <c r="F1088" s="1">
        <v>8.1390200000000004</v>
      </c>
      <c r="G1088" s="1">
        <v>14.138500000000001</v>
      </c>
      <c r="H1088" s="1">
        <v>8.1087500000000006</v>
      </c>
    </row>
    <row r="1089" spans="1:8" x14ac:dyDescent="0.3">
      <c r="A1089" t="e">
        <f t="shared" si="43"/>
        <v>#REF!</v>
      </c>
      <c r="B1089">
        <v>265</v>
      </c>
      <c r="C1089" s="1">
        <v>16.966064428209108</v>
      </c>
      <c r="D1089" s="9">
        <v>16.45027777777824</v>
      </c>
      <c r="E1089" s="1">
        <v>6.9229599999999998</v>
      </c>
      <c r="F1089" s="1">
        <v>6.69665</v>
      </c>
      <c r="G1089" s="1">
        <v>13.8832</v>
      </c>
      <c r="H1089" s="1">
        <v>6.2217500000000001</v>
      </c>
    </row>
    <row r="1090" spans="1:8" x14ac:dyDescent="0.3">
      <c r="A1090">
        <f t="shared" si="43"/>
        <v>13</v>
      </c>
      <c r="B1090">
        <v>315</v>
      </c>
      <c r="C1090" s="1">
        <v>17.136792727581732</v>
      </c>
      <c r="D1090" s="9">
        <v>16.497500000000549</v>
      </c>
      <c r="E1090" s="1">
        <v>5.7083500000000003</v>
      </c>
      <c r="F1090" s="1">
        <v>6.2037199999999997</v>
      </c>
      <c r="G1090" s="1">
        <v>13.8447</v>
      </c>
      <c r="H1090" s="1">
        <v>4.64072</v>
      </c>
    </row>
    <row r="1091" spans="1:8" x14ac:dyDescent="0.3">
      <c r="A1091" t="e">
        <f t="shared" si="43"/>
        <v>#REF!</v>
      </c>
      <c r="B1091">
        <v>365</v>
      </c>
      <c r="C1091" s="1">
        <v>17.361374075149271</v>
      </c>
      <c r="D1091" s="9">
        <v>16.544722222222859</v>
      </c>
      <c r="E1091" s="1">
        <v>4.9231499999999997</v>
      </c>
      <c r="F1091" s="1">
        <v>6.5005300000000004</v>
      </c>
      <c r="G1091" s="1">
        <v>14.0318</v>
      </c>
      <c r="H1091" s="1">
        <v>3.5446200000000001</v>
      </c>
    </row>
    <row r="1092" spans="1:8" x14ac:dyDescent="0.3">
      <c r="A1092">
        <f t="shared" si="43"/>
        <v>4</v>
      </c>
      <c r="B1092">
        <v>415</v>
      </c>
      <c r="C1092" s="1">
        <v>17.528972097632419</v>
      </c>
      <c r="D1092" s="9">
        <v>16.591944444445168</v>
      </c>
      <c r="E1092" s="1">
        <v>4.4012099999999998</v>
      </c>
      <c r="F1092" s="1">
        <v>6.7334899999999998</v>
      </c>
      <c r="G1092" s="1">
        <v>14.039199999999999</v>
      </c>
      <c r="H1092" s="1">
        <v>2.8111600000000001</v>
      </c>
    </row>
    <row r="1093" spans="1:8" x14ac:dyDescent="0.3">
      <c r="A1093" t="e">
        <f t="shared" si="43"/>
        <v>#REF!</v>
      </c>
      <c r="B1093">
        <v>465</v>
      </c>
      <c r="C1093" s="1">
        <v>17.850521042743271</v>
      </c>
      <c r="D1093" s="9">
        <v>16.639166666667478</v>
      </c>
      <c r="E1093" s="1">
        <v>4.02285</v>
      </c>
      <c r="F1093" s="1">
        <v>6.6159699999999999</v>
      </c>
      <c r="G1093" s="1">
        <v>13.7788</v>
      </c>
      <c r="H1093" s="1">
        <v>2.3477000000000001</v>
      </c>
    </row>
    <row r="1094" spans="1:8" x14ac:dyDescent="0.3">
      <c r="A1094" t="e">
        <f t="shared" si="43"/>
        <v>#REF!</v>
      </c>
      <c r="B1094">
        <v>515</v>
      </c>
      <c r="C1094" s="1">
        <v>18.019129812147249</v>
      </c>
      <c r="D1094" s="9">
        <v>16.686388888889788</v>
      </c>
      <c r="E1094" s="1">
        <v>3.4765600000000001</v>
      </c>
      <c r="F1094" s="1">
        <v>6.0841900000000004</v>
      </c>
      <c r="G1094" s="1">
        <v>13.4322</v>
      </c>
      <c r="H1094" s="1">
        <v>1.83308</v>
      </c>
    </row>
    <row r="1095" spans="1:8" x14ac:dyDescent="0.3">
      <c r="A1095" t="e">
        <f t="shared" si="43"/>
        <v>#REF!</v>
      </c>
      <c r="B1095">
        <v>565</v>
      </c>
      <c r="C1095" s="1">
        <v>18.221990478076329</v>
      </c>
      <c r="D1095" s="9">
        <v>16.733611111112097</v>
      </c>
      <c r="E1095" s="1">
        <v>2.6311300000000002</v>
      </c>
      <c r="F1095" s="1">
        <v>5.18858</v>
      </c>
      <c r="G1095" s="1">
        <v>13.1027</v>
      </c>
      <c r="H1095" s="1">
        <v>1.1205799999999999</v>
      </c>
    </row>
    <row r="1096" spans="1:8" x14ac:dyDescent="0.3">
      <c r="A1096">
        <f t="shared" si="43"/>
        <v>11</v>
      </c>
      <c r="B1096">
        <v>615</v>
      </c>
      <c r="C1096" s="1">
        <v>18.434177880755591</v>
      </c>
      <c r="D1096" s="9">
        <v>16.780833333334407</v>
      </c>
      <c r="E1096" s="1">
        <v>1.7163299999999999</v>
      </c>
      <c r="F1096" s="1">
        <v>4.1543400000000004</v>
      </c>
      <c r="G1096" s="1">
        <v>12.711600000000001</v>
      </c>
      <c r="H1096" s="1">
        <v>0.419738</v>
      </c>
    </row>
    <row r="1097" spans="1:8" x14ac:dyDescent="0.3">
      <c r="A1097" t="e">
        <f t="shared" si="43"/>
        <v>#REF!</v>
      </c>
      <c r="B1097">
        <v>665</v>
      </c>
      <c r="C1097" s="1">
        <v>18.505948594851521</v>
      </c>
      <c r="D1097" s="9">
        <v>16.828055555556716</v>
      </c>
      <c r="E1097" s="1">
        <v>0.98454799999999998</v>
      </c>
      <c r="F1097" s="1">
        <v>3.2157200000000001</v>
      </c>
      <c r="G1097" s="1">
        <v>12.297000000000001</v>
      </c>
      <c r="H1097" s="1">
        <v>-2.8077699999999998E-3</v>
      </c>
    </row>
    <row r="1098" spans="1:8" x14ac:dyDescent="0.3">
      <c r="A1098">
        <f t="shared" si="43"/>
        <v>2</v>
      </c>
      <c r="B1098">
        <v>715</v>
      </c>
      <c r="C1098" s="1">
        <v>18.71</v>
      </c>
      <c r="D1098" s="9">
        <v>16.875277777779026</v>
      </c>
      <c r="E1098" s="1">
        <v>0.65325</v>
      </c>
      <c r="F1098" s="1">
        <v>2.5773799999999998</v>
      </c>
      <c r="G1098" s="1">
        <v>12.1203</v>
      </c>
      <c r="H1098" s="1">
        <v>0.145375</v>
      </c>
    </row>
    <row r="1099" spans="1:8" x14ac:dyDescent="0.3">
      <c r="A1099" t="e">
        <f t="shared" si="43"/>
        <v>#REF!</v>
      </c>
      <c r="B1099">
        <v>765</v>
      </c>
      <c r="C1099" s="1">
        <v>18.829999999999998</v>
      </c>
      <c r="D1099" s="9">
        <v>16.922500000001335</v>
      </c>
      <c r="E1099" s="1">
        <v>0.755965</v>
      </c>
      <c r="F1099" s="1">
        <v>2.2612999999999999</v>
      </c>
      <c r="G1099" s="1">
        <v>12.309200000000001</v>
      </c>
      <c r="H1099" s="1">
        <v>0.92068499999999998</v>
      </c>
    </row>
    <row r="1100" spans="1:8" x14ac:dyDescent="0.3">
      <c r="A1100" t="e">
        <f t="shared" si="43"/>
        <v>#REF!</v>
      </c>
      <c r="B1100">
        <v>815</v>
      </c>
      <c r="C1100" s="1">
        <v>19.260119803735041</v>
      </c>
      <c r="D1100" s="9">
        <v>16.969722222223645</v>
      </c>
      <c r="E1100" s="1">
        <v>1.03176</v>
      </c>
      <c r="F1100" s="1">
        <v>1.9977199999999999</v>
      </c>
      <c r="G1100" s="1">
        <v>12.736700000000001</v>
      </c>
      <c r="H1100" s="1">
        <v>1.9886999999999999</v>
      </c>
    </row>
    <row r="1101" spans="1:8" x14ac:dyDescent="0.3">
      <c r="A1101" t="e">
        <f t="shared" si="43"/>
        <v>#REF!</v>
      </c>
      <c r="B1101">
        <v>865</v>
      </c>
      <c r="C1101" s="1">
        <v>19.482228117252571</v>
      </c>
      <c r="D1101" s="9">
        <v>17.016944444445954</v>
      </c>
      <c r="E1101" s="1">
        <v>1.32237</v>
      </c>
      <c r="F1101" s="1">
        <v>1.7065699999999999</v>
      </c>
      <c r="G1101" s="1">
        <v>13.1858</v>
      </c>
      <c r="H1101" s="1">
        <v>2.9736400000000001</v>
      </c>
    </row>
    <row r="1102" spans="1:8" x14ac:dyDescent="0.3">
      <c r="A1102">
        <f t="shared" si="43"/>
        <v>9</v>
      </c>
      <c r="B1102">
        <v>915</v>
      </c>
      <c r="C1102" s="1">
        <v>19.758316181636271</v>
      </c>
      <c r="D1102" s="9">
        <v>17.064166666668264</v>
      </c>
      <c r="E1102" s="1">
        <v>1.6807000000000001</v>
      </c>
      <c r="F1102" s="1">
        <v>1.6598900000000001</v>
      </c>
      <c r="G1102" s="1">
        <v>13.3352</v>
      </c>
      <c r="H1102" s="1">
        <v>3.49438</v>
      </c>
    </row>
    <row r="1103" spans="1:8" x14ac:dyDescent="0.3">
      <c r="A1103">
        <f t="shared" si="43"/>
        <v>0</v>
      </c>
      <c r="B1103">
        <v>965</v>
      </c>
      <c r="C1103" s="1">
        <v>20.082852137476049</v>
      </c>
      <c r="D1103" s="9">
        <v>17.111388888890573</v>
      </c>
      <c r="E1103" s="1">
        <v>2.0759400000000001</v>
      </c>
      <c r="F1103" s="1">
        <v>1.99447</v>
      </c>
      <c r="G1103" s="1">
        <v>13.0984</v>
      </c>
      <c r="H1103" s="1">
        <v>3.41595</v>
      </c>
    </row>
    <row r="1104" spans="1:8" x14ac:dyDescent="0.3">
      <c r="A1104" t="e">
        <f t="shared" si="43"/>
        <v>#REF!</v>
      </c>
      <c r="B1104">
        <v>1015</v>
      </c>
      <c r="C1104" s="1">
        <v>20.497249567426291</v>
      </c>
      <c r="D1104" s="9">
        <v>17.158611111112883</v>
      </c>
      <c r="E1104" s="1">
        <v>2.3106300000000002</v>
      </c>
      <c r="F1104" s="1">
        <v>2.5722100000000001</v>
      </c>
      <c r="G1104" s="1">
        <v>12.7887</v>
      </c>
      <c r="H1104" s="1">
        <v>3.0055999999999998</v>
      </c>
    </row>
    <row r="1105" spans="1:8" x14ac:dyDescent="0.3">
      <c r="A1105" t="e">
        <f t="shared" si="43"/>
        <v>#REF!</v>
      </c>
      <c r="B1105">
        <v>1065</v>
      </c>
      <c r="C1105" s="1">
        <v>20.943237931913519</v>
      </c>
      <c r="D1105" s="9">
        <v>17.205833333335192</v>
      </c>
      <c r="E1105" s="1">
        <v>2.32551</v>
      </c>
      <c r="F1105" s="1">
        <v>3.1637499999999998</v>
      </c>
      <c r="G1105" s="1">
        <v>12.648300000000001</v>
      </c>
      <c r="H1105" s="1">
        <v>2.6084499999999999</v>
      </c>
    </row>
    <row r="1106" spans="1:8" x14ac:dyDescent="0.3">
      <c r="A1106" t="e">
        <f t="shared" si="43"/>
        <v>#REF!</v>
      </c>
      <c r="B1106">
        <v>1115</v>
      </c>
      <c r="C1106" s="1">
        <v>21.331113071024891</v>
      </c>
      <c r="D1106" s="9">
        <v>17.253055555557502</v>
      </c>
      <c r="E1106" s="1">
        <v>2.30945</v>
      </c>
      <c r="F1106" s="1">
        <v>3.4364400000000002</v>
      </c>
      <c r="G1106" s="1">
        <v>12.7409</v>
      </c>
      <c r="H1106" s="1">
        <v>2.6321400000000001</v>
      </c>
    </row>
    <row r="1107" spans="1:8" x14ac:dyDescent="0.3">
      <c r="A1107" t="e">
        <f t="shared" si="43"/>
        <v>#REF!</v>
      </c>
      <c r="B1107">
        <v>1165</v>
      </c>
      <c r="C1107" s="1">
        <v>21.621054796545771</v>
      </c>
      <c r="D1107" s="9">
        <v>17.300277777779812</v>
      </c>
      <c r="E1107" s="1">
        <v>2.3219799999999999</v>
      </c>
      <c r="F1107" s="1">
        <v>3.31189</v>
      </c>
      <c r="G1107" s="1">
        <v>12.991899999999999</v>
      </c>
      <c r="H1107" s="1">
        <v>3.2190599999999998</v>
      </c>
    </row>
    <row r="1108" spans="1:8" x14ac:dyDescent="0.3">
      <c r="A1108">
        <f t="shared" si="43"/>
        <v>7</v>
      </c>
      <c r="B1108">
        <v>1215</v>
      </c>
      <c r="C1108" s="1">
        <v>22.050642319207601</v>
      </c>
      <c r="D1108" s="9">
        <v>17.347500000002121</v>
      </c>
      <c r="E1108" s="1">
        <v>2.17821</v>
      </c>
      <c r="F1108" s="1">
        <v>3.1373000000000002</v>
      </c>
      <c r="G1108" s="1">
        <v>13.1312</v>
      </c>
      <c r="H1108" s="1">
        <v>4.0741800000000001</v>
      </c>
    </row>
    <row r="1109" spans="1:8" x14ac:dyDescent="0.3">
      <c r="A1109" t="e">
        <f t="shared" si="43"/>
        <v>#REF!</v>
      </c>
      <c r="B1109">
        <v>1265</v>
      </c>
      <c r="C1109" s="1">
        <v>22.459726753296639</v>
      </c>
      <c r="D1109" s="9">
        <v>17.394722222224431</v>
      </c>
      <c r="E1109" s="1">
        <v>1.86616</v>
      </c>
      <c r="F1109" s="1">
        <v>3.1574</v>
      </c>
      <c r="G1109" s="1">
        <v>13.070600000000001</v>
      </c>
      <c r="H1109" s="1">
        <v>4.9044400000000001</v>
      </c>
    </row>
    <row r="1110" spans="1:8" x14ac:dyDescent="0.3">
      <c r="A1110" t="e">
        <f t="shared" si="43"/>
        <v>#REF!</v>
      </c>
      <c r="B1110">
        <v>1315</v>
      </c>
      <c r="C1110" s="1">
        <v>22.902986415498379</v>
      </c>
      <c r="D1110" s="9">
        <v>17.44194444444674</v>
      </c>
      <c r="E1110" s="1">
        <v>1.6879500000000001</v>
      </c>
      <c r="F1110" s="1">
        <v>3.38788</v>
      </c>
      <c r="G1110" s="1">
        <v>13.0435</v>
      </c>
      <c r="H1110" s="1">
        <v>5.4864499999999996</v>
      </c>
    </row>
    <row r="1111" spans="1:8" x14ac:dyDescent="0.3">
      <c r="A1111" t="e">
        <f t="shared" si="43"/>
        <v>#REF!</v>
      </c>
      <c r="B1111">
        <v>1365</v>
      </c>
      <c r="C1111" s="1">
        <v>23.131482181720401</v>
      </c>
      <c r="D1111" s="9">
        <v>17.48916666666905</v>
      </c>
      <c r="E1111" s="1">
        <v>1.8279300000000001</v>
      </c>
      <c r="F1111" s="1">
        <v>3.7664900000000001</v>
      </c>
      <c r="G1111" s="1">
        <v>13.139200000000001</v>
      </c>
      <c r="H1111" s="1">
        <v>5.7669699999999997</v>
      </c>
    </row>
    <row r="1112" spans="1:8" x14ac:dyDescent="0.3">
      <c r="A1112">
        <f t="shared" si="43"/>
        <v>14</v>
      </c>
      <c r="B1112">
        <v>1415</v>
      </c>
      <c r="C1112" s="1">
        <v>23.24</v>
      </c>
      <c r="D1112" s="9">
        <v>17.536388888891359</v>
      </c>
      <c r="E1112" s="1">
        <v>2.23278</v>
      </c>
      <c r="F1112" s="1">
        <v>4.1400899999999998</v>
      </c>
      <c r="G1112" s="1">
        <v>13.1685</v>
      </c>
      <c r="H1112" s="1">
        <v>5.9530799999999999</v>
      </c>
    </row>
    <row r="1113" spans="1:8" x14ac:dyDescent="0.3">
      <c r="A1113" t="e">
        <f t="shared" si="43"/>
        <v>#REF!</v>
      </c>
      <c r="B1113">
        <v>1465</v>
      </c>
      <c r="C1113" s="1">
        <v>23.23</v>
      </c>
      <c r="D1113" s="9">
        <v>17.583611111113669</v>
      </c>
      <c r="E1113" s="1">
        <v>2.74621</v>
      </c>
      <c r="F1113" s="1">
        <v>4.4184200000000002</v>
      </c>
      <c r="G1113" s="1">
        <v>13.0793</v>
      </c>
      <c r="H1113" s="1">
        <v>6.12052</v>
      </c>
    </row>
    <row r="1114" spans="1:8" x14ac:dyDescent="0.3">
      <c r="A1114">
        <f t="shared" si="43"/>
        <v>5</v>
      </c>
      <c r="B1114">
        <v>1515</v>
      </c>
      <c r="C1114" s="1">
        <v>23.046066552797161</v>
      </c>
      <c r="D1114" s="9">
        <v>17.630833333335978</v>
      </c>
      <c r="E1114" s="1">
        <v>3.0849799999999998</v>
      </c>
      <c r="F1114" s="1">
        <v>4.6268799999999999</v>
      </c>
      <c r="G1114" s="1">
        <v>13.0768</v>
      </c>
      <c r="H1114" s="1">
        <v>6.0986399999999996</v>
      </c>
    </row>
    <row r="1115" spans="1:8" x14ac:dyDescent="0.3">
      <c r="A1115" t="e">
        <f t="shared" si="43"/>
        <v>#REF!</v>
      </c>
      <c r="B1115">
        <v>1565</v>
      </c>
      <c r="C1115" s="1">
        <v>22.7666346739041</v>
      </c>
      <c r="D1115" s="9">
        <v>17.678055555558288</v>
      </c>
      <c r="E1115" s="1">
        <v>3.2185600000000001</v>
      </c>
      <c r="F1115" s="1">
        <v>4.8887900000000002</v>
      </c>
      <c r="G1115" s="1">
        <v>13.227600000000001</v>
      </c>
      <c r="H1115" s="1">
        <v>5.77217</v>
      </c>
    </row>
    <row r="1116" spans="1:8" x14ac:dyDescent="0.3">
      <c r="A1116" t="e">
        <f t="shared" si="43"/>
        <v>#REF!</v>
      </c>
      <c r="B1116">
        <v>1615</v>
      </c>
      <c r="C1116" s="1">
        <v>22.400580902558019</v>
      </c>
      <c r="D1116" s="9">
        <v>17.725277777780597</v>
      </c>
      <c r="E1116" s="1">
        <v>3.5369000000000002</v>
      </c>
      <c r="F1116" s="1">
        <v>5.4647300000000003</v>
      </c>
      <c r="G1116" s="1">
        <v>13.340400000000001</v>
      </c>
      <c r="H1116" s="1">
        <v>5.1497999999999999</v>
      </c>
    </row>
    <row r="1117" spans="1:8" x14ac:dyDescent="0.3">
      <c r="A1117" t="e">
        <f t="shared" ref="A1117:A1148" si="44">A1067</f>
        <v>#REF!</v>
      </c>
      <c r="B1117">
        <v>1665</v>
      </c>
      <c r="C1117" s="1">
        <v>21.96292282143169</v>
      </c>
      <c r="D1117" s="9">
        <v>17.772500000002907</v>
      </c>
      <c r="E1117" s="1">
        <v>4.2226499999999998</v>
      </c>
      <c r="F1117" s="1">
        <v>6.4216300000000004</v>
      </c>
      <c r="G1117" s="1">
        <v>13.347</v>
      </c>
      <c r="H1117" s="1">
        <v>4.28003</v>
      </c>
    </row>
    <row r="1118" spans="1:8" x14ac:dyDescent="0.3">
      <c r="A1118">
        <f t="shared" si="44"/>
        <v>12</v>
      </c>
      <c r="B1118">
        <v>1715</v>
      </c>
      <c r="C1118" s="1">
        <v>21.47863918877297</v>
      </c>
      <c r="D1118" s="9">
        <v>17.819722222225217</v>
      </c>
      <c r="E1118" s="1">
        <v>5.0653899999999998</v>
      </c>
      <c r="F1118" s="1">
        <v>7.4974400000000001</v>
      </c>
      <c r="G1118" s="1">
        <v>13.4102</v>
      </c>
      <c r="H1118" s="1">
        <v>3.2567499999999998</v>
      </c>
    </row>
    <row r="1119" spans="1:8" x14ac:dyDescent="0.3">
      <c r="A1119" t="e">
        <f t="shared" si="44"/>
        <v>#REF!</v>
      </c>
      <c r="B1119">
        <v>1765</v>
      </c>
      <c r="C1119" s="1">
        <v>21.18192401506121</v>
      </c>
      <c r="D1119" s="9">
        <v>17.866944444447526</v>
      </c>
      <c r="E1119" s="1">
        <v>5.7524100000000002</v>
      </c>
      <c r="F1119" s="1">
        <v>8.4152000000000005</v>
      </c>
      <c r="G1119" s="1">
        <v>13.564299999999999</v>
      </c>
      <c r="H1119" s="1">
        <v>2.15713</v>
      </c>
    </row>
    <row r="1120" spans="1:8" x14ac:dyDescent="0.3">
      <c r="A1120">
        <f t="shared" si="44"/>
        <v>3</v>
      </c>
      <c r="B1120">
        <v>1815</v>
      </c>
      <c r="C1120" s="1">
        <v>20.783869275917009</v>
      </c>
      <c r="D1120" s="9">
        <v>17.914166666669836</v>
      </c>
      <c r="E1120" s="1">
        <v>5.8688700000000003</v>
      </c>
      <c r="F1120" s="1">
        <v>8.9247399999999999</v>
      </c>
      <c r="G1120" s="1">
        <v>13.6083</v>
      </c>
      <c r="H1120" s="1">
        <v>1.0248299999999999</v>
      </c>
    </row>
    <row r="1121" spans="1:8" x14ac:dyDescent="0.3">
      <c r="A1121" t="e">
        <f t="shared" si="44"/>
        <v>#REF!</v>
      </c>
      <c r="B1121">
        <v>1865</v>
      </c>
      <c r="C1121" s="1">
        <v>20.442999082528011</v>
      </c>
      <c r="D1121" s="9">
        <v>17.961388888892145</v>
      </c>
      <c r="E1121" s="1">
        <v>5.2925899999999997</v>
      </c>
      <c r="F1121" s="1">
        <v>9.0084099999999996</v>
      </c>
      <c r="G1121" s="1">
        <v>13.493</v>
      </c>
      <c r="H1121" s="1">
        <v>-0.136631</v>
      </c>
    </row>
    <row r="1122" spans="1:8" x14ac:dyDescent="0.3">
      <c r="A1122" t="e">
        <f t="shared" si="44"/>
        <v>#REF!</v>
      </c>
      <c r="B1122">
        <v>1915</v>
      </c>
      <c r="C1122" s="1">
        <v>20.032720706063181</v>
      </c>
      <c r="D1122" s="9">
        <v>18.008611111114455</v>
      </c>
      <c r="E1122" s="1">
        <v>4.3797300000000003</v>
      </c>
      <c r="F1122" s="1">
        <v>9.0098699999999994</v>
      </c>
      <c r="G1122" s="1">
        <v>13.439500000000001</v>
      </c>
      <c r="H1122" s="1">
        <v>-1.38131</v>
      </c>
    </row>
    <row r="1123" spans="1:8" x14ac:dyDescent="0.3">
      <c r="A1123" t="e">
        <f t="shared" si="44"/>
        <v>#REF!</v>
      </c>
      <c r="B1123">
        <v>1965</v>
      </c>
      <c r="C1123" s="1">
        <v>19.734262646713479</v>
      </c>
      <c r="D1123" s="9">
        <v>18.055833333336764</v>
      </c>
      <c r="E1123" s="1">
        <v>3.4978600000000002</v>
      </c>
      <c r="F1123" s="1">
        <v>9.0880500000000008</v>
      </c>
      <c r="G1123" s="1">
        <v>13.5387</v>
      </c>
      <c r="H1123" s="1">
        <v>-2.6955800000000001</v>
      </c>
    </row>
    <row r="1124" spans="1:8" x14ac:dyDescent="0.3">
      <c r="A1124">
        <f t="shared" si="44"/>
        <v>10</v>
      </c>
      <c r="B1124">
        <v>2015</v>
      </c>
      <c r="C1124" s="1">
        <v>19.45079479721559</v>
      </c>
      <c r="D1124" s="9">
        <v>18.103055555559074</v>
      </c>
      <c r="E1124" s="1">
        <v>2.9615399999999998</v>
      </c>
      <c r="F1124" s="1">
        <v>9.0619300000000003</v>
      </c>
      <c r="G1124" s="1">
        <v>13.6394</v>
      </c>
      <c r="H1124" s="1">
        <v>-3.9517699999999998</v>
      </c>
    </row>
    <row r="1125" spans="1:8" x14ac:dyDescent="0.3">
      <c r="A1125" t="e">
        <f t="shared" si="44"/>
        <v>#REF!</v>
      </c>
      <c r="B1125">
        <v>2065</v>
      </c>
      <c r="C1125" s="1">
        <v>19.28</v>
      </c>
      <c r="D1125" s="9">
        <v>18.150277777781383</v>
      </c>
      <c r="E1125" s="1">
        <v>2.8332000000000002</v>
      </c>
      <c r="F1125" s="1">
        <v>8.85745</v>
      </c>
      <c r="G1125" s="1">
        <v>13.687099999999999</v>
      </c>
      <c r="H1125" s="1">
        <v>-5.0358200000000002</v>
      </c>
    </row>
    <row r="1126" spans="1:8" x14ac:dyDescent="0.3">
      <c r="A1126">
        <f t="shared" si="44"/>
        <v>1</v>
      </c>
      <c r="B1126">
        <v>2115</v>
      </c>
      <c r="C1126" s="1">
        <v>19.190000000000001</v>
      </c>
      <c r="D1126" s="9">
        <v>18.197500000003693</v>
      </c>
      <c r="E1126" s="1">
        <v>2.7892399999999999</v>
      </c>
      <c r="F1126" s="1">
        <v>8.6156900000000007</v>
      </c>
      <c r="G1126" s="1">
        <v>13.8096</v>
      </c>
      <c r="H1126" s="1">
        <v>-5.86998</v>
      </c>
    </row>
    <row r="1127" spans="1:8" x14ac:dyDescent="0.3">
      <c r="A1127" t="e">
        <f t="shared" si="44"/>
        <v>#REF!</v>
      </c>
      <c r="B1127">
        <v>2165</v>
      </c>
      <c r="C1127" s="1">
        <v>19.18760238314432</v>
      </c>
      <c r="D1127" s="9">
        <v>18.244722222226002</v>
      </c>
      <c r="E1127" s="1">
        <v>2.6790799999999999</v>
      </c>
      <c r="F1127" s="1">
        <v>8.4688800000000004</v>
      </c>
      <c r="G1127" s="1">
        <v>14.0114</v>
      </c>
      <c r="H1127" s="1">
        <v>-6.3400699999999999</v>
      </c>
    </row>
    <row r="1128" spans="1:8" x14ac:dyDescent="0.3">
      <c r="A1128" t="e">
        <f t="shared" si="44"/>
        <v>#REF!</v>
      </c>
      <c r="B1128">
        <v>2215</v>
      </c>
      <c r="C1128" s="1">
        <v>19.180917084098692</v>
      </c>
      <c r="D1128" s="9">
        <v>18.291944444448312</v>
      </c>
      <c r="E1128" s="1">
        <v>2.6738300000000002</v>
      </c>
      <c r="F1128" s="1">
        <v>8.5034899999999993</v>
      </c>
      <c r="G1128" s="1">
        <v>14.080500000000001</v>
      </c>
      <c r="H1128" s="1">
        <v>-6.2728400000000004</v>
      </c>
    </row>
    <row r="1129" spans="1:8" x14ac:dyDescent="0.3">
      <c r="A1129" t="e">
        <f t="shared" si="44"/>
        <v>#REF!</v>
      </c>
      <c r="B1129">
        <v>2265</v>
      </c>
      <c r="C1129" s="1">
        <v>19.3975407573467</v>
      </c>
      <c r="D1129" s="9">
        <v>18.339166666670621</v>
      </c>
      <c r="E1129" s="1">
        <v>2.81548</v>
      </c>
      <c r="F1129" s="1">
        <v>8.6651699999999998</v>
      </c>
      <c r="G1129" s="1">
        <v>13.958600000000001</v>
      </c>
      <c r="H1129" s="1">
        <v>-5.6588599999999998</v>
      </c>
    </row>
    <row r="1130" spans="1:8" x14ac:dyDescent="0.3">
      <c r="A1130">
        <f t="shared" si="44"/>
        <v>8</v>
      </c>
      <c r="B1130">
        <v>2315</v>
      </c>
      <c r="C1130" s="1">
        <v>19.680866335101239</v>
      </c>
      <c r="D1130" s="9">
        <v>18.386388888892931</v>
      </c>
      <c r="E1130" s="1">
        <v>2.9027099999999999</v>
      </c>
      <c r="F1130" s="1">
        <v>8.6880400000000009</v>
      </c>
      <c r="G1130" s="1">
        <v>13.853999999999999</v>
      </c>
      <c r="H1130" s="1">
        <v>-4.7498100000000001</v>
      </c>
    </row>
    <row r="1131" spans="1:8" x14ac:dyDescent="0.3">
      <c r="A1131" t="e">
        <f t="shared" si="44"/>
        <v>#REF!</v>
      </c>
      <c r="B1131">
        <v>2365</v>
      </c>
      <c r="C1131" s="1">
        <v>20.098767904185891</v>
      </c>
      <c r="D1131" s="9">
        <v>18.433611111115241</v>
      </c>
      <c r="E1131" s="1">
        <v>2.8586900000000002</v>
      </c>
      <c r="F1131" s="1">
        <v>8.4568300000000001</v>
      </c>
      <c r="G1131" s="1">
        <v>13.8451</v>
      </c>
      <c r="H1131" s="1">
        <v>-3.73001</v>
      </c>
    </row>
    <row r="1132" spans="1:8" x14ac:dyDescent="0.3">
      <c r="A1132" t="e">
        <f t="shared" si="44"/>
        <v>#REF!</v>
      </c>
      <c r="B1132">
        <v>2415</v>
      </c>
      <c r="C1132" s="1">
        <v>20.621761382929488</v>
      </c>
      <c r="D1132" s="9">
        <v>18.48083333333755</v>
      </c>
      <c r="E1132" s="1">
        <v>2.83081</v>
      </c>
      <c r="F1132" s="1">
        <v>8.1205800000000004</v>
      </c>
      <c r="G1132" s="1">
        <v>13.775399999999999</v>
      </c>
      <c r="H1132" s="1">
        <v>-2.6441300000000001</v>
      </c>
    </row>
    <row r="1133" spans="1:8" x14ac:dyDescent="0.3">
      <c r="A1133" t="e">
        <f t="shared" si="44"/>
        <v>#REF!</v>
      </c>
      <c r="B1133">
        <v>2465</v>
      </c>
      <c r="C1133" s="1">
        <v>21.206685557272909</v>
      </c>
      <c r="D1133" s="9">
        <v>18.52805555555986</v>
      </c>
      <c r="E1133" s="1">
        <v>2.8153999999999999</v>
      </c>
      <c r="F1133" s="1">
        <v>7.8637300000000003</v>
      </c>
      <c r="G1133" s="1">
        <v>13.6373</v>
      </c>
      <c r="H1133" s="1">
        <v>-1.50583</v>
      </c>
    </row>
    <row r="1134" spans="1:8" x14ac:dyDescent="0.3">
      <c r="A1134">
        <f t="shared" si="44"/>
        <v>15</v>
      </c>
      <c r="B1134">
        <v>2515</v>
      </c>
      <c r="C1134" s="1">
        <v>21.72293796354424</v>
      </c>
      <c r="D1134" s="9">
        <v>18.575277777782169</v>
      </c>
      <c r="E1134" s="1">
        <v>2.5473599999999998</v>
      </c>
      <c r="F1134" s="1">
        <v>7.8864400000000003</v>
      </c>
      <c r="G1134" s="1">
        <v>13.681800000000001</v>
      </c>
      <c r="H1134" s="1">
        <v>-0.29985800000000001</v>
      </c>
    </row>
    <row r="1135" spans="1:8" x14ac:dyDescent="0.3">
      <c r="A1135" t="e">
        <f t="shared" si="44"/>
        <v>#REF!</v>
      </c>
      <c r="B1135">
        <v>2565</v>
      </c>
      <c r="C1135" s="1">
        <v>22.16998076335533</v>
      </c>
      <c r="D1135" s="9">
        <v>18.622500000004479</v>
      </c>
      <c r="E1135" s="1">
        <v>1.9427000000000001</v>
      </c>
      <c r="F1135" s="1">
        <v>8.1714699999999993</v>
      </c>
      <c r="G1135" s="1">
        <v>13.976100000000001</v>
      </c>
      <c r="H1135" s="1">
        <v>0.960117</v>
      </c>
    </row>
    <row r="1136" spans="1:8" x14ac:dyDescent="0.3">
      <c r="A1136">
        <f t="shared" si="44"/>
        <v>6</v>
      </c>
      <c r="B1136">
        <v>2615</v>
      </c>
      <c r="C1136" s="1">
        <v>22.505912846235439</v>
      </c>
      <c r="D1136" s="9">
        <v>18.669722222226788</v>
      </c>
      <c r="E1136" s="1">
        <v>1.23329</v>
      </c>
      <c r="F1136" s="1">
        <v>8.3650599999999997</v>
      </c>
      <c r="G1136" s="1">
        <v>14.27</v>
      </c>
      <c r="H1136" s="1">
        <v>2.2119599999999999</v>
      </c>
    </row>
    <row r="1137" spans="1:8" x14ac:dyDescent="0.3">
      <c r="A1137" t="e">
        <f t="shared" si="44"/>
        <v>#REF!</v>
      </c>
      <c r="B1137">
        <v>2665</v>
      </c>
      <c r="C1137" s="1">
        <v>22.8888729001585</v>
      </c>
      <c r="D1137" s="9">
        <v>18.716944444449098</v>
      </c>
      <c r="E1137" s="1">
        <v>0.70135499999999995</v>
      </c>
      <c r="F1137" s="1">
        <v>8.2746099999999991</v>
      </c>
      <c r="G1137" s="1">
        <v>14.351900000000001</v>
      </c>
      <c r="H1137" s="1">
        <v>3.37948</v>
      </c>
    </row>
    <row r="1138" spans="1:8" x14ac:dyDescent="0.3">
      <c r="A1138" t="e">
        <f t="shared" si="44"/>
        <v>#REF!</v>
      </c>
      <c r="B1138">
        <v>2715</v>
      </c>
      <c r="C1138" s="1">
        <v>23.353303430599379</v>
      </c>
      <c r="D1138" s="9">
        <v>18.764166666671407</v>
      </c>
      <c r="E1138" s="1">
        <v>0.660937</v>
      </c>
      <c r="F1138" s="1">
        <v>8.0037000000000003</v>
      </c>
      <c r="G1138" s="1">
        <v>14.115</v>
      </c>
      <c r="H1138" s="1">
        <v>4.3715700000000002</v>
      </c>
    </row>
    <row r="1139" spans="1:8" x14ac:dyDescent="0.3">
      <c r="A1139" t="e">
        <f t="shared" si="44"/>
        <v>#REF!</v>
      </c>
      <c r="B1139">
        <v>2765</v>
      </c>
      <c r="C1139" s="1">
        <v>23.798886650861181</v>
      </c>
      <c r="D1139" s="9">
        <v>18.811388888893717</v>
      </c>
      <c r="E1139" s="1">
        <v>1.1899299999999999</v>
      </c>
      <c r="F1139" s="1">
        <v>7.7867100000000002</v>
      </c>
      <c r="G1139" s="1">
        <v>13.6281</v>
      </c>
      <c r="H1139" s="1">
        <v>5.1151099999999996</v>
      </c>
    </row>
    <row r="1140" spans="1:8" x14ac:dyDescent="0.3">
      <c r="A1140">
        <f t="shared" si="44"/>
        <v>13</v>
      </c>
      <c r="B1140">
        <v>2815</v>
      </c>
      <c r="C1140" s="1">
        <v>24.066192252891899</v>
      </c>
      <c r="D1140" s="9">
        <v>18.858611111116026</v>
      </c>
      <c r="E1140" s="1">
        <v>1.9987600000000001</v>
      </c>
      <c r="F1140" s="1">
        <v>8.01675</v>
      </c>
      <c r="G1140" s="1">
        <v>13.214</v>
      </c>
      <c r="H1140" s="1">
        <v>5.5681099999999999</v>
      </c>
    </row>
    <row r="1141" spans="1:8" x14ac:dyDescent="0.3">
      <c r="A1141" t="e">
        <f t="shared" si="44"/>
        <v>#REF!</v>
      </c>
      <c r="B1141">
        <v>2865</v>
      </c>
      <c r="C1141" s="1">
        <v>24.26658903472179</v>
      </c>
      <c r="D1141" s="9">
        <v>18.905833333338336</v>
      </c>
      <c r="E1141" s="1">
        <v>2.7728899999999999</v>
      </c>
      <c r="F1141" s="1">
        <v>8.8611299999999993</v>
      </c>
      <c r="G1141" s="1">
        <v>13.1548</v>
      </c>
      <c r="H1141" s="1">
        <v>5.7992600000000003</v>
      </c>
    </row>
    <row r="1142" spans="1:8" x14ac:dyDescent="0.3">
      <c r="A1142">
        <f t="shared" si="44"/>
        <v>4</v>
      </c>
      <c r="B1142">
        <v>2915</v>
      </c>
      <c r="C1142" s="1">
        <v>24.22</v>
      </c>
      <c r="D1142" s="9">
        <v>18.953055555560645</v>
      </c>
      <c r="E1142" s="1">
        <v>3.2123699999999999</v>
      </c>
      <c r="F1142" s="1">
        <v>10.117800000000001</v>
      </c>
      <c r="G1142" s="1">
        <v>13.634600000000001</v>
      </c>
      <c r="H1142" s="1">
        <v>6.0389900000000001</v>
      </c>
    </row>
    <row r="1143" spans="1:8" x14ac:dyDescent="0.3">
      <c r="A1143" t="e">
        <f t="shared" si="44"/>
        <v>#REF!</v>
      </c>
      <c r="B1143">
        <v>2965</v>
      </c>
      <c r="C1143" s="1">
        <v>24.08076123923793</v>
      </c>
      <c r="D1143" s="9">
        <v>19.000277777782955</v>
      </c>
      <c r="E1143" s="1">
        <v>3.3107000000000002</v>
      </c>
      <c r="F1143" s="1">
        <v>11.500400000000001</v>
      </c>
      <c r="G1143" s="1">
        <v>14.6425</v>
      </c>
      <c r="H1143" s="1">
        <v>6.3838100000000004</v>
      </c>
    </row>
    <row r="1144" spans="1:8" x14ac:dyDescent="0.3">
      <c r="A1144" t="e">
        <f t="shared" si="44"/>
        <v>#REF!</v>
      </c>
      <c r="B1144">
        <v>3015</v>
      </c>
      <c r="C1144" s="1">
        <v>23.98</v>
      </c>
      <c r="D1144" s="9">
        <v>19.047500000005265</v>
      </c>
      <c r="E1144" s="1">
        <v>3.50522</v>
      </c>
      <c r="F1144" s="1">
        <v>12.641400000000001</v>
      </c>
      <c r="G1144" s="1">
        <v>15.8827</v>
      </c>
      <c r="H1144" s="1">
        <v>6.7086499999999996</v>
      </c>
    </row>
    <row r="1145" spans="1:8" x14ac:dyDescent="0.3">
      <c r="A1145" t="e">
        <f t="shared" si="44"/>
        <v>#REF!</v>
      </c>
      <c r="B1145">
        <v>3065</v>
      </c>
      <c r="C1145" s="1">
        <v>23.824136200840108</v>
      </c>
      <c r="D1145" s="9">
        <v>19.094722222227574</v>
      </c>
      <c r="E1145" s="1">
        <v>4.0681599999999998</v>
      </c>
      <c r="F1145" s="1">
        <v>13.238300000000001</v>
      </c>
      <c r="G1145" s="1">
        <v>17.030100000000001</v>
      </c>
      <c r="H1145" s="1">
        <v>7.0018599999999998</v>
      </c>
    </row>
    <row r="1146" spans="1:8" x14ac:dyDescent="0.3">
      <c r="A1146">
        <f t="shared" si="44"/>
        <v>11</v>
      </c>
      <c r="B1146">
        <v>3115</v>
      </c>
      <c r="C1146" s="1">
        <v>23.43257965245602</v>
      </c>
      <c r="D1146" s="9">
        <v>19.141944444449884</v>
      </c>
      <c r="E1146" s="1">
        <v>4.9567500000000004</v>
      </c>
      <c r="F1146" s="1">
        <v>13.1149</v>
      </c>
      <c r="G1146" s="1">
        <v>17.763300000000001</v>
      </c>
      <c r="H1146" s="1">
        <v>7.4461199999999996</v>
      </c>
    </row>
    <row r="1147" spans="1:8" x14ac:dyDescent="0.3">
      <c r="A1147" t="e">
        <f t="shared" si="44"/>
        <v>#REF!</v>
      </c>
      <c r="B1147">
        <v>3165</v>
      </c>
      <c r="C1147" s="1">
        <v>23.040390566698932</v>
      </c>
      <c r="D1147" s="9">
        <v>19.189166666672193</v>
      </c>
      <c r="E1147" s="1">
        <v>6.0305200000000001</v>
      </c>
      <c r="F1147" s="1">
        <v>12.327999999999999</v>
      </c>
      <c r="G1147" s="1">
        <v>17.954999999999998</v>
      </c>
      <c r="H1147" s="1">
        <v>8.15564</v>
      </c>
    </row>
    <row r="1148" spans="1:8" x14ac:dyDescent="0.3">
      <c r="A1148">
        <f t="shared" si="44"/>
        <v>2</v>
      </c>
      <c r="B1148">
        <v>3215</v>
      </c>
      <c r="C1148" s="1">
        <v>22.680033426552569</v>
      </c>
      <c r="D1148" s="9">
        <v>19.236388888894503</v>
      </c>
      <c r="E1148" s="1">
        <v>7.0589500000000003</v>
      </c>
      <c r="F1148" s="1">
        <v>11.233000000000001</v>
      </c>
      <c r="G1148" s="1">
        <v>17.744599999999998</v>
      </c>
      <c r="H1148" s="1">
        <v>9.1257900000000003</v>
      </c>
    </row>
    <row r="1149" spans="1:8" x14ac:dyDescent="0.3">
      <c r="A1149" t="e">
        <f t="shared" ref="A1149:A1155" si="45">A1099</f>
        <v>#REF!</v>
      </c>
      <c r="B1149">
        <v>3265</v>
      </c>
      <c r="C1149" s="1">
        <v>22.294207133129891</v>
      </c>
      <c r="D1149" s="9">
        <v>19.283611111116812</v>
      </c>
      <c r="E1149" s="1">
        <v>7.9612400000000001</v>
      </c>
      <c r="F1149" s="1">
        <v>10.1852</v>
      </c>
      <c r="G1149" s="1">
        <v>17.324400000000001</v>
      </c>
      <c r="H1149" s="1">
        <v>10.3117</v>
      </c>
    </row>
    <row r="1150" spans="1:8" x14ac:dyDescent="0.3">
      <c r="A1150" t="e">
        <f t="shared" si="45"/>
        <v>#REF!</v>
      </c>
      <c r="B1150">
        <v>3315</v>
      </c>
      <c r="C1150" s="1">
        <v>21.91642181043661</v>
      </c>
      <c r="D1150" s="9">
        <v>19.330833333339122</v>
      </c>
      <c r="E1150" s="1">
        <v>9.0135699999999996</v>
      </c>
      <c r="F1150" s="1">
        <v>9.8266399999999994</v>
      </c>
      <c r="G1150" s="1">
        <v>17.041499999999999</v>
      </c>
      <c r="H1150" s="1">
        <v>11.6538</v>
      </c>
    </row>
    <row r="1151" spans="1:8" x14ac:dyDescent="0.3">
      <c r="A1151" t="e">
        <f t="shared" si="45"/>
        <v>#REF!</v>
      </c>
      <c r="B1151">
        <v>3365</v>
      </c>
      <c r="C1151" s="1">
        <v>21.6003040060092</v>
      </c>
      <c r="D1151" s="9">
        <v>19.378055555561431</v>
      </c>
      <c r="E1151" s="1">
        <v>10.594900000000001</v>
      </c>
      <c r="F1151" s="1">
        <v>10.9602</v>
      </c>
      <c r="G1151" s="1">
        <v>17.201699999999999</v>
      </c>
      <c r="H1151" s="1">
        <v>13.090999999999999</v>
      </c>
    </row>
    <row r="1152" spans="1:8" x14ac:dyDescent="0.3">
      <c r="A1152">
        <f t="shared" si="45"/>
        <v>9</v>
      </c>
      <c r="B1152">
        <v>3415</v>
      </c>
      <c r="C1152" s="1">
        <v>21.266007923740389</v>
      </c>
      <c r="D1152" s="9">
        <v>19.425277777783741</v>
      </c>
      <c r="E1152" s="1">
        <v>12.398199999999999</v>
      </c>
      <c r="F1152" s="1">
        <v>12.574400000000001</v>
      </c>
      <c r="G1152" s="1">
        <v>17.514099999999999</v>
      </c>
      <c r="H1152" s="1">
        <v>14.505000000000001</v>
      </c>
    </row>
    <row r="1153" spans="1:8" x14ac:dyDescent="0.3">
      <c r="A1153">
        <f t="shared" si="45"/>
        <v>0</v>
      </c>
      <c r="B1153">
        <v>3465</v>
      </c>
      <c r="C1153" s="1">
        <v>20.773813984873371</v>
      </c>
      <c r="D1153" s="9">
        <v>19.47250000000605</v>
      </c>
      <c r="E1153" s="1">
        <v>14.295400000000001</v>
      </c>
      <c r="F1153" s="1">
        <v>14.3774</v>
      </c>
      <c r="G1153" s="1">
        <v>17.959</v>
      </c>
      <c r="H1153" s="1">
        <v>15.898</v>
      </c>
    </row>
    <row r="1154" spans="1:8" x14ac:dyDescent="0.3">
      <c r="A1154" t="e">
        <f t="shared" si="45"/>
        <v>#REF!</v>
      </c>
      <c r="B1154">
        <v>3515</v>
      </c>
      <c r="C1154" s="1">
        <v>20.309638854886469</v>
      </c>
      <c r="D1154" s="9">
        <v>19.51972222222836</v>
      </c>
      <c r="E1154" s="1">
        <v>16.239799999999999</v>
      </c>
      <c r="F1154" s="1">
        <v>16.273</v>
      </c>
      <c r="G1154" s="1">
        <v>18.505299999999998</v>
      </c>
      <c r="H1154" s="1">
        <v>17.276900000000001</v>
      </c>
    </row>
    <row r="1155" spans="1:8" x14ac:dyDescent="0.3">
      <c r="A1155" t="e">
        <f t="shared" si="45"/>
        <v>#REF!</v>
      </c>
      <c r="B1155">
        <v>3565</v>
      </c>
      <c r="C1155" s="1">
        <v>19.912707433879429</v>
      </c>
      <c r="D1155" s="9">
        <v>19.566944444450669</v>
      </c>
      <c r="E1155" s="1">
        <v>18.2105</v>
      </c>
      <c r="F1155" s="1">
        <v>18.219200000000001</v>
      </c>
      <c r="G1155" s="1">
        <v>19.128</v>
      </c>
      <c r="H1155" s="1">
        <v>18.646000000000001</v>
      </c>
    </row>
    <row r="1156" spans="1:8" x14ac:dyDescent="0.3">
      <c r="A1156">
        <v>16</v>
      </c>
      <c r="B1156">
        <v>16</v>
      </c>
      <c r="C1156" s="1">
        <v>16.18</v>
      </c>
      <c r="D1156" s="9">
        <v>16.215111111111138</v>
      </c>
      <c r="E1156" s="1">
        <v>15.606299999999999</v>
      </c>
      <c r="F1156" s="1">
        <v>15.566599999999999</v>
      </c>
      <c r="G1156" s="1">
        <v>16.003699999999998</v>
      </c>
      <c r="H1156" s="1">
        <v>15.6038</v>
      </c>
    </row>
    <row r="1157" spans="1:8" x14ac:dyDescent="0.3">
      <c r="A1157" t="e">
        <f t="shared" ref="A1157:A1188" si="46">A1107</f>
        <v>#REF!</v>
      </c>
      <c r="B1157">
        <v>66</v>
      </c>
      <c r="C1157" s="1">
        <v>16.149766121572021</v>
      </c>
      <c r="D1157" s="9">
        <v>16.262333333333448</v>
      </c>
      <c r="E1157" s="1">
        <v>13.7652</v>
      </c>
      <c r="F1157" s="1">
        <v>13.604699999999999</v>
      </c>
      <c r="G1157" s="1">
        <v>15.4254</v>
      </c>
      <c r="H1157" s="1">
        <v>13.7348</v>
      </c>
    </row>
    <row r="1158" spans="1:8" x14ac:dyDescent="0.3">
      <c r="A1158">
        <f t="shared" si="46"/>
        <v>7</v>
      </c>
      <c r="B1158">
        <v>116</v>
      </c>
      <c r="C1158" s="1">
        <v>16.273705146330091</v>
      </c>
      <c r="D1158" s="9">
        <v>16.309555555555757</v>
      </c>
      <c r="E1158" s="1">
        <v>11.9526</v>
      </c>
      <c r="F1158" s="1">
        <v>11.681900000000001</v>
      </c>
      <c r="G1158" s="1">
        <v>14.9099</v>
      </c>
      <c r="H1158" s="1">
        <v>11.8561</v>
      </c>
    </row>
    <row r="1159" spans="1:8" x14ac:dyDescent="0.3">
      <c r="A1159" t="e">
        <f t="shared" si="46"/>
        <v>#REF!</v>
      </c>
      <c r="B1159">
        <v>166</v>
      </c>
      <c r="C1159" s="1">
        <v>16.46802031424652</v>
      </c>
      <c r="D1159" s="9">
        <v>16.356777777778067</v>
      </c>
      <c r="E1159" s="1">
        <v>10.182</v>
      </c>
      <c r="F1159" s="1">
        <v>9.82789</v>
      </c>
      <c r="G1159" s="1">
        <v>14.4733</v>
      </c>
      <c r="H1159" s="1">
        <v>9.9672699999999992</v>
      </c>
    </row>
    <row r="1160" spans="1:8" x14ac:dyDescent="0.3">
      <c r="A1160" t="e">
        <f t="shared" si="46"/>
        <v>#REF!</v>
      </c>
      <c r="B1160">
        <v>216</v>
      </c>
      <c r="C1160" s="1">
        <v>16.83519258404835</v>
      </c>
      <c r="D1160" s="9">
        <v>16.404000000000377</v>
      </c>
      <c r="E1160" s="1">
        <v>8.4790899999999993</v>
      </c>
      <c r="F1160" s="1">
        <v>8.1066500000000001</v>
      </c>
      <c r="G1160" s="1">
        <v>14.1327</v>
      </c>
      <c r="H1160" s="1">
        <v>8.0708099999999998</v>
      </c>
    </row>
    <row r="1161" spans="1:8" x14ac:dyDescent="0.3">
      <c r="A1161" t="e">
        <f t="shared" si="46"/>
        <v>#REF!</v>
      </c>
      <c r="B1161">
        <v>266</v>
      </c>
      <c r="C1161" s="1">
        <v>16.969849869402282</v>
      </c>
      <c r="D1161" s="9">
        <v>16.451222222222686</v>
      </c>
      <c r="E1161" s="1">
        <v>6.8930400000000001</v>
      </c>
      <c r="F1161" s="1">
        <v>6.6730499999999999</v>
      </c>
      <c r="G1161" s="1">
        <v>13.8786</v>
      </c>
      <c r="H1161" s="1">
        <v>6.18466</v>
      </c>
    </row>
    <row r="1162" spans="1:8" x14ac:dyDescent="0.3">
      <c r="A1162">
        <f t="shared" si="46"/>
        <v>14</v>
      </c>
      <c r="B1162">
        <v>316</v>
      </c>
      <c r="C1162" s="1">
        <v>17.141308416981271</v>
      </c>
      <c r="D1162" s="9">
        <v>16.498444444444996</v>
      </c>
      <c r="E1162" s="1">
        <v>5.6896199999999997</v>
      </c>
      <c r="F1162" s="1">
        <v>6.2064599999999999</v>
      </c>
      <c r="G1162" s="1">
        <v>13.848100000000001</v>
      </c>
      <c r="H1162" s="1">
        <v>4.6150500000000001</v>
      </c>
    </row>
    <row r="1163" spans="1:8" x14ac:dyDescent="0.3">
      <c r="A1163" t="e">
        <f t="shared" si="46"/>
        <v>#REF!</v>
      </c>
      <c r="B1163">
        <v>366</v>
      </c>
      <c r="C1163" s="1">
        <v>17.365297089907649</v>
      </c>
      <c r="D1163" s="9">
        <v>16.545666666667305</v>
      </c>
      <c r="E1163" s="1">
        <v>4.9101900000000001</v>
      </c>
      <c r="F1163" s="1">
        <v>6.5073800000000004</v>
      </c>
      <c r="G1163" s="1">
        <v>14.034599999999999</v>
      </c>
      <c r="H1163" s="1">
        <v>3.5263</v>
      </c>
    </row>
    <row r="1164" spans="1:8" x14ac:dyDescent="0.3">
      <c r="A1164">
        <f t="shared" si="46"/>
        <v>5</v>
      </c>
      <c r="B1164">
        <v>416</v>
      </c>
      <c r="C1164" s="1">
        <v>17.535921301581471</v>
      </c>
      <c r="D1164" s="9">
        <v>16.592888888889615</v>
      </c>
      <c r="E1164" s="1">
        <v>4.3931399999999998</v>
      </c>
      <c r="F1164" s="1">
        <v>6.7348800000000004</v>
      </c>
      <c r="G1164" s="1">
        <v>14.036199999999999</v>
      </c>
      <c r="H1164" s="1">
        <v>2.80016</v>
      </c>
    </row>
    <row r="1165" spans="1:8" x14ac:dyDescent="0.3">
      <c r="A1165" t="e">
        <f t="shared" si="46"/>
        <v>#REF!</v>
      </c>
      <c r="B1165">
        <v>466</v>
      </c>
      <c r="C1165" s="1">
        <v>17.85463215796549</v>
      </c>
      <c r="D1165" s="9">
        <v>16.640111111111924</v>
      </c>
      <c r="E1165" s="1">
        <v>4.0146899999999999</v>
      </c>
      <c r="F1165" s="1">
        <v>6.6095499999999996</v>
      </c>
      <c r="G1165" s="1">
        <v>13.772</v>
      </c>
      <c r="H1165" s="1">
        <v>2.33907</v>
      </c>
    </row>
    <row r="1166" spans="1:8" x14ac:dyDescent="0.3">
      <c r="A1166" t="e">
        <f t="shared" si="46"/>
        <v>#REF!</v>
      </c>
      <c r="B1166">
        <v>516</v>
      </c>
      <c r="C1166" s="1">
        <v>18.023346083934669</v>
      </c>
      <c r="D1166" s="9">
        <v>16.687333333334234</v>
      </c>
      <c r="E1166" s="1">
        <v>3.4620500000000001</v>
      </c>
      <c r="F1166" s="1">
        <v>6.0692199999999996</v>
      </c>
      <c r="G1166" s="1">
        <v>13.4255</v>
      </c>
      <c r="H1166" s="1">
        <v>1.8203100000000001</v>
      </c>
    </row>
    <row r="1167" spans="1:8" x14ac:dyDescent="0.3">
      <c r="A1167" t="e">
        <f t="shared" si="46"/>
        <v>#REF!</v>
      </c>
      <c r="B1167">
        <v>566</v>
      </c>
      <c r="C1167" s="1">
        <v>18.226295145196421</v>
      </c>
      <c r="D1167" s="9">
        <v>16.734555555556543</v>
      </c>
      <c r="E1167" s="1">
        <v>2.6126200000000002</v>
      </c>
      <c r="F1167" s="1">
        <v>5.1684299999999999</v>
      </c>
      <c r="G1167" s="1">
        <v>13.095800000000001</v>
      </c>
      <c r="H1167" s="1">
        <v>1.10562</v>
      </c>
    </row>
    <row r="1168" spans="1:8" x14ac:dyDescent="0.3">
      <c r="A1168">
        <f t="shared" si="46"/>
        <v>12</v>
      </c>
      <c r="B1168">
        <v>616</v>
      </c>
      <c r="C1168" s="1">
        <v>18.438337666443431</v>
      </c>
      <c r="D1168" s="9">
        <v>16.781777777778853</v>
      </c>
      <c r="E1168" s="1">
        <v>1.6991499999999999</v>
      </c>
      <c r="F1168" s="1">
        <v>4.1339199999999998</v>
      </c>
      <c r="G1168" s="1">
        <v>12.7028</v>
      </c>
      <c r="H1168" s="1">
        <v>0.40759099999999998</v>
      </c>
    </row>
    <row r="1169" spans="1:8" x14ac:dyDescent="0.3">
      <c r="A1169" t="e">
        <f t="shared" si="46"/>
        <v>#REF!</v>
      </c>
      <c r="B1169">
        <v>666</v>
      </c>
      <c r="C1169" s="1">
        <v>18.51391012521907</v>
      </c>
      <c r="D1169" s="9">
        <v>16.829000000001162</v>
      </c>
      <c r="E1169" s="1">
        <v>0.97330099999999997</v>
      </c>
      <c r="F1169" s="1">
        <v>3.19936</v>
      </c>
      <c r="G1169" s="1">
        <v>12.2903</v>
      </c>
      <c r="H1169" s="1">
        <v>-6.3964800000000004E-3</v>
      </c>
    </row>
    <row r="1170" spans="1:8" x14ac:dyDescent="0.3">
      <c r="A1170">
        <f t="shared" si="46"/>
        <v>3</v>
      </c>
      <c r="B1170">
        <v>716</v>
      </c>
      <c r="C1170" s="1">
        <v>18.71</v>
      </c>
      <c r="D1170" s="9">
        <v>16.876222222223472</v>
      </c>
      <c r="E1170" s="1">
        <v>0.65174900000000002</v>
      </c>
      <c r="F1170" s="1">
        <v>2.5686300000000002</v>
      </c>
      <c r="G1170" s="1">
        <v>12.120699999999999</v>
      </c>
      <c r="H1170" s="1">
        <v>0.155616</v>
      </c>
    </row>
    <row r="1171" spans="1:8" x14ac:dyDescent="0.3">
      <c r="A1171" t="e">
        <f t="shared" si="46"/>
        <v>#REF!</v>
      </c>
      <c r="B1171">
        <v>766</v>
      </c>
      <c r="C1171" s="1">
        <v>18.829999999999998</v>
      </c>
      <c r="D1171" s="9">
        <v>16.923444444445781</v>
      </c>
      <c r="E1171" s="1">
        <v>0.76073299999999999</v>
      </c>
      <c r="F1171" s="1">
        <v>2.2564799999999998</v>
      </c>
      <c r="G1171" s="1">
        <v>12.316000000000001</v>
      </c>
      <c r="H1171" s="1">
        <v>0.94041200000000003</v>
      </c>
    </row>
    <row r="1172" spans="1:8" x14ac:dyDescent="0.3">
      <c r="A1172" t="e">
        <f t="shared" si="46"/>
        <v>#REF!</v>
      </c>
      <c r="B1172">
        <v>816</v>
      </c>
      <c r="C1172" s="1">
        <v>19.2680146132925</v>
      </c>
      <c r="D1172" s="9">
        <v>16.970666666668091</v>
      </c>
      <c r="E1172" s="1">
        <v>1.03738</v>
      </c>
      <c r="F1172" s="1">
        <v>1.9914700000000001</v>
      </c>
      <c r="G1172" s="1">
        <v>12.7464</v>
      </c>
      <c r="H1172" s="1">
        <v>2.0104899999999999</v>
      </c>
    </row>
    <row r="1173" spans="1:8" x14ac:dyDescent="0.3">
      <c r="A1173" t="e">
        <f t="shared" si="46"/>
        <v>#REF!</v>
      </c>
      <c r="B1173">
        <v>866</v>
      </c>
      <c r="C1173" s="1">
        <v>19.490198622686421</v>
      </c>
      <c r="D1173" s="9">
        <v>17.017888888890401</v>
      </c>
      <c r="E1173" s="1">
        <v>1.32864</v>
      </c>
      <c r="F1173" s="1">
        <v>1.70225</v>
      </c>
      <c r="G1173" s="1">
        <v>13.1928</v>
      </c>
      <c r="H1173" s="1">
        <v>2.9898500000000001</v>
      </c>
    </row>
    <row r="1174" spans="1:8" x14ac:dyDescent="0.3">
      <c r="A1174">
        <f t="shared" si="46"/>
        <v>10</v>
      </c>
      <c r="B1174">
        <v>916</v>
      </c>
      <c r="C1174" s="1">
        <v>19.76683171183447</v>
      </c>
      <c r="D1174" s="9">
        <v>17.06511111111271</v>
      </c>
      <c r="E1174" s="1">
        <v>1.6888099999999999</v>
      </c>
      <c r="F1174" s="1">
        <v>1.6631400000000001</v>
      </c>
      <c r="G1174" s="1">
        <v>13.333500000000001</v>
      </c>
      <c r="H1174" s="1">
        <v>3.49803</v>
      </c>
    </row>
    <row r="1175" spans="1:8" x14ac:dyDescent="0.3">
      <c r="A1175" t="e">
        <f t="shared" si="46"/>
        <v>#REF!</v>
      </c>
      <c r="B1175">
        <v>966</v>
      </c>
      <c r="C1175" s="1">
        <v>20.091767574555352</v>
      </c>
      <c r="D1175" s="9">
        <v>17.11233333333502</v>
      </c>
      <c r="E1175" s="1">
        <v>2.0829</v>
      </c>
      <c r="F1175" s="1">
        <v>2.0042</v>
      </c>
      <c r="G1175" s="1">
        <v>13.091799999999999</v>
      </c>
      <c r="H1175" s="1">
        <v>3.40998</v>
      </c>
    </row>
    <row r="1176" spans="1:8" x14ac:dyDescent="0.3">
      <c r="A1176">
        <f t="shared" si="46"/>
        <v>1</v>
      </c>
      <c r="B1176">
        <v>1016</v>
      </c>
      <c r="C1176" s="1">
        <v>20.506479143950191</v>
      </c>
      <c r="D1176" s="9">
        <v>17.159555555557329</v>
      </c>
      <c r="E1176" s="1">
        <v>2.3125900000000001</v>
      </c>
      <c r="F1176" s="1">
        <v>2.5849600000000001</v>
      </c>
      <c r="G1176" s="1">
        <v>12.783899999999999</v>
      </c>
      <c r="H1176" s="1">
        <v>2.9962</v>
      </c>
    </row>
    <row r="1177" spans="1:8" x14ac:dyDescent="0.3">
      <c r="A1177" t="e">
        <f t="shared" si="46"/>
        <v>#REF!</v>
      </c>
      <c r="B1177">
        <v>1066</v>
      </c>
      <c r="C1177" s="1">
        <v>20.952507705499301</v>
      </c>
      <c r="D1177" s="9">
        <v>17.206777777779639</v>
      </c>
      <c r="E1177" s="1">
        <v>2.3248000000000002</v>
      </c>
      <c r="F1177" s="1">
        <v>3.1734399999999998</v>
      </c>
      <c r="G1177" s="1">
        <v>12.6477</v>
      </c>
      <c r="H1177" s="1">
        <v>2.60345</v>
      </c>
    </row>
    <row r="1178" spans="1:8" x14ac:dyDescent="0.3">
      <c r="A1178" t="e">
        <f t="shared" si="46"/>
        <v>#REF!</v>
      </c>
      <c r="B1178">
        <v>1116</v>
      </c>
      <c r="C1178" s="1">
        <v>21.34011267504231</v>
      </c>
      <c r="D1178" s="9">
        <v>17.254000000001948</v>
      </c>
      <c r="E1178" s="1">
        <v>2.3098999999999998</v>
      </c>
      <c r="F1178" s="1">
        <v>3.4369299999999998</v>
      </c>
      <c r="G1178" s="1">
        <v>12.745100000000001</v>
      </c>
      <c r="H1178" s="1">
        <v>2.6390899999999999</v>
      </c>
    </row>
    <row r="1179" spans="1:8" x14ac:dyDescent="0.3">
      <c r="A1179" t="e">
        <f t="shared" si="46"/>
        <v>#REF!</v>
      </c>
      <c r="B1179">
        <v>1166</v>
      </c>
      <c r="C1179" s="1">
        <v>21.629751280557279</v>
      </c>
      <c r="D1179" s="9">
        <v>17.301222222224258</v>
      </c>
      <c r="E1179" s="1">
        <v>2.32131</v>
      </c>
      <c r="F1179" s="1">
        <v>3.30762</v>
      </c>
      <c r="G1179" s="1">
        <v>12.996700000000001</v>
      </c>
      <c r="H1179" s="1">
        <v>3.2346499999999998</v>
      </c>
    </row>
    <row r="1180" spans="1:8" x14ac:dyDescent="0.3">
      <c r="A1180">
        <f t="shared" si="46"/>
        <v>8</v>
      </c>
      <c r="B1180">
        <v>1216</v>
      </c>
      <c r="C1180" s="1">
        <v>22.059435189948001</v>
      </c>
      <c r="D1180" s="9">
        <v>17.348444444446567</v>
      </c>
      <c r="E1180" s="1">
        <v>2.17279</v>
      </c>
      <c r="F1180" s="1">
        <v>3.1356099999999998</v>
      </c>
      <c r="G1180" s="1">
        <v>13.1313</v>
      </c>
      <c r="H1180" s="1">
        <v>4.0918299999999999</v>
      </c>
    </row>
    <row r="1181" spans="1:8" x14ac:dyDescent="0.3">
      <c r="A1181" t="e">
        <f t="shared" si="46"/>
        <v>#REF!</v>
      </c>
      <c r="B1181">
        <v>1266</v>
      </c>
      <c r="C1181" s="1">
        <v>22.46818761463884</v>
      </c>
      <c r="D1181" s="9">
        <v>17.395666666668877</v>
      </c>
      <c r="E1181" s="1">
        <v>1.8602000000000001</v>
      </c>
      <c r="F1181" s="1">
        <v>3.1599699999999999</v>
      </c>
      <c r="G1181" s="1">
        <v>13.0688</v>
      </c>
      <c r="H1181" s="1">
        <v>4.9192200000000001</v>
      </c>
    </row>
    <row r="1182" spans="1:8" x14ac:dyDescent="0.3">
      <c r="A1182" t="e">
        <f t="shared" si="46"/>
        <v>#REF!</v>
      </c>
      <c r="B1182">
        <v>1316</v>
      </c>
      <c r="C1182" s="1">
        <v>22.907168835948742</v>
      </c>
      <c r="D1182" s="9">
        <v>17.442888888891186</v>
      </c>
      <c r="E1182" s="1">
        <v>1.6876599999999999</v>
      </c>
      <c r="F1182" s="1">
        <v>3.39446</v>
      </c>
      <c r="G1182" s="1">
        <v>13.044700000000001</v>
      </c>
      <c r="H1182" s="1">
        <v>5.4944699999999997</v>
      </c>
    </row>
    <row r="1183" spans="1:8" x14ac:dyDescent="0.3">
      <c r="A1183" t="e">
        <f t="shared" si="46"/>
        <v>#REF!</v>
      </c>
      <c r="B1183">
        <v>1366</v>
      </c>
      <c r="C1183" s="1">
        <v>23.13568361524953</v>
      </c>
      <c r="D1183" s="9">
        <v>17.490111111113496</v>
      </c>
      <c r="E1183" s="1">
        <v>1.83369</v>
      </c>
      <c r="F1183" s="1">
        <v>3.77454</v>
      </c>
      <c r="G1183" s="1">
        <v>13.1411</v>
      </c>
      <c r="H1183" s="1">
        <v>5.7708599999999999</v>
      </c>
    </row>
    <row r="1184" spans="1:8" x14ac:dyDescent="0.3">
      <c r="A1184">
        <f t="shared" si="46"/>
        <v>15</v>
      </c>
      <c r="B1184">
        <v>1416</v>
      </c>
      <c r="C1184" s="1">
        <v>23.24</v>
      </c>
      <c r="D1184" s="9">
        <v>17.537333333335805</v>
      </c>
      <c r="E1184" s="1">
        <v>2.2428699999999999</v>
      </c>
      <c r="F1184" s="1">
        <v>4.1465800000000002</v>
      </c>
      <c r="G1184" s="1">
        <v>13.167400000000001</v>
      </c>
      <c r="H1184" s="1">
        <v>5.9570400000000001</v>
      </c>
    </row>
    <row r="1185" spans="1:8" x14ac:dyDescent="0.3">
      <c r="A1185" t="e">
        <f t="shared" si="46"/>
        <v>#REF!</v>
      </c>
      <c r="B1185">
        <v>1466</v>
      </c>
      <c r="C1185" s="1">
        <v>23.23</v>
      </c>
      <c r="D1185" s="9">
        <v>17.584555555558115</v>
      </c>
      <c r="E1185" s="1">
        <v>2.7556500000000002</v>
      </c>
      <c r="F1185" s="1">
        <v>4.4231499999999997</v>
      </c>
      <c r="G1185" s="1">
        <v>13.0776</v>
      </c>
      <c r="H1185" s="1">
        <v>6.1225699999999996</v>
      </c>
    </row>
    <row r="1186" spans="1:8" x14ac:dyDescent="0.3">
      <c r="A1186">
        <f t="shared" si="46"/>
        <v>6</v>
      </c>
      <c r="B1186">
        <v>1516</v>
      </c>
      <c r="C1186" s="1">
        <v>23.037952337096971</v>
      </c>
      <c r="D1186" s="9">
        <v>17.631777777780425</v>
      </c>
      <c r="E1186" s="1">
        <v>3.0886</v>
      </c>
      <c r="F1186" s="1">
        <v>4.6307900000000002</v>
      </c>
      <c r="G1186" s="1">
        <v>13.078799999999999</v>
      </c>
      <c r="H1186" s="1">
        <v>6.0951399999999998</v>
      </c>
    </row>
    <row r="1187" spans="1:8" x14ac:dyDescent="0.3">
      <c r="A1187" t="e">
        <f t="shared" si="46"/>
        <v>#REF!</v>
      </c>
      <c r="B1187">
        <v>1566</v>
      </c>
      <c r="C1187" s="1">
        <v>22.758407097149021</v>
      </c>
      <c r="D1187" s="9">
        <v>17.679000000002734</v>
      </c>
      <c r="E1187" s="1">
        <v>3.2217099999999999</v>
      </c>
      <c r="F1187" s="1">
        <v>4.8963400000000004</v>
      </c>
      <c r="G1187" s="1">
        <v>13.2309</v>
      </c>
      <c r="H1187" s="1">
        <v>5.7625500000000001</v>
      </c>
    </row>
    <row r="1188" spans="1:8" x14ac:dyDescent="0.3">
      <c r="A1188" t="e">
        <f t="shared" si="46"/>
        <v>#REF!</v>
      </c>
      <c r="B1188">
        <v>1616</v>
      </c>
      <c r="C1188" s="1">
        <v>22.39256014117835</v>
      </c>
      <c r="D1188" s="9">
        <v>17.726222222225044</v>
      </c>
      <c r="E1188" s="1">
        <v>3.5474800000000002</v>
      </c>
      <c r="F1188" s="1">
        <v>5.4808199999999996</v>
      </c>
      <c r="G1188" s="1">
        <v>13.341100000000001</v>
      </c>
      <c r="H1188" s="1">
        <v>5.1345400000000003</v>
      </c>
    </row>
    <row r="1189" spans="1:8" x14ac:dyDescent="0.3">
      <c r="A1189" t="e">
        <f t="shared" ref="A1189:A1220" si="47">A1139</f>
        <v>#REF!</v>
      </c>
      <c r="B1189">
        <v>1666</v>
      </c>
      <c r="C1189" s="1">
        <v>21.95496790062527</v>
      </c>
      <c r="D1189" s="9">
        <v>17.773444444447353</v>
      </c>
      <c r="E1189" s="1">
        <v>4.2387899999999998</v>
      </c>
      <c r="F1189" s="1">
        <v>6.4429499999999997</v>
      </c>
      <c r="G1189" s="1">
        <v>13.347099999999999</v>
      </c>
      <c r="H1189" s="1">
        <v>4.2607499999999998</v>
      </c>
    </row>
    <row r="1190" spans="1:8" x14ac:dyDescent="0.3">
      <c r="A1190">
        <f t="shared" si="47"/>
        <v>13</v>
      </c>
      <c r="B1190">
        <v>1716</v>
      </c>
      <c r="C1190" s="1">
        <v>21.46642811526786</v>
      </c>
      <c r="D1190" s="9">
        <v>17.820666666669663</v>
      </c>
      <c r="E1190" s="1">
        <v>5.0819900000000002</v>
      </c>
      <c r="F1190" s="1">
        <v>7.5182000000000002</v>
      </c>
      <c r="G1190" s="1">
        <v>13.413</v>
      </c>
      <c r="H1190" s="1">
        <v>3.2353399999999999</v>
      </c>
    </row>
    <row r="1191" spans="1:8" x14ac:dyDescent="0.3">
      <c r="A1191" t="e">
        <f t="shared" si="47"/>
        <v>#REF!</v>
      </c>
      <c r="B1191">
        <v>1766</v>
      </c>
      <c r="C1191" s="1">
        <v>21.174030296093399</v>
      </c>
      <c r="D1191" s="9">
        <v>17.867888888891972</v>
      </c>
      <c r="E1191" s="1">
        <v>5.7617099999999999</v>
      </c>
      <c r="F1191" s="1">
        <v>8.4301999999999992</v>
      </c>
      <c r="G1191" s="1">
        <v>13.5669</v>
      </c>
      <c r="H1191" s="1">
        <v>2.1346699999999998</v>
      </c>
    </row>
    <row r="1192" spans="1:8" x14ac:dyDescent="0.3">
      <c r="A1192">
        <f t="shared" si="47"/>
        <v>4</v>
      </c>
      <c r="B1192">
        <v>1816</v>
      </c>
      <c r="C1192" s="1">
        <v>20.775862165603051</v>
      </c>
      <c r="D1192" s="9">
        <v>17.915111111114282</v>
      </c>
      <c r="E1192" s="1">
        <v>5.8632200000000001</v>
      </c>
      <c r="F1192" s="1">
        <v>8.9296399999999991</v>
      </c>
      <c r="G1192" s="1">
        <v>13.606999999999999</v>
      </c>
      <c r="H1192" s="1">
        <v>1.00204</v>
      </c>
    </row>
    <row r="1193" spans="1:8" x14ac:dyDescent="0.3">
      <c r="A1193" t="e">
        <f t="shared" si="47"/>
        <v>#REF!</v>
      </c>
      <c r="B1193">
        <v>1866</v>
      </c>
      <c r="C1193" s="1">
        <v>20.434915628953309</v>
      </c>
      <c r="D1193" s="9">
        <v>17.962333333336591</v>
      </c>
      <c r="E1193" s="1">
        <v>5.2763</v>
      </c>
      <c r="F1193" s="1">
        <v>9.0080200000000001</v>
      </c>
      <c r="G1193" s="1">
        <v>13.490500000000001</v>
      </c>
      <c r="H1193" s="1">
        <v>-0.160519</v>
      </c>
    </row>
    <row r="1194" spans="1:8" x14ac:dyDescent="0.3">
      <c r="A1194" t="e">
        <f t="shared" si="47"/>
        <v>#REF!</v>
      </c>
      <c r="B1194">
        <v>1916</v>
      </c>
      <c r="C1194" s="1">
        <v>20.025892959476039</v>
      </c>
      <c r="D1194" s="9">
        <v>18.009555555558901</v>
      </c>
      <c r="E1194" s="1">
        <v>4.3606999999999996</v>
      </c>
      <c r="F1194" s="1">
        <v>9.0111000000000008</v>
      </c>
      <c r="G1194" s="1">
        <v>13.4404</v>
      </c>
      <c r="H1194" s="1">
        <v>-1.4072800000000001</v>
      </c>
    </row>
    <row r="1195" spans="1:8" x14ac:dyDescent="0.3">
      <c r="A1195" t="e">
        <f t="shared" si="47"/>
        <v>#REF!</v>
      </c>
      <c r="B1195">
        <v>1966</v>
      </c>
      <c r="C1195" s="1">
        <v>19.7259649588642</v>
      </c>
      <c r="D1195" s="9">
        <v>18.05677777778121</v>
      </c>
      <c r="E1195" s="1">
        <v>3.4827400000000002</v>
      </c>
      <c r="F1195" s="1">
        <v>9.0892400000000002</v>
      </c>
      <c r="G1195" s="1">
        <v>13.5412</v>
      </c>
      <c r="H1195" s="1">
        <v>-2.72173</v>
      </c>
    </row>
    <row r="1196" spans="1:8" x14ac:dyDescent="0.3">
      <c r="A1196">
        <f t="shared" si="47"/>
        <v>11</v>
      </c>
      <c r="B1196">
        <v>2016</v>
      </c>
      <c r="C1196" s="1">
        <v>19.446707275194999</v>
      </c>
      <c r="D1196" s="9">
        <v>18.10400000000352</v>
      </c>
      <c r="E1196" s="1">
        <v>2.9558399999999998</v>
      </c>
      <c r="F1196" s="1">
        <v>9.0592299999999994</v>
      </c>
      <c r="G1196" s="1">
        <v>13.640599999999999</v>
      </c>
      <c r="H1196" s="1">
        <v>-3.9754200000000002</v>
      </c>
    </row>
    <row r="1197" spans="1:8" x14ac:dyDescent="0.3">
      <c r="A1197" t="e">
        <f t="shared" si="47"/>
        <v>#REF!</v>
      </c>
      <c r="B1197">
        <v>2066</v>
      </c>
      <c r="C1197" s="1">
        <v>19.28</v>
      </c>
      <c r="D1197" s="9">
        <v>18.151222222225829</v>
      </c>
      <c r="E1197" s="1">
        <v>2.8326600000000002</v>
      </c>
      <c r="F1197" s="1">
        <v>8.8524499999999993</v>
      </c>
      <c r="G1197" s="1">
        <v>13.6883</v>
      </c>
      <c r="H1197" s="1">
        <v>-5.0552000000000001</v>
      </c>
    </row>
    <row r="1198" spans="1:8" x14ac:dyDescent="0.3">
      <c r="A1198">
        <f t="shared" si="47"/>
        <v>2</v>
      </c>
      <c r="B1198">
        <v>2116</v>
      </c>
      <c r="C1198" s="1">
        <v>19.190000000000001</v>
      </c>
      <c r="D1198" s="9">
        <v>18.198444444448139</v>
      </c>
      <c r="E1198" s="1">
        <v>2.78729</v>
      </c>
      <c r="F1198" s="1">
        <v>8.6114999999999995</v>
      </c>
      <c r="G1198" s="1">
        <v>13.813499999999999</v>
      </c>
      <c r="H1198" s="1">
        <v>-5.8834999999999997</v>
      </c>
    </row>
    <row r="1199" spans="1:8" x14ac:dyDescent="0.3">
      <c r="A1199" t="e">
        <f t="shared" si="47"/>
        <v>#REF!</v>
      </c>
      <c r="B1199">
        <v>2166</v>
      </c>
      <c r="C1199" s="1">
        <v>19.183582234157591</v>
      </c>
      <c r="D1199" s="9">
        <v>18.245666666670449</v>
      </c>
      <c r="E1199" s="1">
        <v>2.6772999999999998</v>
      </c>
      <c r="F1199" s="1">
        <v>8.4675399999999996</v>
      </c>
      <c r="G1199" s="1">
        <v>14.014799999999999</v>
      </c>
      <c r="H1199" s="1">
        <v>-6.34457</v>
      </c>
    </row>
    <row r="1200" spans="1:8" x14ac:dyDescent="0.3">
      <c r="A1200" t="e">
        <f t="shared" si="47"/>
        <v>#REF!</v>
      </c>
      <c r="B1200">
        <v>2216</v>
      </c>
      <c r="C1200" s="1">
        <v>19.188750053851681</v>
      </c>
      <c r="D1200" s="9">
        <v>18.292888888892758</v>
      </c>
      <c r="E1200" s="1">
        <v>2.67577</v>
      </c>
      <c r="F1200" s="1">
        <v>8.5062499999999996</v>
      </c>
      <c r="G1200" s="1">
        <v>14.0794</v>
      </c>
      <c r="H1200" s="1">
        <v>-6.2652299999999999</v>
      </c>
    </row>
    <row r="1201" spans="1:8" x14ac:dyDescent="0.3">
      <c r="A1201" t="e">
        <f t="shared" si="47"/>
        <v>#REF!</v>
      </c>
      <c r="B1201">
        <v>2266</v>
      </c>
      <c r="C1201" s="1">
        <v>19.401534880928558</v>
      </c>
      <c r="D1201" s="9">
        <v>18.340111111115068</v>
      </c>
      <c r="E1201" s="1">
        <v>2.8184900000000002</v>
      </c>
      <c r="F1201" s="1">
        <v>8.6679200000000005</v>
      </c>
      <c r="G1201" s="1">
        <v>13.9556</v>
      </c>
      <c r="H1201" s="1">
        <v>-5.6426699999999999</v>
      </c>
    </row>
    <row r="1202" spans="1:8" x14ac:dyDescent="0.3">
      <c r="A1202">
        <f t="shared" si="47"/>
        <v>9</v>
      </c>
      <c r="B1202">
        <v>2316</v>
      </c>
      <c r="C1202" s="1">
        <v>19.689121076418282</v>
      </c>
      <c r="D1202" s="9">
        <v>18.387333333337377</v>
      </c>
      <c r="E1202" s="1">
        <v>2.9027400000000001</v>
      </c>
      <c r="F1202" s="1">
        <v>8.6855600000000006</v>
      </c>
      <c r="G1202" s="1">
        <v>13.853199999999999</v>
      </c>
      <c r="H1202" s="1">
        <v>-4.7302799999999996</v>
      </c>
    </row>
    <row r="1203" spans="1:8" x14ac:dyDescent="0.3">
      <c r="A1203">
        <f t="shared" si="47"/>
        <v>0</v>
      </c>
      <c r="B1203">
        <v>2366</v>
      </c>
      <c r="C1203" s="1">
        <v>20.106763075102659</v>
      </c>
      <c r="D1203" s="9">
        <v>18.434555555559687</v>
      </c>
      <c r="E1203" s="1">
        <v>2.85744</v>
      </c>
      <c r="F1203" s="1">
        <v>8.4505599999999994</v>
      </c>
      <c r="G1203" s="1">
        <v>13.844900000000001</v>
      </c>
      <c r="H1203" s="1">
        <v>-3.7088299999999998</v>
      </c>
    </row>
    <row r="1204" spans="1:8" x14ac:dyDescent="0.3">
      <c r="A1204" t="e">
        <f t="shared" si="47"/>
        <v>#REF!</v>
      </c>
      <c r="B1204">
        <v>2416</v>
      </c>
      <c r="C1204" s="1">
        <v>20.63719586355921</v>
      </c>
      <c r="D1204" s="9">
        <v>18.481777777781996</v>
      </c>
      <c r="E1204" s="1">
        <v>2.8311199999999999</v>
      </c>
      <c r="F1204" s="1">
        <v>8.1140000000000008</v>
      </c>
      <c r="G1204" s="1">
        <v>13.772600000000001</v>
      </c>
      <c r="H1204" s="1">
        <v>-2.6219100000000002</v>
      </c>
    </row>
    <row r="1205" spans="1:8" x14ac:dyDescent="0.3">
      <c r="A1205" t="e">
        <f t="shared" si="47"/>
        <v>#REF!</v>
      </c>
      <c r="B1205">
        <v>2466</v>
      </c>
      <c r="C1205" s="1">
        <v>21.218134409525469</v>
      </c>
      <c r="D1205" s="9">
        <v>18.529000000004306</v>
      </c>
      <c r="E1205" s="1">
        <v>2.81345</v>
      </c>
      <c r="F1205" s="1">
        <v>7.8608000000000002</v>
      </c>
      <c r="G1205" s="1">
        <v>13.6355</v>
      </c>
      <c r="H1205" s="1">
        <v>-1.4824299999999999</v>
      </c>
    </row>
    <row r="1206" spans="1:8" x14ac:dyDescent="0.3">
      <c r="A1206">
        <f t="shared" si="47"/>
        <v>16</v>
      </c>
      <c r="B1206">
        <v>2516</v>
      </c>
      <c r="C1206" s="1">
        <v>21.73045616699434</v>
      </c>
      <c r="D1206" s="9">
        <v>18.576222222226615</v>
      </c>
      <c r="E1206" s="1">
        <v>2.5379700000000001</v>
      </c>
      <c r="F1206" s="1">
        <v>7.8905700000000003</v>
      </c>
      <c r="G1206" s="1">
        <v>13.6859</v>
      </c>
      <c r="H1206" s="1">
        <v>-0.27500799999999997</v>
      </c>
    </row>
    <row r="1207" spans="1:8" x14ac:dyDescent="0.3">
      <c r="A1207" t="e">
        <f t="shared" si="47"/>
        <v>#REF!</v>
      </c>
      <c r="B1207">
        <v>2566</v>
      </c>
      <c r="C1207" s="1">
        <v>22.18125312461121</v>
      </c>
      <c r="D1207" s="9">
        <v>18.623444444448925</v>
      </c>
      <c r="E1207" s="1">
        <v>1.9286700000000001</v>
      </c>
      <c r="F1207" s="1">
        <v>8.1774900000000006</v>
      </c>
      <c r="G1207" s="1">
        <v>13.982900000000001</v>
      </c>
      <c r="H1207" s="1">
        <v>0.985456</v>
      </c>
    </row>
    <row r="1208" spans="1:8" x14ac:dyDescent="0.3">
      <c r="A1208">
        <f t="shared" si="47"/>
        <v>7</v>
      </c>
      <c r="B1208">
        <v>2616</v>
      </c>
      <c r="C1208" s="1">
        <v>22.51346799475121</v>
      </c>
      <c r="D1208" s="9">
        <v>18.670666666671234</v>
      </c>
      <c r="E1208" s="1">
        <v>1.21987</v>
      </c>
      <c r="F1208" s="1">
        <v>8.36585</v>
      </c>
      <c r="G1208" s="1">
        <v>14.274100000000001</v>
      </c>
      <c r="H1208" s="1">
        <v>2.2364299999999999</v>
      </c>
    </row>
    <row r="1209" spans="1:8" x14ac:dyDescent="0.3">
      <c r="A1209" t="e">
        <f t="shared" si="47"/>
        <v>#REF!</v>
      </c>
      <c r="B1209">
        <v>2666</v>
      </c>
      <c r="C1209" s="1">
        <v>22.900039587340981</v>
      </c>
      <c r="D1209" s="9">
        <v>18.717888888893544</v>
      </c>
      <c r="E1209" s="1">
        <v>0.69470100000000001</v>
      </c>
      <c r="F1209" s="1">
        <v>8.2705199999999994</v>
      </c>
      <c r="G1209" s="1">
        <v>14.3506</v>
      </c>
      <c r="H1209" s="1">
        <v>3.4013399999999998</v>
      </c>
    </row>
    <row r="1210" spans="1:8" x14ac:dyDescent="0.3">
      <c r="A1210" t="e">
        <f t="shared" si="47"/>
        <v>#REF!</v>
      </c>
      <c r="B1210">
        <v>2716</v>
      </c>
      <c r="C1210" s="1">
        <v>23.357094986047091</v>
      </c>
      <c r="D1210" s="9">
        <v>18.765111111115854</v>
      </c>
      <c r="E1210" s="1">
        <v>0.66669999999999996</v>
      </c>
      <c r="F1210" s="1">
        <v>7.9976000000000003</v>
      </c>
      <c r="G1210" s="1">
        <v>14.1068</v>
      </c>
      <c r="H1210" s="1">
        <v>4.3890399999999996</v>
      </c>
    </row>
    <row r="1211" spans="1:8" x14ac:dyDescent="0.3">
      <c r="A1211" t="e">
        <f t="shared" si="47"/>
        <v>#REF!</v>
      </c>
      <c r="B1211">
        <v>2766</v>
      </c>
      <c r="C1211" s="1">
        <v>23.81021494978086</v>
      </c>
      <c r="D1211" s="9">
        <v>18.812333333338163</v>
      </c>
      <c r="E1211" s="1">
        <v>1.20444</v>
      </c>
      <c r="F1211" s="1">
        <v>7.7856100000000001</v>
      </c>
      <c r="G1211" s="1">
        <v>13.618</v>
      </c>
      <c r="H1211" s="1">
        <v>5.1271399999999998</v>
      </c>
    </row>
    <row r="1212" spans="1:8" x14ac:dyDescent="0.3">
      <c r="A1212">
        <f t="shared" si="47"/>
        <v>14</v>
      </c>
      <c r="B1212">
        <v>2816</v>
      </c>
      <c r="C1212" s="1">
        <v>24.070433451705721</v>
      </c>
      <c r="D1212" s="9">
        <v>18.859555555560473</v>
      </c>
      <c r="E1212" s="1">
        <v>2.0156100000000001</v>
      </c>
      <c r="F1212" s="1">
        <v>8.0280900000000006</v>
      </c>
      <c r="G1212" s="1">
        <v>13.208600000000001</v>
      </c>
      <c r="H1212" s="1">
        <v>5.5742200000000004</v>
      </c>
    </row>
    <row r="1213" spans="1:8" x14ac:dyDescent="0.3">
      <c r="A1213" t="e">
        <f t="shared" si="47"/>
        <v>#REF!</v>
      </c>
      <c r="B1213">
        <v>2866</v>
      </c>
      <c r="C1213" s="1">
        <v>24.270600149977358</v>
      </c>
      <c r="D1213" s="9">
        <v>18.906777777782782</v>
      </c>
      <c r="E1213" s="1">
        <v>2.78593</v>
      </c>
      <c r="F1213" s="1">
        <v>8.8830100000000005</v>
      </c>
      <c r="G1213" s="1">
        <v>13.1585</v>
      </c>
      <c r="H1213" s="1">
        <v>5.8031699999999997</v>
      </c>
    </row>
    <row r="1214" spans="1:8" x14ac:dyDescent="0.3">
      <c r="A1214">
        <f t="shared" si="47"/>
        <v>5</v>
      </c>
      <c r="B1214">
        <v>2916</v>
      </c>
      <c r="C1214" s="1">
        <v>24.22</v>
      </c>
      <c r="D1214" s="9">
        <v>18.954000000005092</v>
      </c>
      <c r="E1214" s="1">
        <v>3.2164600000000001</v>
      </c>
      <c r="F1214" s="1">
        <v>10.1454</v>
      </c>
      <c r="G1214" s="1">
        <v>13.650399999999999</v>
      </c>
      <c r="H1214" s="1">
        <v>6.0451600000000001</v>
      </c>
    </row>
    <row r="1215" spans="1:8" x14ac:dyDescent="0.3">
      <c r="A1215" t="e">
        <f t="shared" si="47"/>
        <v>#REF!</v>
      </c>
      <c r="B1215">
        <v>2966</v>
      </c>
      <c r="C1215" s="1">
        <v>24.08</v>
      </c>
      <c r="D1215" s="9">
        <v>19.001222222227401</v>
      </c>
      <c r="E1215" s="1">
        <v>3.3120799999999999</v>
      </c>
      <c r="F1215" s="1">
        <v>11.5268</v>
      </c>
      <c r="G1215" s="1">
        <v>14.6661</v>
      </c>
      <c r="H1215" s="1">
        <v>6.3909700000000003</v>
      </c>
    </row>
    <row r="1216" spans="1:8" x14ac:dyDescent="0.3">
      <c r="A1216" t="e">
        <f t="shared" si="47"/>
        <v>#REF!</v>
      </c>
      <c r="B1216">
        <v>3016</v>
      </c>
      <c r="C1216" s="1">
        <v>23.98</v>
      </c>
      <c r="D1216" s="9">
        <v>19.048444444449711</v>
      </c>
      <c r="E1216" s="1">
        <v>3.5128300000000001</v>
      </c>
      <c r="F1216" s="1">
        <v>12.6594</v>
      </c>
      <c r="G1216" s="1">
        <v>15.9077</v>
      </c>
      <c r="H1216" s="1">
        <v>6.7142999999999997</v>
      </c>
    </row>
    <row r="1217" spans="1:8" x14ac:dyDescent="0.3">
      <c r="A1217" t="e">
        <f t="shared" si="47"/>
        <v>#REF!</v>
      </c>
      <c r="B1217">
        <v>3066</v>
      </c>
      <c r="C1217" s="1">
        <v>23.819672626998109</v>
      </c>
      <c r="D1217" s="9">
        <v>19.09566666667202</v>
      </c>
      <c r="E1217" s="1">
        <v>4.0829899999999997</v>
      </c>
      <c r="F1217" s="1">
        <v>13.2433</v>
      </c>
      <c r="G1217" s="1">
        <v>17.049800000000001</v>
      </c>
      <c r="H1217" s="1">
        <v>7.0086300000000001</v>
      </c>
    </row>
    <row r="1218" spans="1:8" x14ac:dyDescent="0.3">
      <c r="A1218">
        <f t="shared" si="47"/>
        <v>12</v>
      </c>
      <c r="B1218">
        <v>3116</v>
      </c>
      <c r="C1218" s="1">
        <v>23.424237213275241</v>
      </c>
      <c r="D1218" s="9">
        <v>19.14288888889433</v>
      </c>
      <c r="E1218" s="1">
        <v>4.9771599999999996</v>
      </c>
      <c r="F1218" s="1">
        <v>13.1046</v>
      </c>
      <c r="G1218" s="1">
        <v>17.772099999999998</v>
      </c>
      <c r="H1218" s="1">
        <v>7.4576599999999997</v>
      </c>
    </row>
    <row r="1219" spans="1:8" x14ac:dyDescent="0.3">
      <c r="A1219" t="e">
        <f t="shared" si="47"/>
        <v>#REF!</v>
      </c>
      <c r="B1219">
        <v>3166</v>
      </c>
      <c r="C1219" s="1">
        <v>23.032144674184138</v>
      </c>
      <c r="D1219" s="9">
        <v>19.190111111116639</v>
      </c>
      <c r="E1219" s="1">
        <v>6.0522799999999997</v>
      </c>
      <c r="F1219" s="1">
        <v>12.3079</v>
      </c>
      <c r="G1219" s="1">
        <v>17.9542</v>
      </c>
      <c r="H1219" s="1">
        <v>8.1725399999999997</v>
      </c>
    </row>
    <row r="1220" spans="1:8" x14ac:dyDescent="0.3">
      <c r="A1220">
        <f t="shared" si="47"/>
        <v>3</v>
      </c>
      <c r="B1220">
        <v>3216</v>
      </c>
      <c r="C1220" s="1">
        <v>22.671726944993569</v>
      </c>
      <c r="D1220" s="9">
        <v>19.237333333338949</v>
      </c>
      <c r="E1220" s="1">
        <v>7.0777999999999999</v>
      </c>
      <c r="F1220" s="1">
        <v>11.2103</v>
      </c>
      <c r="G1220" s="1">
        <v>17.737400000000001</v>
      </c>
      <c r="H1220" s="1">
        <v>9.1476699999999997</v>
      </c>
    </row>
    <row r="1221" spans="1:8" x14ac:dyDescent="0.3">
      <c r="A1221" t="e">
        <f t="shared" ref="A1221:A1227" si="48">A1171</f>
        <v>#REF!</v>
      </c>
      <c r="B1221">
        <v>3266</v>
      </c>
      <c r="C1221" s="1">
        <v>22.28558807812308</v>
      </c>
      <c r="D1221" s="9">
        <v>19.284555555561258</v>
      </c>
      <c r="E1221" s="1">
        <v>7.9792800000000002</v>
      </c>
      <c r="F1221" s="1">
        <v>10.1676</v>
      </c>
      <c r="G1221" s="1">
        <v>17.3157</v>
      </c>
      <c r="H1221" s="1">
        <v>10.3371</v>
      </c>
    </row>
    <row r="1222" spans="1:8" x14ac:dyDescent="0.3">
      <c r="A1222" t="e">
        <f t="shared" si="48"/>
        <v>#REF!</v>
      </c>
      <c r="B1222">
        <v>3316</v>
      </c>
      <c r="C1222" s="1">
        <v>21.907902108626171</v>
      </c>
      <c r="D1222" s="9">
        <v>19.331777777783568</v>
      </c>
      <c r="E1222" s="1">
        <v>9.0403500000000001</v>
      </c>
      <c r="F1222" s="1">
        <v>9.8368699999999993</v>
      </c>
      <c r="G1222" s="1">
        <v>17.041399999999999</v>
      </c>
      <c r="H1222" s="1">
        <v>11.6822</v>
      </c>
    </row>
    <row r="1223" spans="1:8" x14ac:dyDescent="0.3">
      <c r="A1223" t="e">
        <f t="shared" si="48"/>
        <v>#REF!</v>
      </c>
      <c r="B1223">
        <v>3366</v>
      </c>
      <c r="C1223" s="1">
        <v>21.591865113354881</v>
      </c>
      <c r="D1223" s="9">
        <v>19.379000000005878</v>
      </c>
      <c r="E1223" s="1">
        <v>10.6295</v>
      </c>
      <c r="F1223" s="1">
        <v>10.9895</v>
      </c>
      <c r="G1223" s="1">
        <v>17.206499999999998</v>
      </c>
      <c r="H1223" s="1">
        <v>13.1196</v>
      </c>
    </row>
    <row r="1224" spans="1:8" x14ac:dyDescent="0.3">
      <c r="A1224">
        <f t="shared" si="48"/>
        <v>10</v>
      </c>
      <c r="B1224">
        <v>3416</v>
      </c>
      <c r="C1224" s="1">
        <v>21.257450968647291</v>
      </c>
      <c r="D1224" s="9">
        <v>19.426222222228187</v>
      </c>
      <c r="E1224" s="1">
        <v>12.4354</v>
      </c>
      <c r="F1224" s="1">
        <v>12.6091</v>
      </c>
      <c r="G1224" s="1">
        <v>17.521799999999999</v>
      </c>
      <c r="H1224" s="1">
        <v>14.532999999999999</v>
      </c>
    </row>
    <row r="1225" spans="1:8" x14ac:dyDescent="0.3">
      <c r="A1225" t="e">
        <f t="shared" si="48"/>
        <v>#REF!</v>
      </c>
      <c r="B1225">
        <v>3466</v>
      </c>
      <c r="C1225" s="1">
        <v>20.765534502672189</v>
      </c>
      <c r="D1225" s="9">
        <v>19.473444444450497</v>
      </c>
      <c r="E1225" s="1">
        <v>14.3339</v>
      </c>
      <c r="F1225" s="1">
        <v>14.4146</v>
      </c>
      <c r="G1225" s="1">
        <v>17.969100000000001</v>
      </c>
      <c r="H1225" s="1">
        <v>15.925700000000001</v>
      </c>
    </row>
    <row r="1226" spans="1:8" x14ac:dyDescent="0.3">
      <c r="A1226">
        <f t="shared" si="48"/>
        <v>1</v>
      </c>
      <c r="B1226">
        <v>3516</v>
      </c>
      <c r="C1226" s="1">
        <v>20.301741520236909</v>
      </c>
      <c r="D1226" s="9">
        <v>19.520666666672806</v>
      </c>
      <c r="E1226" s="1">
        <v>16.279</v>
      </c>
      <c r="F1226" s="1">
        <v>16.311599999999999</v>
      </c>
      <c r="G1226" s="1">
        <v>18.516999999999999</v>
      </c>
      <c r="H1226" s="1">
        <v>17.304400000000001</v>
      </c>
    </row>
    <row r="1227" spans="1:8" x14ac:dyDescent="0.3">
      <c r="A1227" t="e">
        <f t="shared" si="48"/>
        <v>#REF!</v>
      </c>
      <c r="B1227">
        <v>3566</v>
      </c>
      <c r="C1227" s="1">
        <v>19.90265133825687</v>
      </c>
      <c r="D1227" s="9">
        <v>19.567888888895116</v>
      </c>
      <c r="E1227" s="1">
        <v>18.2501</v>
      </c>
      <c r="F1227" s="1">
        <v>18.258500000000002</v>
      </c>
      <c r="G1227" s="1">
        <v>19.141100000000002</v>
      </c>
      <c r="H1227" s="1">
        <v>18.673300000000001</v>
      </c>
    </row>
    <row r="1228" spans="1:8" x14ac:dyDescent="0.3">
      <c r="A1228">
        <v>17</v>
      </c>
      <c r="B1228">
        <v>17</v>
      </c>
      <c r="C1228" s="1">
        <v>16.18</v>
      </c>
      <c r="D1228" s="9">
        <v>16.216055555555585</v>
      </c>
      <c r="E1228" s="1">
        <v>15.5692</v>
      </c>
      <c r="F1228" s="1">
        <v>15.527100000000001</v>
      </c>
      <c r="G1228" s="1">
        <v>15.9916</v>
      </c>
      <c r="H1228" s="1">
        <v>15.5665</v>
      </c>
    </row>
    <row r="1229" spans="1:8" x14ac:dyDescent="0.3">
      <c r="A1229" t="e">
        <f t="shared" ref="A1229:A1260" si="49">A1179</f>
        <v>#REF!</v>
      </c>
      <c r="B1229">
        <v>67</v>
      </c>
      <c r="C1229" s="1">
        <v>16.15720135009051</v>
      </c>
      <c r="D1229" s="9">
        <v>16.263277777777894</v>
      </c>
      <c r="E1229" s="1">
        <v>13.7287</v>
      </c>
      <c r="F1229" s="1">
        <v>13.565799999999999</v>
      </c>
      <c r="G1229" s="1">
        <v>15.414400000000001</v>
      </c>
      <c r="H1229" s="1">
        <v>13.6973</v>
      </c>
    </row>
    <row r="1230" spans="1:8" x14ac:dyDescent="0.3">
      <c r="A1230">
        <f t="shared" si="49"/>
        <v>8</v>
      </c>
      <c r="B1230">
        <v>117</v>
      </c>
      <c r="C1230" s="1">
        <v>16.277348823820908</v>
      </c>
      <c r="D1230" s="9">
        <v>16.310500000000204</v>
      </c>
      <c r="E1230" s="1">
        <v>11.916700000000001</v>
      </c>
      <c r="F1230" s="1">
        <v>11.644</v>
      </c>
      <c r="G1230" s="1">
        <v>14.900399999999999</v>
      </c>
      <c r="H1230" s="1">
        <v>11.8185</v>
      </c>
    </row>
    <row r="1231" spans="1:8" x14ac:dyDescent="0.3">
      <c r="A1231" t="e">
        <f t="shared" si="49"/>
        <v>#REF!</v>
      </c>
      <c r="B1231">
        <v>167</v>
      </c>
      <c r="C1231" s="1">
        <v>16.471756054588351</v>
      </c>
      <c r="D1231" s="9">
        <v>16.357722222222513</v>
      </c>
      <c r="E1231" s="1">
        <v>10.1472</v>
      </c>
      <c r="F1231" s="1">
        <v>9.7918500000000002</v>
      </c>
      <c r="G1231" s="1">
        <v>14.4655</v>
      </c>
      <c r="H1231" s="1">
        <v>9.9293999999999993</v>
      </c>
    </row>
    <row r="1232" spans="1:8" x14ac:dyDescent="0.3">
      <c r="A1232" t="e">
        <f t="shared" si="49"/>
        <v>#REF!</v>
      </c>
      <c r="B1232">
        <v>217</v>
      </c>
      <c r="C1232" s="1">
        <v>16.84143556425089</v>
      </c>
      <c r="D1232" s="9">
        <v>16.404944444444823</v>
      </c>
      <c r="E1232" s="1">
        <v>8.4460099999999994</v>
      </c>
      <c r="F1232" s="1">
        <v>8.0743799999999997</v>
      </c>
      <c r="G1232" s="1">
        <v>14.126899999999999</v>
      </c>
      <c r="H1232" s="1">
        <v>8.0328700000000008</v>
      </c>
    </row>
    <row r="1233" spans="1:8" x14ac:dyDescent="0.3">
      <c r="A1233" t="e">
        <f t="shared" si="49"/>
        <v>#REF!</v>
      </c>
      <c r="B1233">
        <v>267</v>
      </c>
      <c r="C1233" s="1">
        <v>16.97</v>
      </c>
      <c r="D1233" s="9">
        <v>16.452166666667132</v>
      </c>
      <c r="E1233" s="1">
        <v>6.86327</v>
      </c>
      <c r="F1233" s="1">
        <v>6.6498499999999998</v>
      </c>
      <c r="G1233" s="1">
        <v>13.874000000000001</v>
      </c>
      <c r="H1233" s="1">
        <v>6.1476899999999999</v>
      </c>
    </row>
    <row r="1234" spans="1:8" x14ac:dyDescent="0.3">
      <c r="A1234">
        <f t="shared" si="49"/>
        <v>15</v>
      </c>
      <c r="B1234">
        <v>317</v>
      </c>
      <c r="C1234" s="1">
        <v>17.149020866030909</v>
      </c>
      <c r="D1234" s="9">
        <v>16.499388888889442</v>
      </c>
      <c r="E1234" s="1">
        <v>5.6710399999999996</v>
      </c>
      <c r="F1234" s="1">
        <v>6.20946</v>
      </c>
      <c r="G1234" s="1">
        <v>13.851599999999999</v>
      </c>
      <c r="H1234" s="1">
        <v>4.5895599999999996</v>
      </c>
    </row>
    <row r="1235" spans="1:8" x14ac:dyDescent="0.3">
      <c r="A1235" t="e">
        <f t="shared" si="49"/>
        <v>#REF!</v>
      </c>
      <c r="B1235">
        <v>367</v>
      </c>
      <c r="C1235" s="1">
        <v>17.369220104666031</v>
      </c>
      <c r="D1235" s="9">
        <v>16.546611111111751</v>
      </c>
      <c r="E1235" s="1">
        <v>4.8973300000000002</v>
      </c>
      <c r="F1235" s="1">
        <v>6.5141799999999996</v>
      </c>
      <c r="G1235" s="1">
        <v>14.0374</v>
      </c>
      <c r="H1235" s="1">
        <v>3.5081199999999999</v>
      </c>
    </row>
    <row r="1236" spans="1:8" x14ac:dyDescent="0.3">
      <c r="A1236">
        <f t="shared" si="49"/>
        <v>6</v>
      </c>
      <c r="B1236">
        <v>417</v>
      </c>
      <c r="C1236" s="1">
        <v>17.543904504921649</v>
      </c>
      <c r="D1236" s="9">
        <v>16.593833333334061</v>
      </c>
      <c r="E1236" s="1">
        <v>4.3851399999999998</v>
      </c>
      <c r="F1236" s="1">
        <v>6.7361199999999997</v>
      </c>
      <c r="G1236" s="1">
        <v>14.032999999999999</v>
      </c>
      <c r="H1236" s="1">
        <v>2.7892800000000002</v>
      </c>
    </row>
    <row r="1237" spans="1:8" x14ac:dyDescent="0.3">
      <c r="A1237" t="e">
        <f t="shared" si="49"/>
        <v>#REF!</v>
      </c>
      <c r="B1237">
        <v>467</v>
      </c>
      <c r="C1237" s="1">
        <v>17.85874327318772</v>
      </c>
      <c r="D1237" s="9">
        <v>16.64105555555637</v>
      </c>
      <c r="E1237" s="1">
        <v>4.0064500000000001</v>
      </c>
      <c r="F1237" s="1">
        <v>6.6029600000000004</v>
      </c>
      <c r="G1237" s="1">
        <v>13.7652</v>
      </c>
      <c r="H1237" s="1">
        <v>2.3304200000000002</v>
      </c>
    </row>
    <row r="1238" spans="1:8" x14ac:dyDescent="0.3">
      <c r="A1238" t="e">
        <f t="shared" si="49"/>
        <v>#REF!</v>
      </c>
      <c r="B1238">
        <v>517</v>
      </c>
      <c r="C1238" s="1">
        <v>18.027563482390249</v>
      </c>
      <c r="D1238" s="9">
        <v>16.68827777777868</v>
      </c>
      <c r="E1238" s="1">
        <v>3.4474200000000002</v>
      </c>
      <c r="F1238" s="1">
        <v>6.0541</v>
      </c>
      <c r="G1238" s="1">
        <v>13.419</v>
      </c>
      <c r="H1238" s="1">
        <v>1.8074399999999999</v>
      </c>
    </row>
    <row r="1239" spans="1:8" x14ac:dyDescent="0.3">
      <c r="A1239" t="e">
        <f t="shared" si="49"/>
        <v>#REF!</v>
      </c>
      <c r="B1239">
        <v>567</v>
      </c>
      <c r="C1239" s="1">
        <v>18.230599023266208</v>
      </c>
      <c r="D1239" s="9">
        <v>16.735500000000989</v>
      </c>
      <c r="E1239" s="1">
        <v>2.5940799999999999</v>
      </c>
      <c r="F1239" s="1">
        <v>5.1482200000000002</v>
      </c>
      <c r="G1239" s="1">
        <v>13.088900000000001</v>
      </c>
      <c r="H1239" s="1">
        <v>1.09066</v>
      </c>
    </row>
    <row r="1240" spans="1:8" x14ac:dyDescent="0.3">
      <c r="A1240">
        <f t="shared" si="49"/>
        <v>13</v>
      </c>
      <c r="B1240">
        <v>617</v>
      </c>
      <c r="C1240" s="1">
        <v>18.440000000000001</v>
      </c>
      <c r="D1240" s="9">
        <v>16.782722222223299</v>
      </c>
      <c r="E1240" s="1">
        <v>1.68204</v>
      </c>
      <c r="F1240" s="1">
        <v>4.11355</v>
      </c>
      <c r="G1240" s="1">
        <v>12.694000000000001</v>
      </c>
      <c r="H1240" s="1">
        <v>0.39555600000000002</v>
      </c>
    </row>
    <row r="1241" spans="1:8" x14ac:dyDescent="0.3">
      <c r="A1241" t="e">
        <f t="shared" si="49"/>
        <v>#REF!</v>
      </c>
      <c r="B1241">
        <v>667</v>
      </c>
      <c r="C1241" s="1">
        <v>18.521858018828571</v>
      </c>
      <c r="D1241" s="9">
        <v>16.829944444445609</v>
      </c>
      <c r="E1241" s="1">
        <v>0.96221800000000002</v>
      </c>
      <c r="F1241" s="1">
        <v>3.1831200000000002</v>
      </c>
      <c r="G1241" s="1">
        <v>12.2836</v>
      </c>
      <c r="H1241" s="1">
        <v>-9.7531500000000004E-3</v>
      </c>
    </row>
    <row r="1242" spans="1:8" x14ac:dyDescent="0.3">
      <c r="A1242">
        <f t="shared" si="49"/>
        <v>4</v>
      </c>
      <c r="B1242">
        <v>717</v>
      </c>
      <c r="C1242" s="1">
        <v>18.71083912383769</v>
      </c>
      <c r="D1242" s="9">
        <v>16.877166666667918</v>
      </c>
      <c r="E1242" s="1">
        <v>0.65042999999999995</v>
      </c>
      <c r="F1242" s="1">
        <v>2.5600200000000002</v>
      </c>
      <c r="G1242" s="1">
        <v>12.1214</v>
      </c>
      <c r="H1242" s="1">
        <v>0.16611899999999999</v>
      </c>
    </row>
    <row r="1243" spans="1:8" x14ac:dyDescent="0.3">
      <c r="A1243" t="e">
        <f t="shared" si="49"/>
        <v>#REF!</v>
      </c>
      <c r="B1243">
        <v>767</v>
      </c>
      <c r="C1243" s="1">
        <v>18.829999999999998</v>
      </c>
      <c r="D1243" s="9">
        <v>16.924388888890228</v>
      </c>
      <c r="E1243" s="1">
        <v>0.76556599999999997</v>
      </c>
      <c r="F1243" s="1">
        <v>2.2516799999999999</v>
      </c>
      <c r="G1243" s="1">
        <v>12.322800000000001</v>
      </c>
      <c r="H1243" s="1">
        <v>0.96025199999999999</v>
      </c>
    </row>
    <row r="1244" spans="1:8" x14ac:dyDescent="0.3">
      <c r="A1244" t="e">
        <f t="shared" si="49"/>
        <v>#REF!</v>
      </c>
      <c r="B1244">
        <v>817</v>
      </c>
      <c r="C1244" s="1">
        <v>19.272962136321912</v>
      </c>
      <c r="D1244" s="9">
        <v>16.971611111112537</v>
      </c>
      <c r="E1244" s="1">
        <v>1.0429900000000001</v>
      </c>
      <c r="F1244" s="1">
        <v>1.98519</v>
      </c>
      <c r="G1244" s="1">
        <v>12.7562</v>
      </c>
      <c r="H1244" s="1">
        <v>2.0322499999999999</v>
      </c>
    </row>
    <row r="1245" spans="1:8" x14ac:dyDescent="0.3">
      <c r="A1245" t="e">
        <f t="shared" si="49"/>
        <v>#REF!</v>
      </c>
      <c r="B1245">
        <v>867</v>
      </c>
      <c r="C1245" s="1">
        <v>19.494288033565891</v>
      </c>
      <c r="D1245" s="9">
        <v>17.018833333334847</v>
      </c>
      <c r="E1245" s="1">
        <v>1.33494</v>
      </c>
      <c r="F1245" s="1">
        <v>1.6980200000000001</v>
      </c>
      <c r="G1245" s="1">
        <v>13.1997</v>
      </c>
      <c r="H1245" s="1">
        <v>3.0058699999999998</v>
      </c>
    </row>
    <row r="1246" spans="1:8" x14ac:dyDescent="0.3">
      <c r="A1246">
        <f t="shared" si="49"/>
        <v>11</v>
      </c>
      <c r="B1246">
        <v>917</v>
      </c>
      <c r="C1246" s="1">
        <v>19.775348357863191</v>
      </c>
      <c r="D1246" s="9">
        <v>17.066055555557156</v>
      </c>
      <c r="E1246" s="1">
        <v>1.6969399999999999</v>
      </c>
      <c r="F1246" s="1">
        <v>1.66655</v>
      </c>
      <c r="G1246" s="1">
        <v>13.3315</v>
      </c>
      <c r="H1246" s="1">
        <v>3.50143</v>
      </c>
    </row>
    <row r="1247" spans="1:8" x14ac:dyDescent="0.3">
      <c r="A1247" t="e">
        <f t="shared" si="49"/>
        <v>#REF!</v>
      </c>
      <c r="B1247">
        <v>967</v>
      </c>
      <c r="C1247" s="1">
        <v>20.100685907163939</v>
      </c>
      <c r="D1247" s="9">
        <v>17.113277777779466</v>
      </c>
      <c r="E1247" s="1">
        <v>2.0897999999999999</v>
      </c>
      <c r="F1247" s="1">
        <v>2.0140199999999999</v>
      </c>
      <c r="G1247" s="1">
        <v>13.085100000000001</v>
      </c>
      <c r="H1247" s="1">
        <v>3.40388</v>
      </c>
    </row>
    <row r="1248" spans="1:8" x14ac:dyDescent="0.3">
      <c r="A1248">
        <f t="shared" si="49"/>
        <v>2</v>
      </c>
      <c r="B1248">
        <v>1017</v>
      </c>
      <c r="C1248" s="1">
        <v>20.515719750873249</v>
      </c>
      <c r="D1248" s="9">
        <v>17.160500000001775</v>
      </c>
      <c r="E1248" s="1">
        <v>2.31446</v>
      </c>
      <c r="F1248" s="1">
        <v>2.5977199999999998</v>
      </c>
      <c r="G1248" s="1">
        <v>12.779199999999999</v>
      </c>
      <c r="H1248" s="1">
        <v>2.9868000000000001</v>
      </c>
    </row>
    <row r="1249" spans="1:8" x14ac:dyDescent="0.3">
      <c r="A1249" t="e">
        <f t="shared" si="49"/>
        <v>#REF!</v>
      </c>
      <c r="B1249">
        <v>1067</v>
      </c>
      <c r="C1249" s="1">
        <v>20.961775964508501</v>
      </c>
      <c r="D1249" s="9">
        <v>17.207722222224085</v>
      </c>
      <c r="E1249" s="1">
        <v>2.3240799999999999</v>
      </c>
      <c r="F1249" s="1">
        <v>3.1829999999999998</v>
      </c>
      <c r="G1249" s="1">
        <v>12.6472</v>
      </c>
      <c r="H1249" s="1">
        <v>2.5986199999999999</v>
      </c>
    </row>
    <row r="1250" spans="1:8" x14ac:dyDescent="0.3">
      <c r="A1250" t="e">
        <f t="shared" si="49"/>
        <v>#REF!</v>
      </c>
      <c r="B1250">
        <v>1117</v>
      </c>
      <c r="C1250" s="1">
        <v>21.349112279059739</v>
      </c>
      <c r="D1250" s="9">
        <v>17.254944444446394</v>
      </c>
      <c r="E1250" s="1">
        <v>2.3103699999999998</v>
      </c>
      <c r="F1250" s="1">
        <v>3.4372500000000001</v>
      </c>
      <c r="G1250" s="1">
        <v>12.7494</v>
      </c>
      <c r="H1250" s="1">
        <v>2.6462699999999999</v>
      </c>
    </row>
    <row r="1251" spans="1:8" x14ac:dyDescent="0.3">
      <c r="A1251" t="e">
        <f t="shared" si="49"/>
        <v>#REF!</v>
      </c>
      <c r="B1251">
        <v>1167</v>
      </c>
      <c r="C1251" s="1">
        <v>21.638447764568799</v>
      </c>
      <c r="D1251" s="9">
        <v>17.302166666668704</v>
      </c>
      <c r="E1251" s="1">
        <v>2.32057</v>
      </c>
      <c r="F1251" s="1">
        <v>3.3033299999999999</v>
      </c>
      <c r="G1251" s="1">
        <v>13.0015</v>
      </c>
      <c r="H1251" s="1">
        <v>3.25034</v>
      </c>
    </row>
    <row r="1252" spans="1:8" x14ac:dyDescent="0.3">
      <c r="A1252">
        <f t="shared" si="49"/>
        <v>9</v>
      </c>
      <c r="B1252">
        <v>1217</v>
      </c>
      <c r="C1252" s="1">
        <v>22.068228060688401</v>
      </c>
      <c r="D1252" s="9">
        <v>17.349388888891013</v>
      </c>
      <c r="E1252" s="1">
        <v>2.1673</v>
      </c>
      <c r="F1252" s="1">
        <v>3.1339999999999999</v>
      </c>
      <c r="G1252" s="1">
        <v>13.131399999999999</v>
      </c>
      <c r="H1252" s="1">
        <v>4.1094499999999998</v>
      </c>
    </row>
    <row r="1253" spans="1:8" x14ac:dyDescent="0.3">
      <c r="A1253">
        <f t="shared" si="49"/>
        <v>0</v>
      </c>
      <c r="B1253">
        <v>1267</v>
      </c>
      <c r="C1253" s="1">
        <v>22.476922001921569</v>
      </c>
      <c r="D1253" s="9">
        <v>17.396611111113323</v>
      </c>
      <c r="E1253" s="1">
        <v>1.85429</v>
      </c>
      <c r="F1253" s="1">
        <v>3.1626300000000001</v>
      </c>
      <c r="G1253" s="1">
        <v>13.0671</v>
      </c>
      <c r="H1253" s="1">
        <v>4.9338899999999999</v>
      </c>
    </row>
    <row r="1254" spans="1:8" x14ac:dyDescent="0.3">
      <c r="A1254" t="e">
        <f t="shared" si="49"/>
        <v>#REF!</v>
      </c>
      <c r="B1254">
        <v>1317</v>
      </c>
      <c r="C1254" s="1">
        <v>22.911349360152361</v>
      </c>
      <c r="D1254" s="9">
        <v>17.443833333335633</v>
      </c>
      <c r="E1254" s="1">
        <v>1.6875199999999999</v>
      </c>
      <c r="F1254" s="1">
        <v>3.4011</v>
      </c>
      <c r="G1254" s="1">
        <v>13.045999999999999</v>
      </c>
      <c r="H1254" s="1">
        <v>5.50237</v>
      </c>
    </row>
    <row r="1255" spans="1:8" x14ac:dyDescent="0.3">
      <c r="A1255" t="e">
        <f t="shared" si="49"/>
        <v>#REF!</v>
      </c>
      <c r="B1255">
        <v>1367</v>
      </c>
      <c r="C1255" s="1">
        <v>23.139885048778648</v>
      </c>
      <c r="D1255" s="9">
        <v>17.491055555557942</v>
      </c>
      <c r="E1255" s="1">
        <v>1.8395600000000001</v>
      </c>
      <c r="F1255" s="1">
        <v>3.7825899999999999</v>
      </c>
      <c r="G1255" s="1">
        <v>13.143000000000001</v>
      </c>
      <c r="H1255" s="1">
        <v>5.7747200000000003</v>
      </c>
    </row>
    <row r="1256" spans="1:8" x14ac:dyDescent="0.3">
      <c r="A1256">
        <f t="shared" si="49"/>
        <v>16</v>
      </c>
      <c r="B1256">
        <v>1417</v>
      </c>
      <c r="C1256" s="1">
        <v>23.24</v>
      </c>
      <c r="D1256" s="9">
        <v>17.538277777780252</v>
      </c>
      <c r="E1256" s="1">
        <v>2.2530000000000001</v>
      </c>
      <c r="F1256" s="1">
        <v>4.1530199999999997</v>
      </c>
      <c r="G1256" s="1">
        <v>13.1662</v>
      </c>
      <c r="H1256" s="1">
        <v>5.9610000000000003</v>
      </c>
    </row>
    <row r="1257" spans="1:8" x14ac:dyDescent="0.3">
      <c r="A1257" t="e">
        <f t="shared" si="49"/>
        <v>#REF!</v>
      </c>
      <c r="B1257">
        <v>1467</v>
      </c>
      <c r="C1257" s="1">
        <v>23.23</v>
      </c>
      <c r="D1257" s="9">
        <v>17.585500000002561</v>
      </c>
      <c r="E1257" s="1">
        <v>2.7650199999999998</v>
      </c>
      <c r="F1257" s="1">
        <v>4.4278500000000003</v>
      </c>
      <c r="G1257" s="1">
        <v>13.076000000000001</v>
      </c>
      <c r="H1257" s="1">
        <v>6.1245399999999997</v>
      </c>
    </row>
    <row r="1258" spans="1:8" x14ac:dyDescent="0.3">
      <c r="A1258">
        <f t="shared" si="49"/>
        <v>7</v>
      </c>
      <c r="B1258">
        <v>1517</v>
      </c>
      <c r="C1258" s="1">
        <v>23.029918872428411</v>
      </c>
      <c r="D1258" s="9">
        <v>17.632722222224871</v>
      </c>
      <c r="E1258" s="1">
        <v>3.09212</v>
      </c>
      <c r="F1258" s="1">
        <v>4.6347300000000002</v>
      </c>
      <c r="G1258" s="1">
        <v>13.0808</v>
      </c>
      <c r="H1258" s="1">
        <v>6.09152</v>
      </c>
    </row>
    <row r="1259" spans="1:8" x14ac:dyDescent="0.3">
      <c r="A1259" t="e">
        <f t="shared" si="49"/>
        <v>#REF!</v>
      </c>
      <c r="B1259">
        <v>1567</v>
      </c>
      <c r="C1259" s="1">
        <v>22.75016609735092</v>
      </c>
      <c r="D1259" s="9">
        <v>17.67994444444718</v>
      </c>
      <c r="E1259" s="1">
        <v>3.2249500000000002</v>
      </c>
      <c r="F1259" s="1">
        <v>4.9040299999999997</v>
      </c>
      <c r="G1259" s="1">
        <v>13.2342</v>
      </c>
      <c r="H1259" s="1">
        <v>5.7528199999999998</v>
      </c>
    </row>
    <row r="1260" spans="1:8" x14ac:dyDescent="0.3">
      <c r="A1260" t="e">
        <f t="shared" si="49"/>
        <v>#REF!</v>
      </c>
      <c r="B1260">
        <v>1617</v>
      </c>
      <c r="C1260" s="1">
        <v>22.384538643564749</v>
      </c>
      <c r="D1260" s="9">
        <v>17.72716666666949</v>
      </c>
      <c r="E1260" s="1">
        <v>3.5582199999999999</v>
      </c>
      <c r="F1260" s="1">
        <v>5.4970699999999999</v>
      </c>
      <c r="G1260" s="1">
        <v>13.341799999999999</v>
      </c>
      <c r="H1260" s="1">
        <v>5.1191800000000001</v>
      </c>
    </row>
    <row r="1261" spans="1:8" x14ac:dyDescent="0.3">
      <c r="A1261" t="e">
        <f t="shared" ref="A1261:A1292" si="50">A1211</f>
        <v>#REF!</v>
      </c>
      <c r="B1261">
        <v>1667</v>
      </c>
      <c r="C1261" s="1">
        <v>21.947007733302549</v>
      </c>
      <c r="D1261" s="9">
        <v>17.774388888891799</v>
      </c>
      <c r="E1261" s="1">
        <v>4.2549999999999999</v>
      </c>
      <c r="F1261" s="1">
        <v>6.4643100000000002</v>
      </c>
      <c r="G1261" s="1">
        <v>13.347200000000001</v>
      </c>
      <c r="H1261" s="1">
        <v>4.2413999999999996</v>
      </c>
    </row>
    <row r="1262" spans="1:8" x14ac:dyDescent="0.3">
      <c r="A1262">
        <f t="shared" si="50"/>
        <v>14</v>
      </c>
      <c r="B1262">
        <v>1717</v>
      </c>
      <c r="C1262" s="1">
        <v>21.45854385619111</v>
      </c>
      <c r="D1262" s="9">
        <v>17.821611111114109</v>
      </c>
      <c r="E1262" s="1">
        <v>5.0985300000000002</v>
      </c>
      <c r="F1262" s="1">
        <v>7.5388999999999999</v>
      </c>
      <c r="G1262" s="1">
        <v>13.415699999999999</v>
      </c>
      <c r="H1262" s="1">
        <v>3.2139000000000002</v>
      </c>
    </row>
    <row r="1263" spans="1:8" x14ac:dyDescent="0.3">
      <c r="A1263" t="e">
        <f t="shared" si="50"/>
        <v>#REF!</v>
      </c>
      <c r="B1263">
        <v>1767</v>
      </c>
      <c r="C1263" s="1">
        <v>21.164200699886241</v>
      </c>
      <c r="D1263" s="9">
        <v>17.868833333336418</v>
      </c>
      <c r="E1263" s="1">
        <v>5.7707800000000002</v>
      </c>
      <c r="F1263" s="1">
        <v>8.4450199999999995</v>
      </c>
      <c r="G1263" s="1">
        <v>13.569599999999999</v>
      </c>
      <c r="H1263" s="1">
        <v>2.1122000000000001</v>
      </c>
    </row>
    <row r="1264" spans="1:8" x14ac:dyDescent="0.3">
      <c r="A1264">
        <f t="shared" si="50"/>
        <v>5</v>
      </c>
      <c r="B1264">
        <v>1817</v>
      </c>
      <c r="C1264" s="1">
        <v>20.767858724411081</v>
      </c>
      <c r="D1264" s="9">
        <v>17.916055555558728</v>
      </c>
      <c r="E1264" s="1">
        <v>5.8572800000000003</v>
      </c>
      <c r="F1264" s="1">
        <v>8.9343599999999999</v>
      </c>
      <c r="G1264" s="1">
        <v>13.605600000000001</v>
      </c>
      <c r="H1264" s="1">
        <v>0.979236</v>
      </c>
    </row>
    <row r="1265" spans="1:8" x14ac:dyDescent="0.3">
      <c r="A1265" t="e">
        <f t="shared" si="50"/>
        <v>#REF!</v>
      </c>
      <c r="B1265">
        <v>1867</v>
      </c>
      <c r="C1265" s="1">
        <v>20.426830868884871</v>
      </c>
      <c r="D1265" s="9">
        <v>17.963277777781038</v>
      </c>
      <c r="E1265" s="1">
        <v>5.2598900000000004</v>
      </c>
      <c r="F1265" s="1">
        <v>9.0075900000000004</v>
      </c>
      <c r="G1265" s="1">
        <v>13.488099999999999</v>
      </c>
      <c r="H1265" s="1">
        <v>-0.18444199999999999</v>
      </c>
    </row>
    <row r="1266" spans="1:8" x14ac:dyDescent="0.3">
      <c r="A1266" t="e">
        <f t="shared" si="50"/>
        <v>#REF!</v>
      </c>
      <c r="B1266">
        <v>1917</v>
      </c>
      <c r="C1266" s="1">
        <v>20.013612975849359</v>
      </c>
      <c r="D1266" s="9">
        <v>18.010500000003347</v>
      </c>
      <c r="E1266" s="1">
        <v>4.3416899999999998</v>
      </c>
      <c r="F1266" s="1">
        <v>9.0123700000000007</v>
      </c>
      <c r="G1266" s="1">
        <v>13.4413</v>
      </c>
      <c r="H1266" s="1">
        <v>-1.43327</v>
      </c>
    </row>
    <row r="1267" spans="1:8" x14ac:dyDescent="0.3">
      <c r="A1267" t="e">
        <f t="shared" si="50"/>
        <v>#REF!</v>
      </c>
      <c r="B1267">
        <v>1967</v>
      </c>
      <c r="C1267" s="1">
        <v>19.717664645289901</v>
      </c>
      <c r="D1267" s="9">
        <v>18.057722222225657</v>
      </c>
      <c r="E1267" s="1">
        <v>3.4677699999999998</v>
      </c>
      <c r="F1267" s="1">
        <v>9.0903799999999997</v>
      </c>
      <c r="G1267" s="1">
        <v>13.543799999999999</v>
      </c>
      <c r="H1267" s="1">
        <v>-2.7478600000000002</v>
      </c>
    </row>
    <row r="1268" spans="1:8" x14ac:dyDescent="0.3">
      <c r="A1268">
        <f t="shared" si="50"/>
        <v>12</v>
      </c>
      <c r="B1268">
        <v>2017</v>
      </c>
      <c r="C1268" s="1">
        <v>19.442619168315531</v>
      </c>
      <c r="D1268" s="9">
        <v>18.104944444447966</v>
      </c>
      <c r="E1268" s="1">
        <v>2.9503200000000001</v>
      </c>
      <c r="F1268" s="1">
        <v>9.0564699999999991</v>
      </c>
      <c r="G1268" s="1">
        <v>13.6417</v>
      </c>
      <c r="H1268" s="1">
        <v>-3.99899</v>
      </c>
    </row>
    <row r="1269" spans="1:8" x14ac:dyDescent="0.3">
      <c r="A1269" t="e">
        <f t="shared" si="50"/>
        <v>#REF!</v>
      </c>
      <c r="B1269">
        <v>2067</v>
      </c>
      <c r="C1269" s="1">
        <v>19.28</v>
      </c>
      <c r="D1269" s="9">
        <v>18.152166666670276</v>
      </c>
      <c r="E1269" s="1">
        <v>2.8321499999999999</v>
      </c>
      <c r="F1269" s="1">
        <v>8.8474299999999992</v>
      </c>
      <c r="G1269" s="1">
        <v>13.6896</v>
      </c>
      <c r="H1269" s="1">
        <v>-5.0744899999999999</v>
      </c>
    </row>
    <row r="1270" spans="1:8" x14ac:dyDescent="0.3">
      <c r="A1270">
        <f t="shared" si="50"/>
        <v>3</v>
      </c>
      <c r="B1270">
        <v>2117</v>
      </c>
      <c r="C1270" s="1">
        <v>19.190000000000001</v>
      </c>
      <c r="D1270" s="9">
        <v>18.199388888892585</v>
      </c>
      <c r="E1270" s="1">
        <v>2.7852999999999999</v>
      </c>
      <c r="F1270" s="1">
        <v>8.6073599999999999</v>
      </c>
      <c r="G1270" s="1">
        <v>13.817299999999999</v>
      </c>
      <c r="H1270" s="1">
        <v>-5.8968800000000003</v>
      </c>
    </row>
    <row r="1271" spans="1:8" x14ac:dyDescent="0.3">
      <c r="A1271" t="e">
        <f t="shared" si="50"/>
        <v>#REF!</v>
      </c>
      <c r="B1271">
        <v>2167</v>
      </c>
      <c r="C1271" s="1">
        <v>19.18</v>
      </c>
      <c r="D1271" s="9">
        <v>18.246611111114895</v>
      </c>
      <c r="E1271" s="1">
        <v>2.6755599999999999</v>
      </c>
      <c r="F1271" s="1">
        <v>8.4662600000000001</v>
      </c>
      <c r="G1271" s="1">
        <v>14.0182</v>
      </c>
      <c r="H1271" s="1">
        <v>-6.3488499999999997</v>
      </c>
    </row>
    <row r="1272" spans="1:8" x14ac:dyDescent="0.3">
      <c r="A1272" t="e">
        <f t="shared" si="50"/>
        <v>#REF!</v>
      </c>
      <c r="B1272">
        <v>2217</v>
      </c>
      <c r="C1272" s="1">
        <v>19.196583023604671</v>
      </c>
      <c r="D1272" s="9">
        <v>18.293833333337204</v>
      </c>
      <c r="E1272" s="1">
        <v>2.6777700000000002</v>
      </c>
      <c r="F1272" s="1">
        <v>8.5090699999999995</v>
      </c>
      <c r="G1272" s="1">
        <v>14.078200000000001</v>
      </c>
      <c r="H1272" s="1">
        <v>-6.2573800000000004</v>
      </c>
    </row>
    <row r="1273" spans="1:8" x14ac:dyDescent="0.3">
      <c r="A1273" t="e">
        <f t="shared" si="50"/>
        <v>#REF!</v>
      </c>
      <c r="B1273">
        <v>2267</v>
      </c>
      <c r="C1273" s="1">
        <v>19.40553728236943</v>
      </c>
      <c r="D1273" s="9">
        <v>18.341055555559514</v>
      </c>
      <c r="E1273" s="1">
        <v>2.8214700000000001</v>
      </c>
      <c r="F1273" s="1">
        <v>8.6706099999999999</v>
      </c>
      <c r="G1273" s="1">
        <v>13.9526</v>
      </c>
      <c r="H1273" s="1">
        <v>-5.62636</v>
      </c>
    </row>
    <row r="1274" spans="1:8" x14ac:dyDescent="0.3">
      <c r="A1274">
        <f t="shared" si="50"/>
        <v>10</v>
      </c>
      <c r="B1274">
        <v>2317</v>
      </c>
      <c r="C1274" s="1">
        <v>19.697375817735331</v>
      </c>
      <c r="D1274" s="9">
        <v>18.388277777781823</v>
      </c>
      <c r="E1274" s="1">
        <v>2.9027099999999999</v>
      </c>
      <c r="F1274" s="1">
        <v>8.6829699999999992</v>
      </c>
      <c r="G1274" s="1">
        <v>13.852600000000001</v>
      </c>
      <c r="H1274" s="1">
        <v>-4.7107000000000001</v>
      </c>
    </row>
    <row r="1275" spans="1:8" x14ac:dyDescent="0.3">
      <c r="A1275" t="e">
        <f t="shared" si="50"/>
        <v>#REF!</v>
      </c>
      <c r="B1275">
        <v>2367</v>
      </c>
      <c r="C1275" s="1">
        <v>20.11711424746181</v>
      </c>
      <c r="D1275" s="9">
        <v>18.435500000004133</v>
      </c>
      <c r="E1275" s="1">
        <v>2.8561899999999998</v>
      </c>
      <c r="F1275" s="1">
        <v>8.4442500000000003</v>
      </c>
      <c r="G1275" s="1">
        <v>13.8446</v>
      </c>
      <c r="H1275" s="1">
        <v>-3.68763</v>
      </c>
    </row>
    <row r="1276" spans="1:8" x14ac:dyDescent="0.3">
      <c r="A1276">
        <f t="shared" si="50"/>
        <v>1</v>
      </c>
      <c r="B1276">
        <v>2417</v>
      </c>
      <c r="C1276" s="1">
        <v>20.652630344188939</v>
      </c>
      <c r="D1276" s="9">
        <v>18.482722222226442</v>
      </c>
      <c r="E1276" s="1">
        <v>2.8314499999999998</v>
      </c>
      <c r="F1276" s="1">
        <v>8.10745</v>
      </c>
      <c r="G1276" s="1">
        <v>13.7698</v>
      </c>
      <c r="H1276" s="1">
        <v>-2.5996800000000002</v>
      </c>
    </row>
    <row r="1277" spans="1:8" x14ac:dyDescent="0.3">
      <c r="A1277" t="e">
        <f t="shared" si="50"/>
        <v>#REF!</v>
      </c>
      <c r="B1277">
        <v>2467</v>
      </c>
      <c r="C1277" s="1">
        <v>21.229583261778028</v>
      </c>
      <c r="D1277" s="9">
        <v>18.529944444448752</v>
      </c>
      <c r="E1277" s="1">
        <v>2.8113899999999998</v>
      </c>
      <c r="F1277" s="1">
        <v>7.8579800000000004</v>
      </c>
      <c r="G1277" s="1">
        <v>13.633800000000001</v>
      </c>
      <c r="H1277" s="1">
        <v>-1.4590000000000001</v>
      </c>
    </row>
    <row r="1278" spans="1:8" x14ac:dyDescent="0.3">
      <c r="A1278">
        <f t="shared" si="50"/>
        <v>17</v>
      </c>
      <c r="B1278">
        <v>2517</v>
      </c>
      <c r="C1278" s="1">
        <v>21.737974370444451</v>
      </c>
      <c r="D1278" s="9">
        <v>18.577166666671062</v>
      </c>
      <c r="E1278" s="1">
        <v>2.5284300000000002</v>
      </c>
      <c r="F1278" s="1">
        <v>7.8948099999999997</v>
      </c>
      <c r="G1278" s="1">
        <v>13.690099999999999</v>
      </c>
      <c r="H1278" s="1">
        <v>-0.250135</v>
      </c>
    </row>
    <row r="1279" spans="1:8" x14ac:dyDescent="0.3">
      <c r="A1279" t="e">
        <f t="shared" si="50"/>
        <v>#REF!</v>
      </c>
      <c r="B1279">
        <v>2567</v>
      </c>
      <c r="C1279" s="1">
        <v>22.19256393435208</v>
      </c>
      <c r="D1279" s="9">
        <v>18.624388888893371</v>
      </c>
      <c r="E1279" s="1">
        <v>1.9146099999999999</v>
      </c>
      <c r="F1279" s="1">
        <v>8.1834699999999998</v>
      </c>
      <c r="G1279" s="1">
        <v>13.989699999999999</v>
      </c>
      <c r="H1279" s="1">
        <v>1.0107900000000001</v>
      </c>
    </row>
    <row r="1280" spans="1:8" x14ac:dyDescent="0.3">
      <c r="A1280">
        <f t="shared" si="50"/>
        <v>8</v>
      </c>
      <c r="B1280">
        <v>2617</v>
      </c>
      <c r="C1280" s="1">
        <v>22.521031118472571</v>
      </c>
      <c r="D1280" s="9">
        <v>18.671611111115681</v>
      </c>
      <c r="E1280" s="1">
        <v>1.2065300000000001</v>
      </c>
      <c r="F1280" s="1">
        <v>8.3665299999999991</v>
      </c>
      <c r="G1280" s="1">
        <v>14.2781</v>
      </c>
      <c r="H1280" s="1">
        <v>2.2608700000000002</v>
      </c>
    </row>
    <row r="1281" spans="1:8" x14ac:dyDescent="0.3">
      <c r="A1281" t="e">
        <f t="shared" si="50"/>
        <v>#REF!</v>
      </c>
      <c r="B1281">
        <v>2667</v>
      </c>
      <c r="C1281" s="1">
        <v>22.907466855814459</v>
      </c>
      <c r="D1281" s="9">
        <v>18.71883333333799</v>
      </c>
      <c r="E1281" s="1">
        <v>0.68824799999999997</v>
      </c>
      <c r="F1281" s="1">
        <v>8.2663499999999992</v>
      </c>
      <c r="G1281" s="1">
        <v>14.3491</v>
      </c>
      <c r="H1281" s="1">
        <v>3.4231400000000001</v>
      </c>
    </row>
    <row r="1282" spans="1:8" x14ac:dyDescent="0.3">
      <c r="A1282" t="e">
        <f t="shared" si="50"/>
        <v>#REF!</v>
      </c>
      <c r="B1282">
        <v>2717</v>
      </c>
      <c r="C1282" s="1">
        <v>23.36178062423134</v>
      </c>
      <c r="D1282" s="9">
        <v>18.7660555555603</v>
      </c>
      <c r="E1282" s="1">
        <v>0.67269999999999996</v>
      </c>
      <c r="F1282" s="1">
        <v>7.9915200000000004</v>
      </c>
      <c r="G1282" s="1">
        <v>14.0985</v>
      </c>
      <c r="H1282" s="1">
        <v>4.4064100000000002</v>
      </c>
    </row>
    <row r="1283" spans="1:8" x14ac:dyDescent="0.3">
      <c r="A1283" t="e">
        <f t="shared" si="50"/>
        <v>#REF!</v>
      </c>
      <c r="B1283">
        <v>2767</v>
      </c>
      <c r="C1283" s="1">
        <v>23.814145999174489</v>
      </c>
      <c r="D1283" s="9">
        <v>18.813277777782609</v>
      </c>
      <c r="E1283" s="1">
        <v>1.21905</v>
      </c>
      <c r="F1283" s="1">
        <v>7.7846799999999998</v>
      </c>
      <c r="G1283" s="1">
        <v>13.607900000000001</v>
      </c>
      <c r="H1283" s="1">
        <v>5.1390500000000001</v>
      </c>
    </row>
    <row r="1284" spans="1:8" x14ac:dyDescent="0.3">
      <c r="A1284">
        <f t="shared" si="50"/>
        <v>15</v>
      </c>
      <c r="B1284">
        <v>2817</v>
      </c>
      <c r="C1284" s="1">
        <v>24.07846777433198</v>
      </c>
      <c r="D1284" s="9">
        <v>18.860500000004919</v>
      </c>
      <c r="E1284" s="1">
        <v>2.0324300000000002</v>
      </c>
      <c r="F1284" s="1">
        <v>8.0396800000000006</v>
      </c>
      <c r="G1284" s="1">
        <v>13.2034</v>
      </c>
      <c r="H1284" s="1">
        <v>5.5802399999999999</v>
      </c>
    </row>
    <row r="1285" spans="1:8" x14ac:dyDescent="0.3">
      <c r="A1285" t="e">
        <f t="shared" si="50"/>
        <v>#REF!</v>
      </c>
      <c r="B1285">
        <v>2867</v>
      </c>
      <c r="C1285" s="1">
        <v>24.27461023936225</v>
      </c>
      <c r="D1285" s="9">
        <v>18.907722222227228</v>
      </c>
      <c r="E1285" s="1">
        <v>2.7988200000000001</v>
      </c>
      <c r="F1285" s="1">
        <v>8.9050499999999992</v>
      </c>
      <c r="G1285" s="1">
        <v>13.1625</v>
      </c>
      <c r="H1285" s="1">
        <v>5.8070899999999996</v>
      </c>
    </row>
    <row r="1286" spans="1:8" x14ac:dyDescent="0.3">
      <c r="A1286">
        <f t="shared" si="50"/>
        <v>6</v>
      </c>
      <c r="B1286">
        <v>2917</v>
      </c>
      <c r="C1286" s="1">
        <v>24.22</v>
      </c>
      <c r="D1286" s="9">
        <v>18.954944444449538</v>
      </c>
      <c r="E1286" s="1">
        <v>3.2204000000000002</v>
      </c>
      <c r="F1286" s="1">
        <v>10.1731</v>
      </c>
      <c r="G1286" s="1">
        <v>13.666399999999999</v>
      </c>
      <c r="H1286" s="1">
        <v>6.05138</v>
      </c>
    </row>
    <row r="1287" spans="1:8" x14ac:dyDescent="0.3">
      <c r="A1287" t="e">
        <f t="shared" si="50"/>
        <v>#REF!</v>
      </c>
      <c r="B1287">
        <v>2967</v>
      </c>
      <c r="C1287" s="1">
        <v>24.08</v>
      </c>
      <c r="D1287" s="9">
        <v>19.002166666671847</v>
      </c>
      <c r="E1287" s="1">
        <v>3.31351</v>
      </c>
      <c r="F1287" s="1">
        <v>11.553100000000001</v>
      </c>
      <c r="G1287" s="1">
        <v>14.6897</v>
      </c>
      <c r="H1287" s="1">
        <v>6.39811</v>
      </c>
    </row>
    <row r="1288" spans="1:8" x14ac:dyDescent="0.3">
      <c r="A1288" t="e">
        <f t="shared" si="50"/>
        <v>#REF!</v>
      </c>
      <c r="B1288">
        <v>3017</v>
      </c>
      <c r="C1288" s="1">
        <v>23.98</v>
      </c>
      <c r="D1288" s="9">
        <v>19.049388888894157</v>
      </c>
      <c r="E1288" s="1">
        <v>3.5205899999999999</v>
      </c>
      <c r="F1288" s="1">
        <v>12.677099999999999</v>
      </c>
      <c r="G1288" s="1">
        <v>15.932600000000001</v>
      </c>
      <c r="H1288" s="1">
        <v>6.7199400000000002</v>
      </c>
    </row>
    <row r="1289" spans="1:8" x14ac:dyDescent="0.3">
      <c r="A1289" t="e">
        <f t="shared" si="50"/>
        <v>#REF!</v>
      </c>
      <c r="B1289">
        <v>3067</v>
      </c>
      <c r="C1289" s="1">
        <v>23.81105528027917</v>
      </c>
      <c r="D1289" s="9">
        <v>19.096611111116466</v>
      </c>
      <c r="E1289" s="1">
        <v>4.09795</v>
      </c>
      <c r="F1289" s="1">
        <v>13.248100000000001</v>
      </c>
      <c r="G1289" s="1">
        <v>17.069400000000002</v>
      </c>
      <c r="H1289" s="1">
        <v>7.01546</v>
      </c>
    </row>
    <row r="1290" spans="1:8" x14ac:dyDescent="0.3">
      <c r="A1290">
        <f t="shared" si="50"/>
        <v>13</v>
      </c>
      <c r="B1290">
        <v>3117</v>
      </c>
      <c r="C1290" s="1">
        <v>23.415903706327182</v>
      </c>
      <c r="D1290" s="9">
        <v>19.143833333338776</v>
      </c>
      <c r="E1290" s="1">
        <v>4.9976500000000001</v>
      </c>
      <c r="F1290" s="1">
        <v>13.093999999999999</v>
      </c>
      <c r="G1290" s="1">
        <v>17.7807</v>
      </c>
      <c r="H1290" s="1">
        <v>7.4693100000000001</v>
      </c>
    </row>
    <row r="1291" spans="1:8" x14ac:dyDescent="0.3">
      <c r="A1291" t="e">
        <f t="shared" si="50"/>
        <v>#REF!</v>
      </c>
      <c r="B1291">
        <v>3167</v>
      </c>
      <c r="C1291" s="1">
        <v>23.02390564126215</v>
      </c>
      <c r="D1291" s="9">
        <v>19.191055555561086</v>
      </c>
      <c r="E1291" s="1">
        <v>6.0740299999999996</v>
      </c>
      <c r="F1291" s="1">
        <v>12.287699999999999</v>
      </c>
      <c r="G1291" s="1">
        <v>17.953199999999999</v>
      </c>
      <c r="H1291" s="1">
        <v>8.1895399999999992</v>
      </c>
    </row>
    <row r="1292" spans="1:8" x14ac:dyDescent="0.3">
      <c r="A1292">
        <f t="shared" si="50"/>
        <v>4</v>
      </c>
      <c r="B1292">
        <v>3217</v>
      </c>
      <c r="C1292" s="1">
        <v>22.663420331267719</v>
      </c>
      <c r="D1292" s="9">
        <v>19.238277777783395</v>
      </c>
      <c r="E1292" s="1">
        <v>7.0965800000000003</v>
      </c>
      <c r="F1292" s="1">
        <v>11.187799999999999</v>
      </c>
      <c r="G1292" s="1">
        <v>17.7302</v>
      </c>
      <c r="H1292" s="1">
        <v>9.1696399999999993</v>
      </c>
    </row>
    <row r="1293" spans="1:8" x14ac:dyDescent="0.3">
      <c r="A1293" t="e">
        <f t="shared" ref="A1293:A1299" si="51">A1243</f>
        <v>#REF!</v>
      </c>
      <c r="B1293">
        <v>3267</v>
      </c>
      <c r="C1293" s="1">
        <v>22.27696355331436</v>
      </c>
      <c r="D1293" s="9">
        <v>19.285500000005705</v>
      </c>
      <c r="E1293" s="1">
        <v>7.99735</v>
      </c>
      <c r="F1293" s="1">
        <v>10.1502</v>
      </c>
      <c r="G1293" s="1">
        <v>17.306999999999999</v>
      </c>
      <c r="H1293" s="1">
        <v>10.3626</v>
      </c>
    </row>
    <row r="1294" spans="1:8" x14ac:dyDescent="0.3">
      <c r="A1294" t="e">
        <f t="shared" si="51"/>
        <v>#REF!</v>
      </c>
      <c r="B1294">
        <v>3317</v>
      </c>
      <c r="C1294" s="1">
        <v>21.899382406815739</v>
      </c>
      <c r="D1294" s="9">
        <v>19.332722222228014</v>
      </c>
      <c r="E1294" s="1">
        <v>9.0674200000000003</v>
      </c>
      <c r="F1294" s="1">
        <v>9.8479399999999995</v>
      </c>
      <c r="G1294" s="1">
        <v>17.041699999999999</v>
      </c>
      <c r="H1294" s="1">
        <v>11.710599999999999</v>
      </c>
    </row>
    <row r="1295" spans="1:8" x14ac:dyDescent="0.3">
      <c r="A1295" t="e">
        <f t="shared" si="51"/>
        <v>#REF!</v>
      </c>
      <c r="B1295">
        <v>3367</v>
      </c>
      <c r="C1295" s="1">
        <v>21.583426259182499</v>
      </c>
      <c r="D1295" s="9">
        <v>19.379944444450324</v>
      </c>
      <c r="E1295" s="1">
        <v>10.664099999999999</v>
      </c>
      <c r="F1295" s="1">
        <v>11.0189</v>
      </c>
      <c r="G1295" s="1">
        <v>17.211300000000001</v>
      </c>
      <c r="H1295" s="1">
        <v>13.148099999999999</v>
      </c>
    </row>
    <row r="1296" spans="1:8" x14ac:dyDescent="0.3">
      <c r="A1296">
        <f t="shared" si="51"/>
        <v>11</v>
      </c>
      <c r="B1296">
        <v>3417</v>
      </c>
      <c r="C1296" s="1">
        <v>21.249446703767109</v>
      </c>
      <c r="D1296" s="9">
        <v>19.427166666672633</v>
      </c>
      <c r="E1296" s="1">
        <v>12.4727</v>
      </c>
      <c r="F1296" s="1">
        <v>12.643800000000001</v>
      </c>
      <c r="G1296" s="1">
        <v>17.529599999999999</v>
      </c>
      <c r="H1296" s="1">
        <v>14.5611</v>
      </c>
    </row>
    <row r="1297" spans="1:8" x14ac:dyDescent="0.3">
      <c r="A1297" t="e">
        <f t="shared" si="51"/>
        <v>#REF!</v>
      </c>
      <c r="B1297">
        <v>3467</v>
      </c>
      <c r="C1297" s="1">
        <v>20.755892410238591</v>
      </c>
      <c r="D1297" s="9">
        <v>19.474388888894943</v>
      </c>
      <c r="E1297" s="1">
        <v>14.372400000000001</v>
      </c>
      <c r="F1297" s="1">
        <v>14.4518</v>
      </c>
      <c r="G1297" s="1">
        <v>17.979099999999999</v>
      </c>
      <c r="H1297" s="1">
        <v>15.9534</v>
      </c>
    </row>
    <row r="1298" spans="1:8" x14ac:dyDescent="0.3">
      <c r="A1298">
        <f t="shared" si="51"/>
        <v>2</v>
      </c>
      <c r="B1298">
        <v>3517</v>
      </c>
      <c r="C1298" s="1">
        <v>20.293851590384719</v>
      </c>
      <c r="D1298" s="9">
        <v>19.521611111117252</v>
      </c>
      <c r="E1298" s="1">
        <v>16.318200000000001</v>
      </c>
      <c r="F1298" s="1">
        <v>16.350100000000001</v>
      </c>
      <c r="G1298" s="1">
        <v>18.5288</v>
      </c>
      <c r="H1298" s="1">
        <v>17.331800000000001</v>
      </c>
    </row>
    <row r="1299" spans="1:8" x14ac:dyDescent="0.3">
      <c r="A1299" t="e">
        <f t="shared" si="51"/>
        <v>#REF!</v>
      </c>
      <c r="B1299">
        <v>3567</v>
      </c>
      <c r="C1299" s="1">
        <v>19.891242498687969</v>
      </c>
      <c r="D1299" s="9">
        <v>19.568833333339562</v>
      </c>
      <c r="E1299" s="1">
        <v>18.2897</v>
      </c>
      <c r="F1299" s="1">
        <v>18.297699999999999</v>
      </c>
      <c r="G1299" s="1">
        <v>19.154199999999999</v>
      </c>
      <c r="H1299" s="1">
        <v>18.700600000000001</v>
      </c>
    </row>
    <row r="1300" spans="1:8" x14ac:dyDescent="0.3">
      <c r="A1300">
        <v>18</v>
      </c>
      <c r="B1300">
        <v>18</v>
      </c>
      <c r="C1300" s="1">
        <v>16.18</v>
      </c>
      <c r="D1300" s="9">
        <v>16.217000000000031</v>
      </c>
      <c r="E1300" s="1">
        <v>15.5322</v>
      </c>
      <c r="F1300" s="1">
        <v>15.4876</v>
      </c>
      <c r="G1300" s="1">
        <v>15.9795</v>
      </c>
      <c r="H1300" s="1">
        <v>15.529199999999999</v>
      </c>
    </row>
    <row r="1301" spans="1:8" x14ac:dyDescent="0.3">
      <c r="A1301" t="e">
        <f t="shared" ref="A1301:A1332" si="52">A1251</f>
        <v>#REF!</v>
      </c>
      <c r="B1301">
        <v>68</v>
      </c>
      <c r="C1301" s="1">
        <v>16.164635769220759</v>
      </c>
      <c r="D1301" s="9">
        <v>16.26422222222234</v>
      </c>
      <c r="E1301" s="1">
        <v>13.6921</v>
      </c>
      <c r="F1301" s="1">
        <v>13.526899999999999</v>
      </c>
      <c r="G1301" s="1">
        <v>15.403499999999999</v>
      </c>
      <c r="H1301" s="1">
        <v>13.659800000000001</v>
      </c>
    </row>
    <row r="1302" spans="1:8" x14ac:dyDescent="0.3">
      <c r="A1302">
        <f t="shared" si="52"/>
        <v>9</v>
      </c>
      <c r="B1302">
        <v>118</v>
      </c>
      <c r="C1302" s="1">
        <v>16.280995377391239</v>
      </c>
      <c r="D1302" s="9">
        <v>16.31144444444465</v>
      </c>
      <c r="E1302" s="1">
        <v>11.880800000000001</v>
      </c>
      <c r="F1302" s="1">
        <v>11.606199999999999</v>
      </c>
      <c r="G1302" s="1">
        <v>14.8908</v>
      </c>
      <c r="H1302" s="1">
        <v>11.780799999999999</v>
      </c>
    </row>
    <row r="1303" spans="1:8" x14ac:dyDescent="0.3">
      <c r="A1303">
        <f t="shared" si="52"/>
        <v>0</v>
      </c>
      <c r="B1303">
        <v>168</v>
      </c>
      <c r="C1303" s="1">
        <v>16.47548884641801</v>
      </c>
      <c r="D1303" s="9">
        <v>16.358666666666959</v>
      </c>
      <c r="E1303" s="1">
        <v>10.112399999999999</v>
      </c>
      <c r="F1303" s="1">
        <v>9.7558699999999998</v>
      </c>
      <c r="G1303" s="1">
        <v>14.457700000000001</v>
      </c>
      <c r="H1303" s="1">
        <v>9.8915199999999999</v>
      </c>
    </row>
    <row r="1304" spans="1:8" x14ac:dyDescent="0.3">
      <c r="A1304" t="e">
        <f t="shared" si="52"/>
        <v>#REF!</v>
      </c>
      <c r="B1304">
        <v>218</v>
      </c>
      <c r="C1304" s="1">
        <v>16.845286843260649</v>
      </c>
      <c r="D1304" s="9">
        <v>16.405888888889269</v>
      </c>
      <c r="E1304" s="1">
        <v>8.4129699999999996</v>
      </c>
      <c r="F1304" s="1">
        <v>8.04223</v>
      </c>
      <c r="G1304" s="1">
        <v>14.1212</v>
      </c>
      <c r="H1304" s="1">
        <v>7.9949300000000001</v>
      </c>
    </row>
    <row r="1305" spans="1:8" x14ac:dyDescent="0.3">
      <c r="A1305" t="e">
        <f t="shared" si="52"/>
        <v>#REF!</v>
      </c>
      <c r="B1305">
        <v>268</v>
      </c>
      <c r="C1305" s="1">
        <v>16.97</v>
      </c>
      <c r="D1305" s="9">
        <v>16.453111111111578</v>
      </c>
      <c r="E1305" s="1">
        <v>6.8336499999999996</v>
      </c>
      <c r="F1305" s="1">
        <v>6.6270699999999998</v>
      </c>
      <c r="G1305" s="1">
        <v>13.8695</v>
      </c>
      <c r="H1305" s="1">
        <v>6.1108500000000001</v>
      </c>
    </row>
    <row r="1306" spans="1:8" x14ac:dyDescent="0.3">
      <c r="A1306">
        <f t="shared" si="52"/>
        <v>16</v>
      </c>
      <c r="B1306">
        <v>318</v>
      </c>
      <c r="C1306" s="1">
        <v>17.15673331508054</v>
      </c>
      <c r="D1306" s="9">
        <v>16.500333333333888</v>
      </c>
      <c r="E1306" s="1">
        <v>5.6526100000000001</v>
      </c>
      <c r="F1306" s="1">
        <v>6.2127100000000004</v>
      </c>
      <c r="G1306" s="1">
        <v>13.8552</v>
      </c>
      <c r="H1306" s="1">
        <v>4.5642500000000004</v>
      </c>
    </row>
    <row r="1307" spans="1:8" x14ac:dyDescent="0.3">
      <c r="A1307" t="e">
        <f t="shared" si="52"/>
        <v>#REF!</v>
      </c>
      <c r="B1307">
        <v>368</v>
      </c>
      <c r="C1307" s="1">
        <v>17.376259815143261</v>
      </c>
      <c r="D1307" s="9">
        <v>16.547555555556198</v>
      </c>
      <c r="E1307" s="1">
        <v>4.8845700000000001</v>
      </c>
      <c r="F1307" s="1">
        <v>6.5209400000000004</v>
      </c>
      <c r="G1307" s="1">
        <v>14.04</v>
      </c>
      <c r="H1307" s="1">
        <v>3.4900899999999999</v>
      </c>
    </row>
    <row r="1308" spans="1:8" x14ac:dyDescent="0.3">
      <c r="A1308">
        <f t="shared" si="52"/>
        <v>7</v>
      </c>
      <c r="B1308">
        <v>418</v>
      </c>
      <c r="C1308" s="1">
        <v>17.552826800771481</v>
      </c>
      <c r="D1308" s="9">
        <v>16.594777777778507</v>
      </c>
      <c r="E1308" s="1">
        <v>4.3772000000000002</v>
      </c>
      <c r="F1308" s="1">
        <v>6.7372199999999998</v>
      </c>
      <c r="G1308" s="1">
        <v>14.0298</v>
      </c>
      <c r="H1308" s="1">
        <v>2.7785099999999998</v>
      </c>
    </row>
    <row r="1309" spans="1:8" x14ac:dyDescent="0.3">
      <c r="A1309" t="e">
        <f t="shared" si="52"/>
        <v>#REF!</v>
      </c>
      <c r="B1309">
        <v>468</v>
      </c>
      <c r="C1309" s="1">
        <v>17.86</v>
      </c>
      <c r="D1309" s="9">
        <v>16.642000000000817</v>
      </c>
      <c r="E1309" s="1">
        <v>3.9981399999999998</v>
      </c>
      <c r="F1309" s="1">
        <v>6.5962100000000001</v>
      </c>
      <c r="G1309" s="1">
        <v>13.7583</v>
      </c>
      <c r="H1309" s="1">
        <v>2.3217400000000001</v>
      </c>
    </row>
    <row r="1310" spans="1:8" x14ac:dyDescent="0.3">
      <c r="A1310" t="e">
        <f t="shared" si="52"/>
        <v>#REF!</v>
      </c>
      <c r="B1310">
        <v>518</v>
      </c>
      <c r="C1310" s="1">
        <v>18.031781887846609</v>
      </c>
      <c r="D1310" s="9">
        <v>16.689222222223126</v>
      </c>
      <c r="E1310" s="1">
        <v>3.4326599999999998</v>
      </c>
      <c r="F1310" s="1">
        <v>6.0388299999999999</v>
      </c>
      <c r="G1310" s="1">
        <v>13.4124</v>
      </c>
      <c r="H1310" s="1">
        <v>1.7944899999999999</v>
      </c>
    </row>
    <row r="1311" spans="1:8" x14ac:dyDescent="0.3">
      <c r="A1311" t="e">
        <f t="shared" si="52"/>
        <v>#REF!</v>
      </c>
      <c r="B1311">
        <v>568</v>
      </c>
      <c r="C1311" s="1">
        <v>18.234898027616801</v>
      </c>
      <c r="D1311" s="9">
        <v>16.736444444445436</v>
      </c>
      <c r="E1311" s="1">
        <v>2.57551</v>
      </c>
      <c r="F1311" s="1">
        <v>5.1279599999999999</v>
      </c>
      <c r="G1311" s="1">
        <v>13.081899999999999</v>
      </c>
      <c r="H1311" s="1">
        <v>1.07572</v>
      </c>
    </row>
    <row r="1312" spans="1:8" x14ac:dyDescent="0.3">
      <c r="A1312">
        <f t="shared" si="52"/>
        <v>14</v>
      </c>
      <c r="B1312">
        <v>618</v>
      </c>
      <c r="C1312" s="1">
        <v>18.440000000000001</v>
      </c>
      <c r="D1312" s="9">
        <v>16.783666666667745</v>
      </c>
      <c r="E1312" s="1">
        <v>1.6650100000000001</v>
      </c>
      <c r="F1312" s="1">
        <v>4.09321</v>
      </c>
      <c r="G1312" s="1">
        <v>12.6852</v>
      </c>
      <c r="H1312" s="1">
        <v>0.38363599999999998</v>
      </c>
    </row>
    <row r="1313" spans="1:8" x14ac:dyDescent="0.3">
      <c r="A1313" t="e">
        <f t="shared" si="52"/>
        <v>#REF!</v>
      </c>
      <c r="B1313">
        <v>668</v>
      </c>
      <c r="C1313" s="1">
        <v>18.529805912438061</v>
      </c>
      <c r="D1313" s="9">
        <v>16.830888888890055</v>
      </c>
      <c r="E1313" s="1">
        <v>0.95129900000000001</v>
      </c>
      <c r="F1313" s="1">
        <v>3.1669999999999998</v>
      </c>
      <c r="G1313" s="1">
        <v>12.276999999999999</v>
      </c>
      <c r="H1313" s="1">
        <v>-1.28754E-2</v>
      </c>
    </row>
    <row r="1314" spans="1:8" x14ac:dyDescent="0.3">
      <c r="A1314">
        <f t="shared" si="52"/>
        <v>5</v>
      </c>
      <c r="B1314">
        <v>718</v>
      </c>
      <c r="C1314" s="1">
        <v>18.714729720266121</v>
      </c>
      <c r="D1314" s="9">
        <v>16.878111111112364</v>
      </c>
      <c r="E1314" s="1">
        <v>0.64929199999999998</v>
      </c>
      <c r="F1314" s="1">
        <v>2.5515500000000002</v>
      </c>
      <c r="G1314" s="1">
        <v>12.1221</v>
      </c>
      <c r="H1314" s="1">
        <v>0.17688200000000001</v>
      </c>
    </row>
    <row r="1315" spans="1:8" x14ac:dyDescent="0.3">
      <c r="A1315" t="e">
        <f t="shared" si="52"/>
        <v>#REF!</v>
      </c>
      <c r="B1315">
        <v>768</v>
      </c>
      <c r="C1315" s="1">
        <v>18.831112963013918</v>
      </c>
      <c r="D1315" s="9">
        <v>16.925333333334674</v>
      </c>
      <c r="E1315" s="1">
        <v>0.77046300000000001</v>
      </c>
      <c r="F1315" s="1">
        <v>2.2469000000000001</v>
      </c>
      <c r="G1315" s="1">
        <v>12.329700000000001</v>
      </c>
      <c r="H1315" s="1">
        <v>0.98020399999999996</v>
      </c>
    </row>
    <row r="1316" spans="1:8" x14ac:dyDescent="0.3">
      <c r="A1316" t="e">
        <f t="shared" si="52"/>
        <v>#REF!</v>
      </c>
      <c r="B1316">
        <v>818</v>
      </c>
      <c r="C1316" s="1">
        <v>19.27691946053757</v>
      </c>
      <c r="D1316" s="9">
        <v>16.972555555556983</v>
      </c>
      <c r="E1316" s="1">
        <v>1.0486</v>
      </c>
      <c r="F1316" s="1">
        <v>1.97889</v>
      </c>
      <c r="G1316" s="1">
        <v>12.766</v>
      </c>
      <c r="H1316" s="1">
        <v>2.05396</v>
      </c>
    </row>
    <row r="1317" spans="1:8" x14ac:dyDescent="0.3">
      <c r="A1317" t="e">
        <f t="shared" si="52"/>
        <v>#REF!</v>
      </c>
      <c r="B1317">
        <v>868</v>
      </c>
      <c r="C1317" s="1">
        <v>19.49837744444536</v>
      </c>
      <c r="D1317" s="9">
        <v>17.019777777779293</v>
      </c>
      <c r="E1317" s="1">
        <v>1.34127</v>
      </c>
      <c r="F1317" s="1">
        <v>1.6939</v>
      </c>
      <c r="G1317" s="1">
        <v>13.2065</v>
      </c>
      <c r="H1317" s="1">
        <v>3.0217000000000001</v>
      </c>
    </row>
    <row r="1318" spans="1:8" x14ac:dyDescent="0.3">
      <c r="A1318">
        <f t="shared" si="52"/>
        <v>12</v>
      </c>
      <c r="B1318">
        <v>918</v>
      </c>
      <c r="C1318" s="1">
        <v>19.78386566503135</v>
      </c>
      <c r="D1318" s="9">
        <v>17.067000000001602</v>
      </c>
      <c r="E1318" s="1">
        <v>1.7050799999999999</v>
      </c>
      <c r="F1318" s="1">
        <v>1.67012</v>
      </c>
      <c r="G1318" s="1">
        <v>13.3294</v>
      </c>
      <c r="H1318" s="1">
        <v>3.5045799999999998</v>
      </c>
    </row>
    <row r="1319" spans="1:8" x14ac:dyDescent="0.3">
      <c r="A1319" t="e">
        <f t="shared" si="52"/>
        <v>#REF!</v>
      </c>
      <c r="B1319">
        <v>968</v>
      </c>
      <c r="C1319" s="1">
        <v>20.109639139952471</v>
      </c>
      <c r="D1319" s="9">
        <v>17.114222222223912</v>
      </c>
      <c r="E1319" s="1">
        <v>2.0966200000000002</v>
      </c>
      <c r="F1319" s="1">
        <v>2.02393</v>
      </c>
      <c r="G1319" s="1">
        <v>13.0784</v>
      </c>
      <c r="H1319" s="1">
        <v>3.3976500000000001</v>
      </c>
    </row>
    <row r="1320" spans="1:8" x14ac:dyDescent="0.3">
      <c r="A1320">
        <f t="shared" si="52"/>
        <v>3</v>
      </c>
      <c r="B1320">
        <v>1018</v>
      </c>
      <c r="C1320" s="1">
        <v>20.52248343758097</v>
      </c>
      <c r="D1320" s="9">
        <v>17.161444444446222</v>
      </c>
      <c r="E1320" s="1">
        <v>2.3162400000000001</v>
      </c>
      <c r="F1320" s="1">
        <v>2.61049</v>
      </c>
      <c r="G1320" s="1">
        <v>12.7745</v>
      </c>
      <c r="H1320" s="1">
        <v>2.9774099999999999</v>
      </c>
    </row>
    <row r="1321" spans="1:8" x14ac:dyDescent="0.3">
      <c r="A1321" t="e">
        <f t="shared" si="52"/>
        <v>#REF!</v>
      </c>
      <c r="B1321">
        <v>1068</v>
      </c>
      <c r="C1321" s="1">
        <v>20.97103783938984</v>
      </c>
      <c r="D1321" s="9">
        <v>17.208666666668531</v>
      </c>
      <c r="E1321" s="1">
        <v>2.32335</v>
      </c>
      <c r="F1321" s="1">
        <v>3.1924299999999999</v>
      </c>
      <c r="G1321" s="1">
        <v>12.646800000000001</v>
      </c>
      <c r="H1321" s="1">
        <v>2.5939700000000001</v>
      </c>
    </row>
    <row r="1322" spans="1:8" x14ac:dyDescent="0.3">
      <c r="A1322" t="e">
        <f t="shared" si="52"/>
        <v>#REF!</v>
      </c>
      <c r="B1322">
        <v>1118</v>
      </c>
      <c r="C1322" s="1">
        <v>21.358097090343978</v>
      </c>
      <c r="D1322" s="9">
        <v>17.255888888890841</v>
      </c>
      <c r="E1322" s="1">
        <v>2.3108499999999998</v>
      </c>
      <c r="F1322" s="1">
        <v>3.4373999999999998</v>
      </c>
      <c r="G1322" s="1">
        <v>12.7538</v>
      </c>
      <c r="H1322" s="1">
        <v>2.6536900000000001</v>
      </c>
    </row>
    <row r="1323" spans="1:8" x14ac:dyDescent="0.3">
      <c r="A1323" t="e">
        <f t="shared" si="52"/>
        <v>#REF!</v>
      </c>
      <c r="B1323">
        <v>1168</v>
      </c>
      <c r="C1323" s="1">
        <v>21.64716050135975</v>
      </c>
      <c r="D1323" s="9">
        <v>17.30311111111315</v>
      </c>
      <c r="E1323" s="1">
        <v>2.3197700000000001</v>
      </c>
      <c r="F1323" s="1">
        <v>3.2990300000000001</v>
      </c>
      <c r="G1323" s="1">
        <v>13.0062</v>
      </c>
      <c r="H1323" s="1">
        <v>3.26613</v>
      </c>
    </row>
    <row r="1324" spans="1:8" x14ac:dyDescent="0.3">
      <c r="A1324">
        <f t="shared" si="52"/>
        <v>10</v>
      </c>
      <c r="B1324">
        <v>1218</v>
      </c>
      <c r="C1324" s="1">
        <v>22.077007529882589</v>
      </c>
      <c r="D1324" s="9">
        <v>17.35033333333546</v>
      </c>
      <c r="E1324" s="1">
        <v>2.1617299999999999</v>
      </c>
      <c r="F1324" s="1">
        <v>3.1324800000000002</v>
      </c>
      <c r="G1324" s="1">
        <v>13.131399999999999</v>
      </c>
      <c r="H1324" s="1">
        <v>4.1270600000000002</v>
      </c>
    </row>
    <row r="1325" spans="1:8" x14ac:dyDescent="0.3">
      <c r="A1325" t="e">
        <f t="shared" si="52"/>
        <v>#REF!</v>
      </c>
      <c r="B1325">
        <v>1268</v>
      </c>
      <c r="C1325" s="1">
        <v>22.48845832009091</v>
      </c>
      <c r="D1325" s="9">
        <v>17.397555555557769</v>
      </c>
      <c r="E1325" s="1">
        <v>1.8484499999999999</v>
      </c>
      <c r="F1325" s="1">
        <v>3.1653699999999998</v>
      </c>
      <c r="G1325" s="1">
        <v>13.0654</v>
      </c>
      <c r="H1325" s="1">
        <v>4.9484700000000004</v>
      </c>
    </row>
    <row r="1326" spans="1:8" x14ac:dyDescent="0.3">
      <c r="A1326">
        <f t="shared" si="52"/>
        <v>1</v>
      </c>
      <c r="B1326">
        <v>1318</v>
      </c>
      <c r="C1326" s="1">
        <v>22.915525911323471</v>
      </c>
      <c r="D1326" s="9">
        <v>17.444777777780079</v>
      </c>
      <c r="E1326" s="1">
        <v>1.6875</v>
      </c>
      <c r="F1326" s="1">
        <v>3.4077999999999999</v>
      </c>
      <c r="G1326" s="1">
        <v>13.0473</v>
      </c>
      <c r="H1326" s="1">
        <v>5.5101300000000002</v>
      </c>
    </row>
    <row r="1327" spans="1:8" x14ac:dyDescent="0.3">
      <c r="A1327" t="e">
        <f t="shared" si="52"/>
        <v>#REF!</v>
      </c>
      <c r="B1327">
        <v>1368</v>
      </c>
      <c r="C1327" s="1">
        <v>23.144092913650901</v>
      </c>
      <c r="D1327" s="9">
        <v>17.492000000002388</v>
      </c>
      <c r="E1327" s="1">
        <v>1.8455299999999999</v>
      </c>
      <c r="F1327" s="1">
        <v>3.7906399999999998</v>
      </c>
      <c r="G1327" s="1">
        <v>13.1449</v>
      </c>
      <c r="H1327" s="1">
        <v>5.7785500000000001</v>
      </c>
    </row>
    <row r="1328" spans="1:8" x14ac:dyDescent="0.3">
      <c r="A1328">
        <f t="shared" si="52"/>
        <v>17</v>
      </c>
      <c r="B1328">
        <v>1418</v>
      </c>
      <c r="C1328" s="1">
        <v>23.24</v>
      </c>
      <c r="D1328" s="9">
        <v>17.539222222224698</v>
      </c>
      <c r="E1328" s="1">
        <v>2.2631700000000001</v>
      </c>
      <c r="F1328" s="1">
        <v>4.1594300000000004</v>
      </c>
      <c r="G1328" s="1">
        <v>13.164899999999999</v>
      </c>
      <c r="H1328" s="1">
        <v>5.9649599999999996</v>
      </c>
    </row>
    <row r="1329" spans="1:8" x14ac:dyDescent="0.3">
      <c r="A1329" t="e">
        <f t="shared" si="52"/>
        <v>#REF!</v>
      </c>
      <c r="B1329">
        <v>1468</v>
      </c>
      <c r="C1329" s="1">
        <v>23.23</v>
      </c>
      <c r="D1329" s="9">
        <v>17.586444444447007</v>
      </c>
      <c r="E1329" s="1">
        <v>2.7743099999999998</v>
      </c>
      <c r="F1329" s="1">
        <v>4.4325200000000002</v>
      </c>
      <c r="G1329" s="1">
        <v>13.074400000000001</v>
      </c>
      <c r="H1329" s="1">
        <v>6.1264399999999997</v>
      </c>
    </row>
    <row r="1330" spans="1:8" x14ac:dyDescent="0.3">
      <c r="A1330">
        <f t="shared" si="52"/>
        <v>8</v>
      </c>
      <c r="B1330">
        <v>1518</v>
      </c>
      <c r="C1330" s="1">
        <v>23.025852327486991</v>
      </c>
      <c r="D1330" s="9">
        <v>17.633666666669317</v>
      </c>
      <c r="E1330" s="1">
        <v>3.0955499999999998</v>
      </c>
      <c r="F1330" s="1">
        <v>4.6386799999999999</v>
      </c>
      <c r="G1330" s="1">
        <v>13.083</v>
      </c>
      <c r="H1330" s="1">
        <v>6.0877600000000003</v>
      </c>
    </row>
    <row r="1331" spans="1:8" x14ac:dyDescent="0.3">
      <c r="A1331" t="e">
        <f t="shared" si="52"/>
        <v>#REF!</v>
      </c>
      <c r="B1331">
        <v>1568</v>
      </c>
      <c r="C1331" s="1">
        <v>22.74192509755283</v>
      </c>
      <c r="D1331" s="9">
        <v>17.680888888891626</v>
      </c>
      <c r="E1331" s="1">
        <v>3.2282600000000001</v>
      </c>
      <c r="F1331" s="1">
        <v>4.9118399999999998</v>
      </c>
      <c r="G1331" s="1">
        <v>13.237500000000001</v>
      </c>
      <c r="H1331" s="1">
        <v>5.7429699999999997</v>
      </c>
    </row>
    <row r="1332" spans="1:8" x14ac:dyDescent="0.3">
      <c r="A1332" t="e">
        <f t="shared" si="52"/>
        <v>#REF!</v>
      </c>
      <c r="B1332">
        <v>1618</v>
      </c>
      <c r="C1332" s="1">
        <v>22.37653133612941</v>
      </c>
      <c r="D1332" s="9">
        <v>17.728111111113936</v>
      </c>
      <c r="E1332" s="1">
        <v>3.5691299999999999</v>
      </c>
      <c r="F1332" s="1">
        <v>5.5134800000000004</v>
      </c>
      <c r="G1332" s="1">
        <v>13.342499999999999</v>
      </c>
      <c r="H1332" s="1">
        <v>5.10372</v>
      </c>
    </row>
    <row r="1333" spans="1:8" x14ac:dyDescent="0.3">
      <c r="A1333" t="e">
        <f t="shared" ref="A1333:A1364" si="53">A1283</f>
        <v>#REF!</v>
      </c>
      <c r="B1333">
        <v>1668</v>
      </c>
      <c r="C1333" s="1">
        <v>21.938571587748161</v>
      </c>
      <c r="D1333" s="9">
        <v>17.775333333336246</v>
      </c>
      <c r="E1333" s="1">
        <v>4.2712599999999998</v>
      </c>
      <c r="F1333" s="1">
        <v>6.4857199999999997</v>
      </c>
      <c r="G1333" s="1">
        <v>13.3474</v>
      </c>
      <c r="H1333" s="1">
        <v>4.2219899999999999</v>
      </c>
    </row>
    <row r="1334" spans="1:8" x14ac:dyDescent="0.3">
      <c r="A1334">
        <f t="shared" si="53"/>
        <v>15</v>
      </c>
      <c r="B1334">
        <v>1718</v>
      </c>
      <c r="C1334" s="1">
        <v>21.45065959711436</v>
      </c>
      <c r="D1334" s="9">
        <v>17.822555555558555</v>
      </c>
      <c r="E1334" s="1">
        <v>5.1150099999999998</v>
      </c>
      <c r="F1334" s="1">
        <v>7.5595299999999996</v>
      </c>
      <c r="G1334" s="1">
        <v>13.4185</v>
      </c>
      <c r="H1334" s="1">
        <v>3.1924299999999999</v>
      </c>
    </row>
    <row r="1335" spans="1:8" x14ac:dyDescent="0.3">
      <c r="A1335" t="e">
        <f t="shared" si="53"/>
        <v>#REF!</v>
      </c>
      <c r="B1335">
        <v>1768</v>
      </c>
      <c r="C1335" s="1">
        <v>21.15235160989635</v>
      </c>
      <c r="D1335" s="9">
        <v>17.869777777780865</v>
      </c>
      <c r="E1335" s="1">
        <v>5.7796099999999999</v>
      </c>
      <c r="F1335" s="1">
        <v>8.4596800000000005</v>
      </c>
      <c r="G1335" s="1">
        <v>13.5722</v>
      </c>
      <c r="H1335" s="1">
        <v>2.0897199999999998</v>
      </c>
    </row>
    <row r="1336" spans="1:8" x14ac:dyDescent="0.3">
      <c r="A1336">
        <f t="shared" si="53"/>
        <v>6</v>
      </c>
      <c r="B1336">
        <v>1818</v>
      </c>
      <c r="C1336" s="1">
        <v>20.759865310983741</v>
      </c>
      <c r="D1336" s="9">
        <v>17.917000000003174</v>
      </c>
      <c r="E1336" s="1">
        <v>5.8510499999999999</v>
      </c>
      <c r="F1336" s="1">
        <v>8.9389000000000003</v>
      </c>
      <c r="G1336" s="1">
        <v>13.604100000000001</v>
      </c>
      <c r="H1336" s="1">
        <v>0.95642300000000002</v>
      </c>
    </row>
    <row r="1337" spans="1:8" x14ac:dyDescent="0.3">
      <c r="A1337" t="e">
        <f t="shared" si="53"/>
        <v>#REF!</v>
      </c>
      <c r="B1337">
        <v>1868</v>
      </c>
      <c r="C1337" s="1">
        <v>20.418744081482458</v>
      </c>
      <c r="D1337" s="9">
        <v>17.964222222225484</v>
      </c>
      <c r="E1337" s="1">
        <v>5.2433500000000004</v>
      </c>
      <c r="F1337" s="1">
        <v>9.0071399999999997</v>
      </c>
      <c r="G1337" s="1">
        <v>13.4857</v>
      </c>
      <c r="H1337" s="1">
        <v>-0.2084</v>
      </c>
    </row>
    <row r="1338" spans="1:8" x14ac:dyDescent="0.3">
      <c r="A1338" t="e">
        <f t="shared" si="53"/>
        <v>#REF!</v>
      </c>
      <c r="B1338">
        <v>1918</v>
      </c>
      <c r="C1338" s="1">
        <v>20.001332992222661</v>
      </c>
      <c r="D1338" s="9">
        <v>18.011444444447793</v>
      </c>
      <c r="E1338" s="1">
        <v>4.3226899999999997</v>
      </c>
      <c r="F1338" s="1">
        <v>9.0136800000000008</v>
      </c>
      <c r="G1338" s="1">
        <v>13.442299999999999</v>
      </c>
      <c r="H1338" s="1">
        <v>-1.4593</v>
      </c>
    </row>
    <row r="1339" spans="1:8" x14ac:dyDescent="0.3">
      <c r="A1339" t="e">
        <f t="shared" si="53"/>
        <v>#REF!</v>
      </c>
      <c r="B1339">
        <v>1968</v>
      </c>
      <c r="C1339" s="1">
        <v>19.70935761754443</v>
      </c>
      <c r="D1339" s="9">
        <v>18.058666666670103</v>
      </c>
      <c r="E1339" s="1">
        <v>3.4529399999999999</v>
      </c>
      <c r="F1339" s="1">
        <v>9.0914800000000007</v>
      </c>
      <c r="G1339" s="1">
        <v>13.5463</v>
      </c>
      <c r="H1339" s="1">
        <v>-2.7739600000000002</v>
      </c>
    </row>
    <row r="1340" spans="1:8" x14ac:dyDescent="0.3">
      <c r="A1340">
        <f t="shared" si="53"/>
        <v>13</v>
      </c>
      <c r="B1340">
        <v>2018</v>
      </c>
      <c r="C1340" s="1">
        <v>19.438532459310991</v>
      </c>
      <c r="D1340" s="9">
        <v>18.105888888892412</v>
      </c>
      <c r="E1340" s="1">
        <v>2.9449700000000001</v>
      </c>
      <c r="F1340" s="1">
        <v>9.0536200000000004</v>
      </c>
      <c r="G1340" s="1">
        <v>13.642799999999999</v>
      </c>
      <c r="H1340" s="1">
        <v>-4.0225</v>
      </c>
    </row>
    <row r="1341" spans="1:8" x14ac:dyDescent="0.3">
      <c r="A1341" t="e">
        <f t="shared" si="53"/>
        <v>#REF!</v>
      </c>
      <c r="B1341">
        <v>2068</v>
      </c>
      <c r="C1341" s="1">
        <v>19.27647862505129</v>
      </c>
      <c r="D1341" s="9">
        <v>18.153111111114722</v>
      </c>
      <c r="E1341" s="1">
        <v>2.8316699999999999</v>
      </c>
      <c r="F1341" s="1">
        <v>8.8424099999999992</v>
      </c>
      <c r="G1341" s="1">
        <v>13.690899999999999</v>
      </c>
      <c r="H1341" s="1">
        <v>-5.0936700000000004</v>
      </c>
    </row>
    <row r="1342" spans="1:8" x14ac:dyDescent="0.3">
      <c r="A1342">
        <f t="shared" si="53"/>
        <v>4</v>
      </c>
      <c r="B1342">
        <v>2118</v>
      </c>
      <c r="C1342" s="1">
        <v>19.190000000000001</v>
      </c>
      <c r="D1342" s="9">
        <v>18.200333333337031</v>
      </c>
      <c r="E1342" s="1">
        <v>2.78328</v>
      </c>
      <c r="F1342" s="1">
        <v>8.6032499999999992</v>
      </c>
      <c r="G1342" s="1">
        <v>13.821300000000001</v>
      </c>
      <c r="H1342" s="1">
        <v>-5.9101100000000004</v>
      </c>
    </row>
    <row r="1343" spans="1:8" x14ac:dyDescent="0.3">
      <c r="A1343" t="e">
        <f t="shared" si="53"/>
        <v>#REF!</v>
      </c>
      <c r="B1343">
        <v>2168</v>
      </c>
      <c r="C1343" s="1">
        <v>19.18</v>
      </c>
      <c r="D1343" s="9">
        <v>18.247555555559341</v>
      </c>
      <c r="E1343" s="1">
        <v>2.67388</v>
      </c>
      <c r="F1343" s="1">
        <v>8.4650700000000008</v>
      </c>
      <c r="G1343" s="1">
        <v>14.0215</v>
      </c>
      <c r="H1343" s="1">
        <v>-6.3529099999999996</v>
      </c>
    </row>
    <row r="1344" spans="1:8" x14ac:dyDescent="0.3">
      <c r="A1344" t="e">
        <f t="shared" si="53"/>
        <v>#REF!</v>
      </c>
      <c r="B1344">
        <v>2218</v>
      </c>
      <c r="C1344" s="1">
        <v>19.20220043011761</v>
      </c>
      <c r="D1344" s="9">
        <v>18.29477777778165</v>
      </c>
      <c r="E1344" s="1">
        <v>2.6798299999999999</v>
      </c>
      <c r="F1344" s="1">
        <v>8.5119399999999992</v>
      </c>
      <c r="G1344" s="1">
        <v>14.0769</v>
      </c>
      <c r="H1344" s="1">
        <v>-6.2493100000000004</v>
      </c>
    </row>
    <row r="1345" spans="1:8" x14ac:dyDescent="0.3">
      <c r="A1345" t="e">
        <f t="shared" si="53"/>
        <v>#REF!</v>
      </c>
      <c r="B1345">
        <v>2268</v>
      </c>
      <c r="C1345" s="1">
        <v>19.409539683810291</v>
      </c>
      <c r="D1345" s="9">
        <v>18.34200000000396</v>
      </c>
      <c r="E1345" s="1">
        <v>2.8244199999999999</v>
      </c>
      <c r="F1345" s="1">
        <v>8.6732300000000002</v>
      </c>
      <c r="G1345" s="1">
        <v>13.9496</v>
      </c>
      <c r="H1345" s="1">
        <v>-5.6099399999999999</v>
      </c>
    </row>
    <row r="1346" spans="1:8" x14ac:dyDescent="0.3">
      <c r="A1346">
        <f t="shared" si="53"/>
        <v>11</v>
      </c>
      <c r="B1346">
        <v>2318</v>
      </c>
      <c r="C1346" s="1">
        <v>19.70561887070668</v>
      </c>
      <c r="D1346" s="9">
        <v>18.38922222222627</v>
      </c>
      <c r="E1346" s="1">
        <v>2.9026299999999998</v>
      </c>
      <c r="F1346" s="1">
        <v>8.6802700000000002</v>
      </c>
      <c r="G1346" s="1">
        <v>13.851900000000001</v>
      </c>
      <c r="H1346" s="1">
        <v>-4.6910800000000004</v>
      </c>
    </row>
    <row r="1347" spans="1:8" x14ac:dyDescent="0.3">
      <c r="A1347" t="e">
        <f t="shared" si="53"/>
        <v>#REF!</v>
      </c>
      <c r="B1347">
        <v>2368</v>
      </c>
      <c r="C1347" s="1">
        <v>20.129068153201281</v>
      </c>
      <c r="D1347" s="9">
        <v>18.436444444448579</v>
      </c>
      <c r="E1347" s="1">
        <v>2.8549600000000002</v>
      </c>
      <c r="F1347" s="1">
        <v>8.4379000000000008</v>
      </c>
      <c r="G1347" s="1">
        <v>13.8443</v>
      </c>
      <c r="H1347" s="1">
        <v>-3.6663999999999999</v>
      </c>
    </row>
    <row r="1348" spans="1:8" x14ac:dyDescent="0.3">
      <c r="A1348">
        <f t="shared" si="53"/>
        <v>2</v>
      </c>
      <c r="B1348">
        <v>2418</v>
      </c>
      <c r="C1348" s="1">
        <v>20.666022915017731</v>
      </c>
      <c r="D1348" s="9">
        <v>18.483666666670889</v>
      </c>
      <c r="E1348" s="1">
        <v>2.8317899999999998</v>
      </c>
      <c r="F1348" s="1">
        <v>8.10093</v>
      </c>
      <c r="G1348" s="1">
        <v>13.7669</v>
      </c>
      <c r="H1348" s="1">
        <v>-2.57742</v>
      </c>
    </row>
    <row r="1349" spans="1:8" x14ac:dyDescent="0.3">
      <c r="A1349" t="e">
        <f t="shared" si="53"/>
        <v>#REF!</v>
      </c>
      <c r="B1349">
        <v>2468</v>
      </c>
      <c r="C1349" s="1">
        <v>21.241046278357981</v>
      </c>
      <c r="D1349" s="9">
        <v>18.530888888893198</v>
      </c>
      <c r="E1349" s="1">
        <v>2.8092299999999999</v>
      </c>
      <c r="F1349" s="1">
        <v>7.8552799999999996</v>
      </c>
      <c r="G1349" s="1">
        <v>13.632099999999999</v>
      </c>
      <c r="H1349" s="1">
        <v>-1.4355500000000001</v>
      </c>
    </row>
    <row r="1350" spans="1:8" x14ac:dyDescent="0.3">
      <c r="A1350">
        <f t="shared" si="53"/>
        <v>18</v>
      </c>
      <c r="B1350">
        <v>2518</v>
      </c>
      <c r="C1350" s="1">
        <v>21.750970796151229</v>
      </c>
      <c r="D1350" s="9">
        <v>18.578111111115508</v>
      </c>
      <c r="E1350" s="1">
        <v>2.5187599999999999</v>
      </c>
      <c r="F1350" s="1">
        <v>7.8991699999999998</v>
      </c>
      <c r="G1350" s="1">
        <v>13.6944</v>
      </c>
      <c r="H1350" s="1">
        <v>-0.22524</v>
      </c>
    </row>
    <row r="1351" spans="1:8" x14ac:dyDescent="0.3">
      <c r="A1351" t="e">
        <f t="shared" si="53"/>
        <v>#REF!</v>
      </c>
      <c r="B1351">
        <v>2568</v>
      </c>
      <c r="C1351" s="1">
        <v>22.20129158136432</v>
      </c>
      <c r="D1351" s="9">
        <v>18.625333333337817</v>
      </c>
      <c r="E1351" s="1">
        <v>1.9005000000000001</v>
      </c>
      <c r="F1351" s="1">
        <v>8.1894100000000005</v>
      </c>
      <c r="G1351" s="1">
        <v>13.996499999999999</v>
      </c>
      <c r="H1351" s="1">
        <v>1.0361199999999999</v>
      </c>
    </row>
    <row r="1352" spans="1:8" x14ac:dyDescent="0.3">
      <c r="A1352">
        <f t="shared" si="53"/>
        <v>9</v>
      </c>
      <c r="B1352">
        <v>2618</v>
      </c>
      <c r="C1352" s="1">
        <v>22.528594242193929</v>
      </c>
      <c r="D1352" s="9">
        <v>18.672555555560127</v>
      </c>
      <c r="E1352" s="1">
        <v>1.19326</v>
      </c>
      <c r="F1352" s="1">
        <v>8.3670799999999996</v>
      </c>
      <c r="G1352" s="1">
        <v>14.2821</v>
      </c>
      <c r="H1352" s="1">
        <v>2.2852800000000002</v>
      </c>
    </row>
    <row r="1353" spans="1:8" x14ac:dyDescent="0.3">
      <c r="A1353">
        <f t="shared" si="53"/>
        <v>0</v>
      </c>
      <c r="B1353">
        <v>2668</v>
      </c>
      <c r="C1353" s="1">
        <v>22.91489412428793</v>
      </c>
      <c r="D1353" s="9">
        <v>18.719777777782436</v>
      </c>
      <c r="E1353" s="1">
        <v>0.68199799999999999</v>
      </c>
      <c r="F1353" s="1">
        <v>8.2621199999999995</v>
      </c>
      <c r="G1353" s="1">
        <v>14.3476</v>
      </c>
      <c r="H1353" s="1">
        <v>3.4448599999999998</v>
      </c>
    </row>
    <row r="1354" spans="1:8" x14ac:dyDescent="0.3">
      <c r="A1354" t="e">
        <f t="shared" si="53"/>
        <v>#REF!</v>
      </c>
      <c r="B1354">
        <v>2718</v>
      </c>
      <c r="C1354" s="1">
        <v>23.369395987465129</v>
      </c>
      <c r="D1354" s="9">
        <v>18.767000000004746</v>
      </c>
      <c r="E1354" s="1">
        <v>0.67893599999999998</v>
      </c>
      <c r="F1354" s="1">
        <v>7.9854599999999998</v>
      </c>
      <c r="G1354" s="1">
        <v>14.09</v>
      </c>
      <c r="H1354" s="1">
        <v>4.4236800000000001</v>
      </c>
    </row>
    <row r="1355" spans="1:8" x14ac:dyDescent="0.3">
      <c r="A1355" t="e">
        <f t="shared" si="53"/>
        <v>#REF!</v>
      </c>
      <c r="B1355">
        <v>2768</v>
      </c>
      <c r="C1355" s="1">
        <v>23.818077048568131</v>
      </c>
      <c r="D1355" s="9">
        <v>18.814222222227055</v>
      </c>
      <c r="E1355" s="1">
        <v>1.23377</v>
      </c>
      <c r="F1355" s="1">
        <v>7.7839400000000003</v>
      </c>
      <c r="G1355" s="1">
        <v>13.597799999999999</v>
      </c>
      <c r="H1355" s="1">
        <v>5.1508399999999996</v>
      </c>
    </row>
    <row r="1356" spans="1:8" x14ac:dyDescent="0.3">
      <c r="A1356">
        <f t="shared" si="53"/>
        <v>16</v>
      </c>
      <c r="B1356">
        <v>2818</v>
      </c>
      <c r="C1356" s="1">
        <v>24.086502096958242</v>
      </c>
      <c r="D1356" s="9">
        <v>18.861444444449365</v>
      </c>
      <c r="E1356" s="1">
        <v>2.0492400000000002</v>
      </c>
      <c r="F1356" s="1">
        <v>8.0515299999999996</v>
      </c>
      <c r="G1356" s="1">
        <v>13.198399999999999</v>
      </c>
      <c r="H1356" s="1">
        <v>5.5861700000000001</v>
      </c>
    </row>
    <row r="1357" spans="1:8" x14ac:dyDescent="0.3">
      <c r="A1357" t="e">
        <f t="shared" si="53"/>
        <v>#REF!</v>
      </c>
      <c r="B1357">
        <v>2868</v>
      </c>
      <c r="C1357" s="1">
        <v>24.278620328747149</v>
      </c>
      <c r="D1357" s="9">
        <v>18.908666666671675</v>
      </c>
      <c r="E1357" s="1">
        <v>2.8115700000000001</v>
      </c>
      <c r="F1357" s="1">
        <v>8.9272500000000008</v>
      </c>
      <c r="G1357" s="1">
        <v>13.166700000000001</v>
      </c>
      <c r="H1357" s="1">
        <v>5.8110200000000001</v>
      </c>
    </row>
    <row r="1358" spans="1:8" x14ac:dyDescent="0.3">
      <c r="A1358">
        <f t="shared" si="53"/>
        <v>7</v>
      </c>
      <c r="B1358">
        <v>2918</v>
      </c>
      <c r="C1358" s="1">
        <v>24.21971682012936</v>
      </c>
      <c r="D1358" s="9">
        <v>18.955888888893984</v>
      </c>
      <c r="E1358" s="1">
        <v>3.2241900000000001</v>
      </c>
      <c r="F1358" s="1">
        <v>10.200799999999999</v>
      </c>
      <c r="G1358" s="1">
        <v>13.682700000000001</v>
      </c>
      <c r="H1358" s="1">
        <v>6.0576499999999998</v>
      </c>
    </row>
    <row r="1359" spans="1:8" x14ac:dyDescent="0.3">
      <c r="A1359" t="e">
        <f t="shared" si="53"/>
        <v>#REF!</v>
      </c>
      <c r="B1359">
        <v>2968</v>
      </c>
      <c r="C1359" s="1">
        <v>24.078615379008131</v>
      </c>
      <c r="D1359" s="9">
        <v>19.003111111116294</v>
      </c>
      <c r="E1359" s="1">
        <v>3.3149899999999999</v>
      </c>
      <c r="F1359" s="1">
        <v>11.5794</v>
      </c>
      <c r="G1359" s="1">
        <v>14.7135</v>
      </c>
      <c r="H1359" s="1">
        <v>6.4052499999999997</v>
      </c>
    </row>
    <row r="1360" spans="1:8" x14ac:dyDescent="0.3">
      <c r="A1360" t="e">
        <f t="shared" si="53"/>
        <v>#REF!</v>
      </c>
      <c r="B1360">
        <v>3018</v>
      </c>
      <c r="C1360" s="1">
        <v>23.98</v>
      </c>
      <c r="D1360" s="9">
        <v>19.050333333338603</v>
      </c>
      <c r="E1360" s="1">
        <v>3.5285099999999998</v>
      </c>
      <c r="F1360" s="1">
        <v>12.694699999999999</v>
      </c>
      <c r="G1360" s="1">
        <v>15.9575</v>
      </c>
      <c r="H1360" s="1">
        <v>6.7255599999999998</v>
      </c>
    </row>
    <row r="1361" spans="1:8" x14ac:dyDescent="0.3">
      <c r="A1361" t="e">
        <f t="shared" si="53"/>
        <v>#REF!</v>
      </c>
      <c r="B1361">
        <v>3068</v>
      </c>
      <c r="C1361" s="1">
        <v>23.802437933560221</v>
      </c>
      <c r="D1361" s="9">
        <v>19.097555555560913</v>
      </c>
      <c r="E1361" s="1">
        <v>4.1130399999999998</v>
      </c>
      <c r="F1361" s="1">
        <v>13.252599999999999</v>
      </c>
      <c r="G1361" s="1">
        <v>17.088799999999999</v>
      </c>
      <c r="H1361" s="1">
        <v>7.0223599999999999</v>
      </c>
    </row>
    <row r="1362" spans="1:8" x14ac:dyDescent="0.3">
      <c r="A1362">
        <f t="shared" si="53"/>
        <v>14</v>
      </c>
      <c r="B1362">
        <v>3118</v>
      </c>
      <c r="C1362" s="1">
        <v>23.408787872489011</v>
      </c>
      <c r="D1362" s="9">
        <v>19.144777777783222</v>
      </c>
      <c r="E1362" s="1">
        <v>5.0182000000000002</v>
      </c>
      <c r="F1362" s="1">
        <v>13.0832</v>
      </c>
      <c r="G1362" s="1">
        <v>17.789100000000001</v>
      </c>
      <c r="H1362" s="1">
        <v>7.4810699999999999</v>
      </c>
    </row>
    <row r="1363" spans="1:8" x14ac:dyDescent="0.3">
      <c r="A1363" t="e">
        <f t="shared" si="53"/>
        <v>#REF!</v>
      </c>
      <c r="B1363">
        <v>3168</v>
      </c>
      <c r="C1363" s="1">
        <v>23.015669019594888</v>
      </c>
      <c r="D1363" s="9">
        <v>19.192000000005532</v>
      </c>
      <c r="E1363" s="1">
        <v>6.0957499999999998</v>
      </c>
      <c r="F1363" s="1">
        <v>12.2674</v>
      </c>
      <c r="G1363" s="1">
        <v>17.952100000000002</v>
      </c>
      <c r="H1363" s="1">
        <v>8.2066499999999998</v>
      </c>
    </row>
    <row r="1364" spans="1:8" x14ac:dyDescent="0.3">
      <c r="A1364">
        <f t="shared" si="53"/>
        <v>5</v>
      </c>
      <c r="B1364">
        <v>3218</v>
      </c>
      <c r="C1364" s="1">
        <v>22.655089139990039</v>
      </c>
      <c r="D1364" s="9">
        <v>19.239222222227841</v>
      </c>
      <c r="E1364" s="1">
        <v>7.1153000000000004</v>
      </c>
      <c r="F1364" s="1">
        <v>11.1652</v>
      </c>
      <c r="G1364" s="1">
        <v>17.722799999999999</v>
      </c>
      <c r="H1364" s="1">
        <v>9.1917000000000009</v>
      </c>
    </row>
    <row r="1365" spans="1:8" x14ac:dyDescent="0.3">
      <c r="A1365" t="e">
        <f t="shared" ref="A1365:A1371" si="54">A1315</f>
        <v>#REF!</v>
      </c>
      <c r="B1365">
        <v>3268</v>
      </c>
      <c r="C1365" s="1">
        <v>22.268328944073609</v>
      </c>
      <c r="D1365" s="9">
        <v>19.286444444450151</v>
      </c>
      <c r="E1365" s="1">
        <v>8.0154700000000005</v>
      </c>
      <c r="F1365" s="1">
        <v>10.132999999999999</v>
      </c>
      <c r="G1365" s="1">
        <v>17.298400000000001</v>
      </c>
      <c r="H1365" s="1">
        <v>10.3881</v>
      </c>
    </row>
    <row r="1366" spans="1:8" x14ac:dyDescent="0.3">
      <c r="A1366" t="e">
        <f t="shared" si="54"/>
        <v>#REF!</v>
      </c>
      <c r="B1366">
        <v>3318</v>
      </c>
      <c r="C1366" s="1">
        <v>21.890862705005301</v>
      </c>
      <c r="D1366" s="9">
        <v>19.33366666667246</v>
      </c>
      <c r="E1366" s="1">
        <v>9.0947800000000001</v>
      </c>
      <c r="F1366" s="1">
        <v>9.8598400000000002</v>
      </c>
      <c r="G1366" s="1">
        <v>17.042200000000001</v>
      </c>
      <c r="H1366" s="1">
        <v>11.739100000000001</v>
      </c>
    </row>
    <row r="1367" spans="1:8" x14ac:dyDescent="0.3">
      <c r="A1367" t="e">
        <f t="shared" si="54"/>
        <v>#REF!</v>
      </c>
      <c r="B1367">
        <v>3368</v>
      </c>
      <c r="C1367" s="1">
        <v>21.577491331432778</v>
      </c>
      <c r="D1367" s="9">
        <v>19.38088888889477</v>
      </c>
      <c r="E1367" s="1">
        <v>10.6989</v>
      </c>
      <c r="F1367" s="1">
        <v>11.048500000000001</v>
      </c>
      <c r="G1367" s="1">
        <v>17.216200000000001</v>
      </c>
      <c r="H1367" s="1">
        <v>13.176600000000001</v>
      </c>
    </row>
    <row r="1368" spans="1:8" x14ac:dyDescent="0.3">
      <c r="A1368">
        <f t="shared" si="54"/>
        <v>12</v>
      </c>
      <c r="B1368">
        <v>3418</v>
      </c>
      <c r="C1368" s="1">
        <v>21.245165881849299</v>
      </c>
      <c r="D1368" s="9">
        <v>19.428111111117079</v>
      </c>
      <c r="E1368" s="1">
        <v>12.51</v>
      </c>
      <c r="F1368" s="1">
        <v>12.678599999999999</v>
      </c>
      <c r="G1368" s="1">
        <v>17.537400000000002</v>
      </c>
      <c r="H1368" s="1">
        <v>14.5891</v>
      </c>
    </row>
    <row r="1369" spans="1:8" x14ac:dyDescent="0.3">
      <c r="A1369" t="e">
        <f t="shared" si="54"/>
        <v>#REF!</v>
      </c>
      <c r="B1369">
        <v>3468</v>
      </c>
      <c r="C1369" s="1">
        <v>20.743502985851251</v>
      </c>
      <c r="D1369" s="9">
        <v>19.475333333339389</v>
      </c>
      <c r="E1369" s="1">
        <v>14.411</v>
      </c>
      <c r="F1369" s="1">
        <v>14.489100000000001</v>
      </c>
      <c r="G1369" s="1">
        <v>17.9892</v>
      </c>
      <c r="H1369" s="1">
        <v>15.9811</v>
      </c>
    </row>
    <row r="1370" spans="1:8" x14ac:dyDescent="0.3">
      <c r="A1370">
        <f t="shared" si="54"/>
        <v>3</v>
      </c>
      <c r="B1370">
        <v>3518</v>
      </c>
      <c r="C1370" s="1">
        <v>20.285963755398232</v>
      </c>
      <c r="D1370" s="9">
        <v>19.522555555561699</v>
      </c>
      <c r="E1370" s="1">
        <v>16.357399999999998</v>
      </c>
      <c r="F1370" s="1">
        <v>16.3886</v>
      </c>
      <c r="G1370" s="1">
        <v>18.540700000000001</v>
      </c>
      <c r="H1370" s="1">
        <v>17.359300000000001</v>
      </c>
    </row>
    <row r="1371" spans="1:8" x14ac:dyDescent="0.3">
      <c r="A1371" t="e">
        <f t="shared" si="54"/>
        <v>#REF!</v>
      </c>
      <c r="B1371">
        <v>3568</v>
      </c>
      <c r="C1371" s="1">
        <v>19.87988902040334</v>
      </c>
      <c r="D1371" s="9">
        <v>19.569777777784008</v>
      </c>
      <c r="E1371" s="1">
        <v>18.3294</v>
      </c>
      <c r="F1371" s="1">
        <v>18.337</v>
      </c>
      <c r="G1371" s="1">
        <v>19.167400000000001</v>
      </c>
      <c r="H1371" s="1">
        <v>18.727900000000002</v>
      </c>
    </row>
    <row r="1372" spans="1:8" x14ac:dyDescent="0.3">
      <c r="A1372">
        <v>19</v>
      </c>
      <c r="B1372">
        <v>19</v>
      </c>
      <c r="C1372" s="1">
        <v>16.17726217647327</v>
      </c>
      <c r="D1372" s="9">
        <v>16.217944444444477</v>
      </c>
      <c r="E1372" s="1">
        <v>15.495200000000001</v>
      </c>
      <c r="F1372" s="1">
        <v>15.4481</v>
      </c>
      <c r="G1372" s="1">
        <v>15.967499999999999</v>
      </c>
      <c r="H1372" s="1">
        <v>15.491899999999999</v>
      </c>
    </row>
    <row r="1373" spans="1:8" x14ac:dyDescent="0.3">
      <c r="A1373" t="e">
        <f t="shared" ref="A1373:A1404" si="55">A1323</f>
        <v>#REF!</v>
      </c>
      <c r="B1373">
        <v>69</v>
      </c>
      <c r="C1373" s="1">
        <v>16.173105536492969</v>
      </c>
      <c r="D1373" s="9">
        <v>16.265166666666786</v>
      </c>
      <c r="E1373" s="1">
        <v>13.6556</v>
      </c>
      <c r="F1373" s="1">
        <v>13.488</v>
      </c>
      <c r="G1373" s="1">
        <v>15.3925</v>
      </c>
      <c r="H1373" s="1">
        <v>13.622400000000001</v>
      </c>
    </row>
    <row r="1374" spans="1:8" x14ac:dyDescent="0.3">
      <c r="A1374">
        <f t="shared" si="55"/>
        <v>10</v>
      </c>
      <c r="B1374">
        <v>119</v>
      </c>
      <c r="C1374" s="1">
        <v>16.284649613564529</v>
      </c>
      <c r="D1374" s="9">
        <v>16.312388888889096</v>
      </c>
      <c r="E1374" s="1">
        <v>11.845000000000001</v>
      </c>
      <c r="F1374" s="1">
        <v>11.568300000000001</v>
      </c>
      <c r="G1374" s="1">
        <v>14.8813</v>
      </c>
      <c r="H1374" s="1">
        <v>11.7431</v>
      </c>
    </row>
    <row r="1375" spans="1:8" x14ac:dyDescent="0.3">
      <c r="A1375" t="e">
        <f t="shared" si="55"/>
        <v>#REF!</v>
      </c>
      <c r="B1375">
        <v>169</v>
      </c>
      <c r="C1375" s="1">
        <v>16.479221638247679</v>
      </c>
      <c r="D1375" s="9">
        <v>16.359611111111406</v>
      </c>
      <c r="E1375" s="1">
        <v>10.0776</v>
      </c>
      <c r="F1375" s="1">
        <v>9.7199399999999994</v>
      </c>
      <c r="G1375" s="1">
        <v>14.45</v>
      </c>
      <c r="H1375" s="1">
        <v>9.8536400000000004</v>
      </c>
    </row>
    <row r="1376" spans="1:8" x14ac:dyDescent="0.3">
      <c r="A1376">
        <f t="shared" si="55"/>
        <v>1</v>
      </c>
      <c r="B1376">
        <v>219</v>
      </c>
      <c r="C1376" s="1">
        <v>16.849138122270411</v>
      </c>
      <c r="D1376" s="9">
        <v>16.406833333333715</v>
      </c>
      <c r="E1376" s="1">
        <v>8.3799700000000001</v>
      </c>
      <c r="F1376" s="1">
        <v>8.0101899999999997</v>
      </c>
      <c r="G1376" s="1">
        <v>14.115500000000001</v>
      </c>
      <c r="H1376" s="1">
        <v>7.9569999999999999</v>
      </c>
    </row>
    <row r="1377" spans="1:8" x14ac:dyDescent="0.3">
      <c r="A1377" t="e">
        <f t="shared" si="55"/>
        <v>#REF!</v>
      </c>
      <c r="B1377">
        <v>269</v>
      </c>
      <c r="C1377" s="1">
        <v>16.971186456105219</v>
      </c>
      <c r="D1377" s="9">
        <v>16.454055555556025</v>
      </c>
      <c r="E1377" s="1">
        <v>6.8042100000000003</v>
      </c>
      <c r="F1377" s="1">
        <v>6.60473</v>
      </c>
      <c r="G1377" s="1">
        <v>13.8651</v>
      </c>
      <c r="H1377" s="1">
        <v>6.0741399999999999</v>
      </c>
    </row>
    <row r="1378" spans="1:8" x14ac:dyDescent="0.3">
      <c r="A1378">
        <f t="shared" si="55"/>
        <v>17</v>
      </c>
      <c r="B1378">
        <v>319</v>
      </c>
      <c r="C1378" s="1">
        <v>17.162233666190051</v>
      </c>
      <c r="D1378" s="9">
        <v>16.501277777778334</v>
      </c>
      <c r="E1378" s="1">
        <v>5.6343300000000003</v>
      </c>
      <c r="F1378" s="1">
        <v>6.2161999999999997</v>
      </c>
      <c r="G1378" s="1">
        <v>13.8588</v>
      </c>
      <c r="H1378" s="1">
        <v>4.53911</v>
      </c>
    </row>
    <row r="1379" spans="1:8" x14ac:dyDescent="0.3">
      <c r="A1379" t="e">
        <f t="shared" si="55"/>
        <v>#REF!</v>
      </c>
      <c r="B1379">
        <v>369</v>
      </c>
      <c r="C1379" s="1">
        <v>17.38407286449829</v>
      </c>
      <c r="D1379" s="9">
        <v>16.548500000000644</v>
      </c>
      <c r="E1379" s="1">
        <v>4.8719099999999997</v>
      </c>
      <c r="F1379" s="1">
        <v>6.52766</v>
      </c>
      <c r="G1379" s="1">
        <v>14.0426</v>
      </c>
      <c r="H1379" s="1">
        <v>3.4721899999999999</v>
      </c>
    </row>
    <row r="1380" spans="1:8" x14ac:dyDescent="0.3">
      <c r="A1380">
        <f t="shared" si="55"/>
        <v>8</v>
      </c>
      <c r="B1380">
        <v>419</v>
      </c>
      <c r="C1380" s="1">
        <v>17.564781468670802</v>
      </c>
      <c r="D1380" s="9">
        <v>16.595722222222953</v>
      </c>
      <c r="E1380" s="1">
        <v>4.3693099999999996</v>
      </c>
      <c r="F1380" s="1">
        <v>6.7381700000000002</v>
      </c>
      <c r="G1380" s="1">
        <v>14.026400000000001</v>
      </c>
      <c r="H1380" s="1">
        <v>2.7678400000000001</v>
      </c>
    </row>
    <row r="1381" spans="1:8" x14ac:dyDescent="0.3">
      <c r="A1381" t="e">
        <f t="shared" si="55"/>
        <v>#REF!</v>
      </c>
      <c r="B1381">
        <v>469</v>
      </c>
      <c r="C1381" s="1">
        <v>17.86</v>
      </c>
      <c r="D1381" s="9">
        <v>16.642944444445263</v>
      </c>
      <c r="E1381" s="1">
        <v>3.98976</v>
      </c>
      <c r="F1381" s="1">
        <v>6.5892900000000001</v>
      </c>
      <c r="G1381" s="1">
        <v>13.7515</v>
      </c>
      <c r="H1381" s="1">
        <v>2.3130299999999999</v>
      </c>
    </row>
    <row r="1382" spans="1:8" x14ac:dyDescent="0.3">
      <c r="A1382" t="e">
        <f t="shared" si="55"/>
        <v>#REF!</v>
      </c>
      <c r="B1382">
        <v>519</v>
      </c>
      <c r="C1382" s="1">
        <v>18.036001671034139</v>
      </c>
      <c r="D1382" s="9">
        <v>16.690166666667572</v>
      </c>
      <c r="E1382" s="1">
        <v>3.41777</v>
      </c>
      <c r="F1382" s="1">
        <v>6.0234100000000002</v>
      </c>
      <c r="G1382" s="1">
        <v>13.405799999999999</v>
      </c>
      <c r="H1382" s="1">
        <v>1.7814399999999999</v>
      </c>
    </row>
    <row r="1383" spans="1:8" x14ac:dyDescent="0.3">
      <c r="A1383" t="e">
        <f t="shared" si="55"/>
        <v>#REF!</v>
      </c>
      <c r="B1383">
        <v>569</v>
      </c>
      <c r="C1383" s="1">
        <v>18.2391970319674</v>
      </c>
      <c r="D1383" s="9">
        <v>16.737388888889882</v>
      </c>
      <c r="E1383" s="1">
        <v>2.5569299999999999</v>
      </c>
      <c r="F1383" s="1">
        <v>5.1076499999999996</v>
      </c>
      <c r="G1383" s="1">
        <v>13.0749</v>
      </c>
      <c r="H1383" s="1">
        <v>1.0607800000000001</v>
      </c>
    </row>
    <row r="1384" spans="1:8" x14ac:dyDescent="0.3">
      <c r="A1384">
        <f t="shared" si="55"/>
        <v>15</v>
      </c>
      <c r="B1384">
        <v>619</v>
      </c>
      <c r="C1384" s="1">
        <v>18.440807018851981</v>
      </c>
      <c r="D1384" s="9">
        <v>16.784611111112191</v>
      </c>
      <c r="E1384" s="1">
        <v>1.6480600000000001</v>
      </c>
      <c r="F1384" s="1">
        <v>4.0729199999999999</v>
      </c>
      <c r="G1384" s="1">
        <v>12.676299999999999</v>
      </c>
      <c r="H1384" s="1">
        <v>0.371834</v>
      </c>
    </row>
    <row r="1385" spans="1:8" x14ac:dyDescent="0.3">
      <c r="A1385" t="e">
        <f t="shared" si="55"/>
        <v>#REF!</v>
      </c>
      <c r="B1385">
        <v>669</v>
      </c>
      <c r="C1385" s="1">
        <v>18.537724765920391</v>
      </c>
      <c r="D1385" s="9">
        <v>16.831833333334501</v>
      </c>
      <c r="E1385" s="1">
        <v>0.94054700000000002</v>
      </c>
      <c r="F1385" s="1">
        <v>3.1510099999999999</v>
      </c>
      <c r="G1385" s="1">
        <v>12.2705</v>
      </c>
      <c r="H1385" s="1">
        <v>-1.5760799999999998E-2</v>
      </c>
    </row>
    <row r="1386" spans="1:8" x14ac:dyDescent="0.3">
      <c r="A1386">
        <f t="shared" si="55"/>
        <v>6</v>
      </c>
      <c r="B1386">
        <v>719</v>
      </c>
      <c r="C1386" s="1">
        <v>18.718620316694551</v>
      </c>
      <c r="D1386" s="9">
        <v>16.87905555555681</v>
      </c>
      <c r="E1386" s="1">
        <v>0.64833099999999999</v>
      </c>
      <c r="F1386" s="1">
        <v>2.5432100000000002</v>
      </c>
      <c r="G1386" s="1">
        <v>12.123100000000001</v>
      </c>
      <c r="H1386" s="1">
        <v>0.18790100000000001</v>
      </c>
    </row>
    <row r="1387" spans="1:8" x14ac:dyDescent="0.3">
      <c r="A1387" t="e">
        <f t="shared" si="55"/>
        <v>#REF!</v>
      </c>
      <c r="B1387">
        <v>769</v>
      </c>
      <c r="C1387" s="1">
        <v>18.835043888786249</v>
      </c>
      <c r="D1387" s="9">
        <v>16.92627777777912</v>
      </c>
      <c r="E1387" s="1">
        <v>0.77542199999999994</v>
      </c>
      <c r="F1387" s="1">
        <v>2.2421199999999999</v>
      </c>
      <c r="G1387" s="1">
        <v>12.3367</v>
      </c>
      <c r="H1387" s="1">
        <v>1.0002599999999999</v>
      </c>
    </row>
    <row r="1388" spans="1:8" x14ac:dyDescent="0.3">
      <c r="A1388" t="e">
        <f t="shared" si="55"/>
        <v>#REF!</v>
      </c>
      <c r="B1388">
        <v>819</v>
      </c>
      <c r="C1388" s="1">
        <v>19.28087870423251</v>
      </c>
      <c r="D1388" s="9">
        <v>16.97350000000143</v>
      </c>
      <c r="E1388" s="1">
        <v>1.0542100000000001</v>
      </c>
      <c r="F1388" s="1">
        <v>1.97258</v>
      </c>
      <c r="G1388" s="1">
        <v>12.7759</v>
      </c>
      <c r="H1388" s="1">
        <v>2.0756299999999999</v>
      </c>
    </row>
    <row r="1389" spans="1:8" x14ac:dyDescent="0.3">
      <c r="A1389" t="e">
        <f t="shared" si="55"/>
        <v>#REF!</v>
      </c>
      <c r="B1389">
        <v>869</v>
      </c>
      <c r="C1389" s="1">
        <v>19.504942806574789</v>
      </c>
      <c r="D1389" s="9">
        <v>17.020722222223739</v>
      </c>
      <c r="E1389" s="1">
        <v>1.3476300000000001</v>
      </c>
      <c r="F1389" s="1">
        <v>1.68988</v>
      </c>
      <c r="G1389" s="1">
        <v>13.213100000000001</v>
      </c>
      <c r="H1389" s="1">
        <v>3.0373299999999999</v>
      </c>
    </row>
    <row r="1390" spans="1:8" x14ac:dyDescent="0.3">
      <c r="A1390">
        <f t="shared" si="55"/>
        <v>13</v>
      </c>
      <c r="B1390">
        <v>919</v>
      </c>
      <c r="C1390" s="1">
        <v>19.791194135598289</v>
      </c>
      <c r="D1390" s="9">
        <v>17.067944444446049</v>
      </c>
      <c r="E1390" s="1">
        <v>1.7132400000000001</v>
      </c>
      <c r="F1390" s="1">
        <v>1.6738500000000001</v>
      </c>
      <c r="G1390" s="1">
        <v>13.327199999999999</v>
      </c>
      <c r="H1390" s="1">
        <v>3.5074900000000002</v>
      </c>
    </row>
    <row r="1391" spans="1:8" x14ac:dyDescent="0.3">
      <c r="A1391" t="e">
        <f t="shared" si="55"/>
        <v>#REF!</v>
      </c>
      <c r="B1391">
        <v>969</v>
      </c>
      <c r="C1391" s="1">
        <v>20.118592372740999</v>
      </c>
      <c r="D1391" s="9">
        <v>17.115166666668358</v>
      </c>
      <c r="E1391" s="1">
        <v>2.10338</v>
      </c>
      <c r="F1391" s="1">
        <v>2.0339399999999999</v>
      </c>
      <c r="G1391" s="1">
        <v>13.0717</v>
      </c>
      <c r="H1391" s="1">
        <v>3.3912900000000001</v>
      </c>
    </row>
    <row r="1392" spans="1:8" x14ac:dyDescent="0.3">
      <c r="A1392">
        <f t="shared" si="55"/>
        <v>4</v>
      </c>
      <c r="B1392">
        <v>1019</v>
      </c>
      <c r="C1392" s="1">
        <v>20.527109811614061</v>
      </c>
      <c r="D1392" s="9">
        <v>17.162388888890668</v>
      </c>
      <c r="E1392" s="1">
        <v>2.31792</v>
      </c>
      <c r="F1392" s="1">
        <v>2.6232500000000001</v>
      </c>
      <c r="G1392" s="1">
        <v>12.77</v>
      </c>
      <c r="H1392" s="1">
        <v>2.9680300000000002</v>
      </c>
    </row>
    <row r="1393" spans="1:8" x14ac:dyDescent="0.3">
      <c r="A1393" t="e">
        <f t="shared" si="55"/>
        <v>#REF!</v>
      </c>
      <c r="B1393">
        <v>1069</v>
      </c>
      <c r="C1393" s="1">
        <v>20.9801495302919</v>
      </c>
      <c r="D1393" s="9">
        <v>17.209611111112977</v>
      </c>
      <c r="E1393" s="1">
        <v>2.3226200000000001</v>
      </c>
      <c r="F1393" s="1">
        <v>3.2017199999999999</v>
      </c>
      <c r="G1393" s="1">
        <v>12.6465</v>
      </c>
      <c r="H1393" s="1">
        <v>2.5895000000000001</v>
      </c>
    </row>
    <row r="1394" spans="1:8" x14ac:dyDescent="0.3">
      <c r="A1394" t="e">
        <f t="shared" si="55"/>
        <v>#REF!</v>
      </c>
      <c r="B1394">
        <v>1119</v>
      </c>
      <c r="C1394" s="1">
        <v>21.367080282790909</v>
      </c>
      <c r="D1394" s="9">
        <v>17.256833333335287</v>
      </c>
      <c r="E1394" s="1">
        <v>2.3113600000000001</v>
      </c>
      <c r="F1394" s="1">
        <v>3.4373800000000001</v>
      </c>
      <c r="G1394" s="1">
        <v>12.7583</v>
      </c>
      <c r="H1394" s="1">
        <v>2.6613500000000001</v>
      </c>
    </row>
    <row r="1395" spans="1:8" x14ac:dyDescent="0.3">
      <c r="A1395" t="e">
        <f t="shared" si="55"/>
        <v>#REF!</v>
      </c>
      <c r="B1395">
        <v>1169</v>
      </c>
      <c r="C1395" s="1">
        <v>21.655876769402418</v>
      </c>
      <c r="D1395" s="9">
        <v>17.304055555557596</v>
      </c>
      <c r="E1395" s="1">
        <v>2.3188900000000001</v>
      </c>
      <c r="F1395" s="1">
        <v>3.2947199999999999</v>
      </c>
      <c r="G1395" s="1">
        <v>13.010899999999999</v>
      </c>
      <c r="H1395" s="1">
        <v>3.2820200000000002</v>
      </c>
    </row>
    <row r="1396" spans="1:8" x14ac:dyDescent="0.3">
      <c r="A1396">
        <f t="shared" si="55"/>
        <v>11</v>
      </c>
      <c r="B1396">
        <v>1219</v>
      </c>
      <c r="C1396" s="1">
        <v>22.085783616800949</v>
      </c>
      <c r="D1396" s="9">
        <v>17.351277777779906</v>
      </c>
      <c r="E1396" s="1">
        <v>2.1560899999999998</v>
      </c>
      <c r="F1396" s="1">
        <v>3.13104</v>
      </c>
      <c r="G1396" s="1">
        <v>13.1312</v>
      </c>
      <c r="H1396" s="1">
        <v>4.14466</v>
      </c>
    </row>
    <row r="1397" spans="1:8" x14ac:dyDescent="0.3">
      <c r="A1397" t="e">
        <f t="shared" si="55"/>
        <v>#REF!</v>
      </c>
      <c r="B1397">
        <v>1269</v>
      </c>
      <c r="C1397" s="1">
        <v>22.50151934555555</v>
      </c>
      <c r="D1397" s="9">
        <v>17.398500000002215</v>
      </c>
      <c r="E1397" s="1">
        <v>1.84266</v>
      </c>
      <c r="F1397" s="1">
        <v>3.1681900000000001</v>
      </c>
      <c r="G1397" s="1">
        <v>13.063800000000001</v>
      </c>
      <c r="H1397" s="1">
        <v>4.9629399999999997</v>
      </c>
    </row>
    <row r="1398" spans="1:8" x14ac:dyDescent="0.3">
      <c r="A1398">
        <f t="shared" si="55"/>
        <v>2</v>
      </c>
      <c r="B1398">
        <v>1319</v>
      </c>
      <c r="C1398" s="1">
        <v>22.91970246249457</v>
      </c>
      <c r="D1398" s="9">
        <v>17.445722222224525</v>
      </c>
      <c r="E1398" s="1">
        <v>1.6876199999999999</v>
      </c>
      <c r="F1398" s="1">
        <v>3.4145599999999998</v>
      </c>
      <c r="G1398" s="1">
        <v>13.0486</v>
      </c>
      <c r="H1398" s="1">
        <v>5.5177699999999996</v>
      </c>
    </row>
    <row r="1399" spans="1:8" x14ac:dyDescent="0.3">
      <c r="A1399" t="e">
        <f t="shared" si="55"/>
        <v>#REF!</v>
      </c>
      <c r="B1399">
        <v>1369</v>
      </c>
      <c r="C1399" s="1">
        <v>23.14830095943444</v>
      </c>
      <c r="D1399" s="9">
        <v>17.492944444446834</v>
      </c>
      <c r="E1399" s="1">
        <v>1.8515999999999999</v>
      </c>
      <c r="F1399" s="1">
        <v>3.79867</v>
      </c>
      <c r="G1399" s="1">
        <v>13.146699999999999</v>
      </c>
      <c r="H1399" s="1">
        <v>5.7823500000000001</v>
      </c>
    </row>
    <row r="1400" spans="1:8" x14ac:dyDescent="0.3">
      <c r="A1400">
        <f t="shared" si="55"/>
        <v>18</v>
      </c>
      <c r="B1400">
        <v>1419</v>
      </c>
      <c r="C1400" s="1">
        <v>23.24</v>
      </c>
      <c r="D1400" s="9">
        <v>17.540166666669144</v>
      </c>
      <c r="E1400" s="1">
        <v>2.27339</v>
      </c>
      <c r="F1400" s="1">
        <v>4.1657900000000003</v>
      </c>
      <c r="G1400" s="1">
        <v>13.163600000000001</v>
      </c>
      <c r="H1400" s="1">
        <v>5.9689199999999998</v>
      </c>
    </row>
    <row r="1401" spans="1:8" x14ac:dyDescent="0.3">
      <c r="A1401" t="e">
        <f t="shared" si="55"/>
        <v>#REF!</v>
      </c>
      <c r="B1401">
        <v>1469</v>
      </c>
      <c r="C1401" s="1">
        <v>23.23</v>
      </c>
      <c r="D1401" s="9">
        <v>17.587388888891454</v>
      </c>
      <c r="E1401" s="1">
        <v>2.7835299999999998</v>
      </c>
      <c r="F1401" s="1">
        <v>4.4371600000000004</v>
      </c>
      <c r="G1401" s="1">
        <v>13.072900000000001</v>
      </c>
      <c r="H1401" s="1">
        <v>6.1282500000000004</v>
      </c>
    </row>
    <row r="1402" spans="1:8" x14ac:dyDescent="0.3">
      <c r="A1402">
        <f t="shared" si="55"/>
        <v>9</v>
      </c>
      <c r="B1402">
        <v>1519</v>
      </c>
      <c r="C1402" s="1">
        <v>23.021785782545571</v>
      </c>
      <c r="D1402" s="9">
        <v>17.634611111113763</v>
      </c>
      <c r="E1402" s="1">
        <v>3.0989</v>
      </c>
      <c r="F1402" s="1">
        <v>4.6426600000000002</v>
      </c>
      <c r="G1402" s="1">
        <v>13.0852</v>
      </c>
      <c r="H1402" s="1">
        <v>6.0838900000000002</v>
      </c>
    </row>
    <row r="1403" spans="1:8" x14ac:dyDescent="0.3">
      <c r="A1403">
        <f t="shared" si="55"/>
        <v>0</v>
      </c>
      <c r="B1403">
        <v>1569</v>
      </c>
      <c r="C1403" s="1">
        <v>22.73685495619344</v>
      </c>
      <c r="D1403" s="9">
        <v>17.681833333336073</v>
      </c>
      <c r="E1403" s="1">
        <v>3.2316699999999998</v>
      </c>
      <c r="F1403" s="1">
        <v>4.9197899999999999</v>
      </c>
      <c r="G1403" s="1">
        <v>13.2408</v>
      </c>
      <c r="H1403" s="1">
        <v>5.7329999999999997</v>
      </c>
    </row>
    <row r="1404" spans="1:8" x14ac:dyDescent="0.3">
      <c r="A1404" t="e">
        <f t="shared" si="55"/>
        <v>#REF!</v>
      </c>
      <c r="B1404">
        <v>1619</v>
      </c>
      <c r="C1404" s="1">
        <v>22.36854252047133</v>
      </c>
      <c r="D1404" s="9">
        <v>17.729055555558382</v>
      </c>
      <c r="E1404" s="1">
        <v>3.5801799999999999</v>
      </c>
      <c r="F1404" s="1">
        <v>5.5300399999999996</v>
      </c>
      <c r="G1404" s="1">
        <v>13.3431</v>
      </c>
      <c r="H1404" s="1">
        <v>5.0881699999999999</v>
      </c>
    </row>
    <row r="1405" spans="1:8" x14ac:dyDescent="0.3">
      <c r="A1405" t="e">
        <f t="shared" ref="A1405:A1436" si="56">A1355</f>
        <v>#REF!</v>
      </c>
      <c r="B1405">
        <v>1669</v>
      </c>
      <c r="C1405" s="1">
        <v>21.926633332404801</v>
      </c>
      <c r="D1405" s="9">
        <v>17.776277777780692</v>
      </c>
      <c r="E1405" s="1">
        <v>4.2875800000000002</v>
      </c>
      <c r="F1405" s="1">
        <v>6.5071700000000003</v>
      </c>
      <c r="G1405" s="1">
        <v>13.3476</v>
      </c>
      <c r="H1405" s="1">
        <v>4.2025300000000003</v>
      </c>
    </row>
    <row r="1406" spans="1:8" x14ac:dyDescent="0.3">
      <c r="A1406">
        <f t="shared" si="56"/>
        <v>16</v>
      </c>
      <c r="B1406">
        <v>1719</v>
      </c>
      <c r="C1406" s="1">
        <v>21.43919762813233</v>
      </c>
      <c r="D1406" s="9">
        <v>17.823500000003001</v>
      </c>
      <c r="E1406" s="1">
        <v>5.1314200000000003</v>
      </c>
      <c r="F1406" s="1">
        <v>7.5800900000000002</v>
      </c>
      <c r="G1406" s="1">
        <v>13.4214</v>
      </c>
      <c r="H1406" s="1">
        <v>3.1709399999999999</v>
      </c>
    </row>
    <row r="1407" spans="1:8" x14ac:dyDescent="0.3">
      <c r="A1407" t="e">
        <f t="shared" si="56"/>
        <v>#REF!</v>
      </c>
      <c r="B1407">
        <v>1769</v>
      </c>
      <c r="C1407" s="1">
        <v>21.140502519906459</v>
      </c>
      <c r="D1407" s="9">
        <v>17.870722222225311</v>
      </c>
      <c r="E1407" s="1">
        <v>5.7881999999999998</v>
      </c>
      <c r="F1407" s="1">
        <v>8.4741700000000009</v>
      </c>
      <c r="G1407" s="1">
        <v>13.5747</v>
      </c>
      <c r="H1407" s="1">
        <v>2.0672299999999999</v>
      </c>
    </row>
    <row r="1408" spans="1:8" x14ac:dyDescent="0.3">
      <c r="A1408">
        <f t="shared" si="56"/>
        <v>7</v>
      </c>
      <c r="B1408">
        <v>1819</v>
      </c>
      <c r="C1408" s="1">
        <v>20.751871897556409</v>
      </c>
      <c r="D1408" s="9">
        <v>17.91794444444762</v>
      </c>
      <c r="E1408" s="1">
        <v>5.8445400000000003</v>
      </c>
      <c r="F1408" s="1">
        <v>8.9432700000000001</v>
      </c>
      <c r="G1408" s="1">
        <v>13.602600000000001</v>
      </c>
      <c r="H1408" s="1">
        <v>0.93359800000000004</v>
      </c>
    </row>
    <row r="1409" spans="1:8" x14ac:dyDescent="0.3">
      <c r="A1409" t="e">
        <f t="shared" si="56"/>
        <v>#REF!</v>
      </c>
      <c r="B1409">
        <v>1869</v>
      </c>
      <c r="C1409" s="1">
        <v>20.41065729408006</v>
      </c>
      <c r="D1409" s="9">
        <v>17.96516666666993</v>
      </c>
      <c r="E1409" s="1">
        <v>5.22668</v>
      </c>
      <c r="F1409" s="1">
        <v>9.0066699999999997</v>
      </c>
      <c r="G1409" s="1">
        <v>13.4833</v>
      </c>
      <c r="H1409" s="1">
        <v>-0.23239299999999999</v>
      </c>
    </row>
    <row r="1410" spans="1:8" x14ac:dyDescent="0.3">
      <c r="A1410" t="e">
        <f t="shared" si="56"/>
        <v>#REF!</v>
      </c>
      <c r="B1410">
        <v>1919</v>
      </c>
      <c r="C1410" s="1">
        <v>19.996354688464791</v>
      </c>
      <c r="D1410" s="9">
        <v>18.012388888892239</v>
      </c>
      <c r="E1410" s="1">
        <v>4.3037200000000002</v>
      </c>
      <c r="F1410" s="1">
        <v>9.0150199999999998</v>
      </c>
      <c r="G1410" s="1">
        <v>13.4434</v>
      </c>
      <c r="H1410" s="1">
        <v>-1.4853499999999999</v>
      </c>
    </row>
    <row r="1411" spans="1:8" x14ac:dyDescent="0.3">
      <c r="A1411" t="e">
        <f t="shared" si="56"/>
        <v>#REF!</v>
      </c>
      <c r="B1411">
        <v>1969</v>
      </c>
      <c r="C1411" s="1">
        <v>19.70105058979896</v>
      </c>
      <c r="D1411" s="9">
        <v>18.059611111114549</v>
      </c>
      <c r="E1411" s="1">
        <v>3.43825</v>
      </c>
      <c r="F1411" s="1">
        <v>9.09253</v>
      </c>
      <c r="G1411" s="1">
        <v>13.5489</v>
      </c>
      <c r="H1411" s="1">
        <v>-2.80003</v>
      </c>
    </row>
    <row r="1412" spans="1:8" x14ac:dyDescent="0.3">
      <c r="A1412">
        <f t="shared" si="56"/>
        <v>14</v>
      </c>
      <c r="B1412">
        <v>2019</v>
      </c>
      <c r="C1412" s="1">
        <v>19.434448242765828</v>
      </c>
      <c r="D1412" s="9">
        <v>18.106833333336859</v>
      </c>
      <c r="E1412" s="1">
        <v>2.9397899999999999</v>
      </c>
      <c r="F1412" s="1">
        <v>9.0507000000000009</v>
      </c>
      <c r="G1412" s="1">
        <v>13.6439</v>
      </c>
      <c r="H1412" s="1">
        <v>-4.0459300000000002</v>
      </c>
    </row>
    <row r="1413" spans="1:8" x14ac:dyDescent="0.3">
      <c r="A1413" t="e">
        <f t="shared" si="56"/>
        <v>#REF!</v>
      </c>
      <c r="B1413">
        <v>2069</v>
      </c>
      <c r="C1413" s="1">
        <v>19.272455483943641</v>
      </c>
      <c r="D1413" s="9">
        <v>18.154055555559168</v>
      </c>
      <c r="E1413" s="1">
        <v>2.8312200000000001</v>
      </c>
      <c r="F1413" s="1">
        <v>8.8373699999999999</v>
      </c>
      <c r="G1413" s="1">
        <v>13.692299999999999</v>
      </c>
      <c r="H1413" s="1">
        <v>-5.1127500000000001</v>
      </c>
    </row>
    <row r="1414" spans="1:8" x14ac:dyDescent="0.3">
      <c r="A1414">
        <f t="shared" si="56"/>
        <v>5</v>
      </c>
      <c r="B1414">
        <v>2119</v>
      </c>
      <c r="C1414" s="1">
        <v>19.190000000000001</v>
      </c>
      <c r="D1414" s="9">
        <v>18.201277777781478</v>
      </c>
      <c r="E1414" s="1">
        <v>2.7812299999999999</v>
      </c>
      <c r="F1414" s="1">
        <v>8.5991900000000001</v>
      </c>
      <c r="G1414" s="1">
        <v>13.825200000000001</v>
      </c>
      <c r="H1414" s="1">
        <v>-5.92319</v>
      </c>
    </row>
    <row r="1415" spans="1:8" x14ac:dyDescent="0.3">
      <c r="A1415" t="e">
        <f t="shared" si="56"/>
        <v>#REF!</v>
      </c>
      <c r="B1415">
        <v>2169</v>
      </c>
      <c r="C1415" s="1">
        <v>19.18</v>
      </c>
      <c r="D1415" s="9">
        <v>18.248500000003787</v>
      </c>
      <c r="E1415" s="1">
        <v>2.6722299999999999</v>
      </c>
      <c r="F1415" s="1">
        <v>8.4639399999999991</v>
      </c>
      <c r="G1415" s="1">
        <v>14.024800000000001</v>
      </c>
      <c r="H1415" s="1">
        <v>-6.3567499999999999</v>
      </c>
    </row>
    <row r="1416" spans="1:8" x14ac:dyDescent="0.3">
      <c r="A1416" t="e">
        <f t="shared" si="56"/>
        <v>#REF!</v>
      </c>
      <c r="B1416">
        <v>2219</v>
      </c>
      <c r="C1416" s="1">
        <v>19.20610349363216</v>
      </c>
      <c r="D1416" s="9">
        <v>18.295722222226097</v>
      </c>
      <c r="E1416" s="1">
        <v>2.6819600000000001</v>
      </c>
      <c r="F1416" s="1">
        <v>8.5148700000000002</v>
      </c>
      <c r="G1416" s="1">
        <v>14.0756</v>
      </c>
      <c r="H1416" s="1">
        <v>-6.2410300000000003</v>
      </c>
    </row>
    <row r="1417" spans="1:8" x14ac:dyDescent="0.3">
      <c r="A1417" t="e">
        <f t="shared" si="56"/>
        <v>#REF!</v>
      </c>
      <c r="B1417">
        <v>2269</v>
      </c>
      <c r="C1417" s="1">
        <v>19.413539308767191</v>
      </c>
      <c r="D1417" s="9">
        <v>18.342944444448406</v>
      </c>
      <c r="E1417" s="1">
        <v>2.82734</v>
      </c>
      <c r="F1417" s="1">
        <v>8.6758000000000006</v>
      </c>
      <c r="G1417" s="1">
        <v>13.9466</v>
      </c>
      <c r="H1417" s="1">
        <v>-5.5934100000000004</v>
      </c>
    </row>
    <row r="1418" spans="1:8" x14ac:dyDescent="0.3">
      <c r="A1418">
        <f t="shared" si="56"/>
        <v>12</v>
      </c>
      <c r="B1418">
        <v>2319</v>
      </c>
      <c r="C1418" s="1">
        <v>19.71385647619951</v>
      </c>
      <c r="D1418" s="9">
        <v>18.390166666670716</v>
      </c>
      <c r="E1418" s="1">
        <v>2.9024899999999998</v>
      </c>
      <c r="F1418" s="1">
        <v>8.6774699999999996</v>
      </c>
      <c r="G1418" s="1">
        <v>13.8513</v>
      </c>
      <c r="H1418" s="1">
        <v>-4.67143</v>
      </c>
    </row>
    <row r="1419" spans="1:8" x14ac:dyDescent="0.3">
      <c r="A1419" t="e">
        <f t="shared" si="56"/>
        <v>#REF!</v>
      </c>
      <c r="B1419">
        <v>2369</v>
      </c>
      <c r="C1419" s="1">
        <v>20.141021110920931</v>
      </c>
      <c r="D1419" s="9">
        <v>18.437388888893025</v>
      </c>
      <c r="E1419" s="1">
        <v>2.8537400000000002</v>
      </c>
      <c r="F1419" s="1">
        <v>8.4315099999999994</v>
      </c>
      <c r="G1419" s="1">
        <v>13.843999999999999</v>
      </c>
      <c r="H1419" s="1">
        <v>-3.64514</v>
      </c>
    </row>
    <row r="1420" spans="1:8" x14ac:dyDescent="0.3">
      <c r="A1420">
        <f t="shared" si="56"/>
        <v>3</v>
      </c>
      <c r="B1420">
        <v>2419</v>
      </c>
      <c r="C1420" s="1">
        <v>20.67754958388727</v>
      </c>
      <c r="D1420" s="9">
        <v>18.484611111115335</v>
      </c>
      <c r="E1420" s="1">
        <v>2.8321299999999998</v>
      </c>
      <c r="F1420" s="1">
        <v>8.0944500000000001</v>
      </c>
      <c r="G1420" s="1">
        <v>13.763999999999999</v>
      </c>
      <c r="H1420" s="1">
        <v>-2.5551400000000002</v>
      </c>
    </row>
    <row r="1421" spans="1:8" x14ac:dyDescent="0.3">
      <c r="A1421" t="e">
        <f t="shared" si="56"/>
        <v>#REF!</v>
      </c>
      <c r="B1421">
        <v>2469</v>
      </c>
      <c r="C1421" s="1">
        <v>21.252509829995549</v>
      </c>
      <c r="D1421" s="9">
        <v>18.531833333337644</v>
      </c>
      <c r="E1421" s="1">
        <v>2.8069600000000001</v>
      </c>
      <c r="F1421" s="1">
        <v>7.8526999999999996</v>
      </c>
      <c r="G1421" s="1">
        <v>13.630599999999999</v>
      </c>
      <c r="H1421" s="1">
        <v>-1.4120600000000001</v>
      </c>
    </row>
    <row r="1422" spans="1:8" x14ac:dyDescent="0.3">
      <c r="A1422">
        <f t="shared" si="56"/>
        <v>19</v>
      </c>
      <c r="B1422">
        <v>2519</v>
      </c>
      <c r="C1422" s="1">
        <v>21.765987558612331</v>
      </c>
      <c r="D1422" s="9">
        <v>18.579055555559954</v>
      </c>
      <c r="E1422" s="1">
        <v>2.5089399999999999</v>
      </c>
      <c r="F1422" s="1">
        <v>7.9036299999999997</v>
      </c>
      <c r="G1422" s="1">
        <v>13.6988</v>
      </c>
      <c r="H1422" s="1">
        <v>-0.200323</v>
      </c>
    </row>
    <row r="1423" spans="1:8" x14ac:dyDescent="0.3">
      <c r="A1423" t="e">
        <f t="shared" si="56"/>
        <v>#REF!</v>
      </c>
      <c r="B1423">
        <v>2569</v>
      </c>
      <c r="C1423" s="1">
        <v>22.205061851277939</v>
      </c>
      <c r="D1423" s="9">
        <v>18.626277777782263</v>
      </c>
      <c r="E1423" s="1">
        <v>1.88636</v>
      </c>
      <c r="F1423" s="1">
        <v>8.1952999999999996</v>
      </c>
      <c r="G1423" s="1">
        <v>14.003299999999999</v>
      </c>
      <c r="H1423" s="1">
        <v>1.06145</v>
      </c>
    </row>
    <row r="1424" spans="1:8" x14ac:dyDescent="0.3">
      <c r="A1424">
        <f t="shared" si="56"/>
        <v>10</v>
      </c>
      <c r="B1424">
        <v>2619</v>
      </c>
      <c r="C1424" s="1">
        <v>22.536156411400409</v>
      </c>
      <c r="D1424" s="9">
        <v>18.673500000004573</v>
      </c>
      <c r="E1424" s="1">
        <v>1.1800600000000001</v>
      </c>
      <c r="F1424" s="1">
        <v>8.3675200000000007</v>
      </c>
      <c r="G1424" s="1">
        <v>14.286</v>
      </c>
      <c r="H1424" s="1">
        <v>2.30965</v>
      </c>
    </row>
    <row r="1425" spans="1:8" x14ac:dyDescent="0.3">
      <c r="A1425" t="e">
        <f t="shared" si="56"/>
        <v>#REF!</v>
      </c>
      <c r="B1425">
        <v>2669</v>
      </c>
      <c r="C1425" s="1">
        <v>22.922319807616681</v>
      </c>
      <c r="D1425" s="9">
        <v>18.720722222226883</v>
      </c>
      <c r="E1425" s="1">
        <v>0.67595400000000005</v>
      </c>
      <c r="F1425" s="1">
        <v>8.2578200000000006</v>
      </c>
      <c r="G1425" s="1">
        <v>14.3459</v>
      </c>
      <c r="H1425" s="1">
        <v>3.46651</v>
      </c>
    </row>
    <row r="1426" spans="1:8" x14ac:dyDescent="0.3">
      <c r="A1426">
        <f t="shared" si="56"/>
        <v>1</v>
      </c>
      <c r="B1426">
        <v>2719</v>
      </c>
      <c r="C1426" s="1">
        <v>23.377011350698918</v>
      </c>
      <c r="D1426" s="9">
        <v>18.767944444449192</v>
      </c>
      <c r="E1426" s="1">
        <v>0.68540400000000001</v>
      </c>
      <c r="F1426" s="1">
        <v>7.9794200000000002</v>
      </c>
      <c r="G1426" s="1">
        <v>14.0815</v>
      </c>
      <c r="H1426" s="1">
        <v>4.4408399999999997</v>
      </c>
    </row>
    <row r="1427" spans="1:8" x14ac:dyDescent="0.3">
      <c r="A1427" t="e">
        <f t="shared" si="56"/>
        <v>#REF!</v>
      </c>
      <c r="B1427">
        <v>2769</v>
      </c>
      <c r="C1427" s="1">
        <v>23.82201793438545</v>
      </c>
      <c r="D1427" s="9">
        <v>18.815166666671502</v>
      </c>
      <c r="E1427" s="1">
        <v>1.2485900000000001</v>
      </c>
      <c r="F1427" s="1">
        <v>7.7834000000000003</v>
      </c>
      <c r="G1427" s="1">
        <v>13.5878</v>
      </c>
      <c r="H1427" s="1">
        <v>5.1625100000000002</v>
      </c>
    </row>
    <row r="1428" spans="1:8" x14ac:dyDescent="0.3">
      <c r="A1428">
        <f t="shared" si="56"/>
        <v>17</v>
      </c>
      <c r="B1428">
        <v>2819</v>
      </c>
      <c r="C1428" s="1">
        <v>24.092269440547931</v>
      </c>
      <c r="D1428" s="9">
        <v>18.862388888893811</v>
      </c>
      <c r="E1428" s="1">
        <v>2.06603</v>
      </c>
      <c r="F1428" s="1">
        <v>8.0636200000000002</v>
      </c>
      <c r="G1428" s="1">
        <v>13.1935</v>
      </c>
      <c r="H1428" s="1">
        <v>5.5920100000000001</v>
      </c>
    </row>
    <row r="1429" spans="1:8" x14ac:dyDescent="0.3">
      <c r="A1429" t="e">
        <f t="shared" si="56"/>
        <v>#REF!</v>
      </c>
      <c r="B1429">
        <v>2869</v>
      </c>
      <c r="C1429" s="1">
        <v>24.282635829927809</v>
      </c>
      <c r="D1429" s="9">
        <v>18.909611111116121</v>
      </c>
      <c r="E1429" s="1">
        <v>2.8241800000000001</v>
      </c>
      <c r="F1429" s="1">
        <v>8.9496099999999998</v>
      </c>
      <c r="G1429" s="1">
        <v>13.171099999999999</v>
      </c>
      <c r="H1429" s="1">
        <v>5.8149600000000001</v>
      </c>
    </row>
    <row r="1430" spans="1:8" x14ac:dyDescent="0.3">
      <c r="A1430">
        <f t="shared" si="56"/>
        <v>8</v>
      </c>
      <c r="B1430">
        <v>2919</v>
      </c>
      <c r="C1430" s="1">
        <v>24.215701223552259</v>
      </c>
      <c r="D1430" s="9">
        <v>18.95683333333843</v>
      </c>
      <c r="E1430" s="1">
        <v>3.2278500000000001</v>
      </c>
      <c r="F1430" s="1">
        <v>10.2285</v>
      </c>
      <c r="G1430" s="1">
        <v>13.6991</v>
      </c>
      <c r="H1430" s="1">
        <v>6.0639599999999998</v>
      </c>
    </row>
    <row r="1431" spans="1:8" x14ac:dyDescent="0.3">
      <c r="A1431" t="e">
        <f t="shared" si="56"/>
        <v>#REF!</v>
      </c>
      <c r="B1431">
        <v>2969</v>
      </c>
      <c r="C1431" s="1">
        <v>24.07456571391544</v>
      </c>
      <c r="D1431" s="9">
        <v>19.00405555556074</v>
      </c>
      <c r="E1431" s="1">
        <v>3.3165200000000001</v>
      </c>
      <c r="F1431" s="1">
        <v>11.605499999999999</v>
      </c>
      <c r="G1431" s="1">
        <v>14.737399999999999</v>
      </c>
      <c r="H1431" s="1">
        <v>6.4123700000000001</v>
      </c>
    </row>
    <row r="1432" spans="1:8" x14ac:dyDescent="0.3">
      <c r="A1432" t="e">
        <f t="shared" si="56"/>
        <v>#REF!</v>
      </c>
      <c r="B1432">
        <v>3019</v>
      </c>
      <c r="C1432" s="1">
        <v>23.979987896140521</v>
      </c>
      <c r="D1432" s="9">
        <v>19.051277777783049</v>
      </c>
      <c r="E1432" s="1">
        <v>3.5365899999999999</v>
      </c>
      <c r="F1432" s="1">
        <v>12.712</v>
      </c>
      <c r="G1432" s="1">
        <v>15.9823</v>
      </c>
      <c r="H1432" s="1">
        <v>6.7311699999999997</v>
      </c>
    </row>
    <row r="1433" spans="1:8" x14ac:dyDescent="0.3">
      <c r="A1433" t="e">
        <f t="shared" si="56"/>
        <v>#REF!</v>
      </c>
      <c r="B1433">
        <v>3069</v>
      </c>
      <c r="C1433" s="1">
        <v>23.79382471097329</v>
      </c>
      <c r="D1433" s="9">
        <v>19.098500000005359</v>
      </c>
      <c r="E1433" s="1">
        <v>4.12826</v>
      </c>
      <c r="F1433" s="1">
        <v>13.2568</v>
      </c>
      <c r="G1433" s="1">
        <v>17.108000000000001</v>
      </c>
      <c r="H1433" s="1">
        <v>7.0293200000000002</v>
      </c>
    </row>
    <row r="1434" spans="1:8" x14ac:dyDescent="0.3">
      <c r="A1434">
        <f t="shared" si="56"/>
        <v>15</v>
      </c>
      <c r="B1434">
        <v>3119</v>
      </c>
      <c r="C1434" s="1">
        <v>23.404630628907789</v>
      </c>
      <c r="D1434" s="9">
        <v>19.145722222227668</v>
      </c>
      <c r="E1434" s="1">
        <v>5.0388299999999999</v>
      </c>
      <c r="F1434" s="1">
        <v>13.072100000000001</v>
      </c>
      <c r="G1434" s="1">
        <v>17.7972</v>
      </c>
      <c r="H1434" s="1">
        <v>7.4929399999999999</v>
      </c>
    </row>
    <row r="1435" spans="1:8" x14ac:dyDescent="0.3">
      <c r="A1435" t="e">
        <f t="shared" si="56"/>
        <v>#REF!</v>
      </c>
      <c r="B1435">
        <v>3169</v>
      </c>
      <c r="C1435" s="1">
        <v>23.008717318849509</v>
      </c>
      <c r="D1435" s="9">
        <v>19.192944444449978</v>
      </c>
      <c r="E1435" s="1">
        <v>6.1174400000000002</v>
      </c>
      <c r="F1435" s="1">
        <v>12.2469</v>
      </c>
      <c r="G1435" s="1">
        <v>17.950800000000001</v>
      </c>
      <c r="H1435" s="1">
        <v>8.2238699999999998</v>
      </c>
    </row>
    <row r="1436" spans="1:8" x14ac:dyDescent="0.3">
      <c r="A1436">
        <f t="shared" si="56"/>
        <v>6</v>
      </c>
      <c r="B1436">
        <v>3219</v>
      </c>
      <c r="C1436" s="1">
        <v>22.646740744760312</v>
      </c>
      <c r="D1436" s="9">
        <v>19.240166666672287</v>
      </c>
      <c r="E1436" s="1">
        <v>7.1339699999999997</v>
      </c>
      <c r="F1436" s="1">
        <v>11.1427</v>
      </c>
      <c r="G1436" s="1">
        <v>17.715399999999999</v>
      </c>
      <c r="H1436" s="1">
        <v>9.2138399999999994</v>
      </c>
    </row>
    <row r="1437" spans="1:8" x14ac:dyDescent="0.3">
      <c r="A1437" t="e">
        <f t="shared" ref="A1437:A1443" si="57">A1387</f>
        <v>#REF!</v>
      </c>
      <c r="B1437">
        <v>3269</v>
      </c>
      <c r="C1437" s="1">
        <v>22.259694872303161</v>
      </c>
      <c r="D1437" s="9">
        <v>19.287388888894597</v>
      </c>
      <c r="E1437" s="1">
        <v>8.0336400000000001</v>
      </c>
      <c r="F1437" s="1">
        <v>10.116099999999999</v>
      </c>
      <c r="G1437" s="1">
        <v>17.2897</v>
      </c>
      <c r="H1437" s="1">
        <v>10.4137</v>
      </c>
    </row>
    <row r="1438" spans="1:8" x14ac:dyDescent="0.3">
      <c r="A1438" t="e">
        <f t="shared" si="57"/>
        <v>#REF!</v>
      </c>
      <c r="B1438">
        <v>3319</v>
      </c>
      <c r="C1438" s="1">
        <v>21.88232996658855</v>
      </c>
      <c r="D1438" s="9">
        <v>19.334611111116907</v>
      </c>
      <c r="E1438" s="1">
        <v>9.1224399999999992</v>
      </c>
      <c r="F1438" s="1">
        <v>9.87256</v>
      </c>
      <c r="G1438" s="1">
        <v>17.042999999999999</v>
      </c>
      <c r="H1438" s="1">
        <v>11.7676</v>
      </c>
    </row>
    <row r="1439" spans="1:8" x14ac:dyDescent="0.3">
      <c r="A1439" t="e">
        <f t="shared" si="57"/>
        <v>#REF!</v>
      </c>
      <c r="B1439">
        <v>3369</v>
      </c>
      <c r="C1439" s="1">
        <v>21.573267912575211</v>
      </c>
      <c r="D1439" s="9">
        <v>19.381833333339216</v>
      </c>
      <c r="E1439" s="1">
        <v>10.733700000000001</v>
      </c>
      <c r="F1439" s="1">
        <v>11.078200000000001</v>
      </c>
      <c r="G1439" s="1">
        <v>17.2212</v>
      </c>
      <c r="H1439" s="1">
        <v>13.2051</v>
      </c>
    </row>
    <row r="1440" spans="1:8" x14ac:dyDescent="0.3">
      <c r="A1440">
        <f t="shared" si="57"/>
        <v>13</v>
      </c>
      <c r="B1440">
        <v>3419</v>
      </c>
      <c r="C1440" s="1">
        <v>21.24088505993149</v>
      </c>
      <c r="D1440" s="9">
        <v>19.429055555561526</v>
      </c>
      <c r="E1440" s="1">
        <v>12.5474</v>
      </c>
      <c r="F1440" s="1">
        <v>12.7135</v>
      </c>
      <c r="G1440" s="1">
        <v>17.545200000000001</v>
      </c>
      <c r="H1440" s="1">
        <v>14.617100000000001</v>
      </c>
    </row>
    <row r="1441" spans="1:8" x14ac:dyDescent="0.3">
      <c r="A1441" t="e">
        <f t="shared" si="57"/>
        <v>#REF!</v>
      </c>
      <c r="B1441">
        <v>3469</v>
      </c>
      <c r="C1441" s="1">
        <v>20.731113561463911</v>
      </c>
      <c r="D1441" s="9">
        <v>19.476277777783835</v>
      </c>
      <c r="E1441" s="1">
        <v>14.4496</v>
      </c>
      <c r="F1441" s="1">
        <v>14.526400000000001</v>
      </c>
      <c r="G1441" s="1">
        <v>17.999400000000001</v>
      </c>
      <c r="H1441" s="1">
        <v>16.008700000000001</v>
      </c>
    </row>
    <row r="1442" spans="1:8" x14ac:dyDescent="0.3">
      <c r="A1442">
        <f t="shared" si="57"/>
        <v>4</v>
      </c>
      <c r="B1442">
        <v>3519</v>
      </c>
      <c r="C1442" s="1">
        <v>20.279040703161861</v>
      </c>
      <c r="D1442" s="9">
        <v>19.523500000006145</v>
      </c>
      <c r="E1442" s="1">
        <v>16.396599999999999</v>
      </c>
      <c r="F1442" s="1">
        <v>16.427199999999999</v>
      </c>
      <c r="G1442" s="1">
        <v>18.552499999999998</v>
      </c>
      <c r="H1442" s="1">
        <v>17.386800000000001</v>
      </c>
    </row>
    <row r="1443" spans="1:8" x14ac:dyDescent="0.3">
      <c r="A1443" t="e">
        <f t="shared" si="57"/>
        <v>#REF!</v>
      </c>
      <c r="B1443">
        <v>3569</v>
      </c>
      <c r="C1443" s="1">
        <v>19.87227725108562</v>
      </c>
      <c r="D1443" s="9">
        <v>19.570722222228454</v>
      </c>
      <c r="E1443" s="1">
        <v>18.369</v>
      </c>
      <c r="F1443" s="1">
        <v>18.3764</v>
      </c>
      <c r="G1443" s="1">
        <v>19.180599999999998</v>
      </c>
      <c r="H1443" s="1">
        <v>18.755199999999999</v>
      </c>
    </row>
    <row r="1444" spans="1:8" x14ac:dyDescent="0.3">
      <c r="A1444">
        <v>20</v>
      </c>
      <c r="B1444">
        <v>20</v>
      </c>
      <c r="C1444" s="1">
        <v>16.173458217312579</v>
      </c>
      <c r="D1444" s="9">
        <v>16.218888888888923</v>
      </c>
      <c r="E1444" s="1">
        <v>15.4582</v>
      </c>
      <c r="F1444" s="1">
        <v>15.4087</v>
      </c>
      <c r="G1444" s="1">
        <v>15.955399999999999</v>
      </c>
      <c r="H1444" s="1">
        <v>15.454599999999999</v>
      </c>
    </row>
    <row r="1445" spans="1:8" x14ac:dyDescent="0.3">
      <c r="A1445" t="e">
        <f t="shared" ref="A1445:A1476" si="58">A1395</f>
        <v>#REF!</v>
      </c>
      <c r="B1445">
        <v>70</v>
      </c>
      <c r="C1445" s="1">
        <v>16.184258077227629</v>
      </c>
      <c r="D1445" s="9">
        <v>16.266111111111233</v>
      </c>
      <c r="E1445" s="1">
        <v>13.619</v>
      </c>
      <c r="F1445" s="1">
        <v>13.449199999999999</v>
      </c>
      <c r="G1445" s="1">
        <v>15.381600000000001</v>
      </c>
      <c r="H1445" s="1">
        <v>13.584899999999999</v>
      </c>
    </row>
    <row r="1446" spans="1:8" x14ac:dyDescent="0.3">
      <c r="A1446">
        <f t="shared" si="58"/>
        <v>11</v>
      </c>
      <c r="B1446">
        <v>120</v>
      </c>
      <c r="C1446" s="1">
        <v>16.288303849737812</v>
      </c>
      <c r="D1446" s="9">
        <v>16.313333333333542</v>
      </c>
      <c r="E1446" s="1">
        <v>11.809100000000001</v>
      </c>
      <c r="F1446" s="1">
        <v>11.5305</v>
      </c>
      <c r="G1446" s="1">
        <v>14.8719</v>
      </c>
      <c r="H1446" s="1">
        <v>11.705399999999999</v>
      </c>
    </row>
    <row r="1447" spans="1:8" x14ac:dyDescent="0.3">
      <c r="A1447" t="e">
        <f t="shared" si="58"/>
        <v>#REF!</v>
      </c>
      <c r="B1447">
        <v>170</v>
      </c>
      <c r="C1447" s="1">
        <v>16.482967334130642</v>
      </c>
      <c r="D1447" s="9">
        <v>16.360555555555852</v>
      </c>
      <c r="E1447" s="1">
        <v>10.0428</v>
      </c>
      <c r="F1447" s="1">
        <v>9.6840600000000006</v>
      </c>
      <c r="G1447" s="1">
        <v>14.442299999999999</v>
      </c>
      <c r="H1447" s="1">
        <v>9.8157499999999995</v>
      </c>
    </row>
    <row r="1448" spans="1:8" x14ac:dyDescent="0.3">
      <c r="A1448">
        <f t="shared" si="58"/>
        <v>2</v>
      </c>
      <c r="B1448">
        <v>220</v>
      </c>
      <c r="C1448" s="1">
        <v>16.850000000000001</v>
      </c>
      <c r="D1448" s="9">
        <v>16.407777777778161</v>
      </c>
      <c r="E1448" s="1">
        <v>8.3470300000000002</v>
      </c>
      <c r="F1448" s="1">
        <v>7.9782599999999997</v>
      </c>
      <c r="G1448" s="1">
        <v>14.1098</v>
      </c>
      <c r="H1448" s="1">
        <v>7.9190699999999996</v>
      </c>
    </row>
    <row r="1449" spans="1:8" x14ac:dyDescent="0.3">
      <c r="A1449" t="e">
        <f t="shared" si="58"/>
        <v>#REF!</v>
      </c>
      <c r="B1449">
        <v>270</v>
      </c>
      <c r="C1449" s="1">
        <v>16.974978989365741</v>
      </c>
      <c r="D1449" s="9">
        <v>16.455000000000471</v>
      </c>
      <c r="E1449" s="1">
        <v>6.7749499999999996</v>
      </c>
      <c r="F1449" s="1">
        <v>6.5828699999999998</v>
      </c>
      <c r="G1449" s="1">
        <v>13.860799999999999</v>
      </c>
      <c r="H1449" s="1">
        <v>6.0375800000000002</v>
      </c>
    </row>
    <row r="1450" spans="1:8" x14ac:dyDescent="0.3">
      <c r="A1450">
        <f t="shared" si="58"/>
        <v>18</v>
      </c>
      <c r="B1450">
        <v>320</v>
      </c>
      <c r="C1450" s="1">
        <v>17.166108598863101</v>
      </c>
      <c r="D1450" s="9">
        <v>16.50222222222278</v>
      </c>
      <c r="E1450" s="1">
        <v>5.6161899999999996</v>
      </c>
      <c r="F1450" s="1">
        <v>6.2199200000000001</v>
      </c>
      <c r="G1450" s="1">
        <v>13.862500000000001</v>
      </c>
      <c r="H1450" s="1">
        <v>4.5141299999999998</v>
      </c>
    </row>
    <row r="1451" spans="1:8" x14ac:dyDescent="0.3">
      <c r="A1451" t="e">
        <f t="shared" si="58"/>
        <v>#REF!</v>
      </c>
      <c r="B1451">
        <v>370</v>
      </c>
      <c r="C1451" s="1">
        <v>17.39189520545526</v>
      </c>
      <c r="D1451" s="9">
        <v>16.54944444444509</v>
      </c>
      <c r="E1451" s="1">
        <v>4.8593500000000001</v>
      </c>
      <c r="F1451" s="1">
        <v>6.5343299999999997</v>
      </c>
      <c r="G1451" s="1">
        <v>14.0451</v>
      </c>
      <c r="H1451" s="1">
        <v>3.4544299999999999</v>
      </c>
    </row>
    <row r="1452" spans="1:8" x14ac:dyDescent="0.3">
      <c r="A1452">
        <f t="shared" si="58"/>
        <v>9</v>
      </c>
      <c r="B1452">
        <v>420</v>
      </c>
      <c r="C1452" s="1">
        <v>17.57673613657013</v>
      </c>
      <c r="D1452" s="9">
        <v>16.596666666667399</v>
      </c>
      <c r="E1452" s="1">
        <v>4.3614699999999997</v>
      </c>
      <c r="F1452" s="1">
        <v>6.7389700000000001</v>
      </c>
      <c r="G1452" s="1">
        <v>14.0229</v>
      </c>
      <c r="H1452" s="1">
        <v>2.7572800000000002</v>
      </c>
    </row>
    <row r="1453" spans="1:8" x14ac:dyDescent="0.3">
      <c r="A1453">
        <f t="shared" si="58"/>
        <v>0</v>
      </c>
      <c r="B1453">
        <v>470</v>
      </c>
      <c r="C1453" s="1">
        <v>17.85890684936027</v>
      </c>
      <c r="D1453" s="9">
        <v>16.643888888889709</v>
      </c>
      <c r="E1453" s="1">
        <v>3.98129</v>
      </c>
      <c r="F1453" s="1">
        <v>6.5822099999999999</v>
      </c>
      <c r="G1453" s="1">
        <v>13.7446</v>
      </c>
      <c r="H1453" s="1">
        <v>2.3042799999999999</v>
      </c>
    </row>
    <row r="1454" spans="1:8" x14ac:dyDescent="0.3">
      <c r="A1454" t="e">
        <f t="shared" si="58"/>
        <v>#REF!</v>
      </c>
      <c r="B1454">
        <v>520</v>
      </c>
      <c r="C1454" s="1">
        <v>18.040221705884839</v>
      </c>
      <c r="D1454" s="9">
        <v>16.691111111112019</v>
      </c>
      <c r="E1454" s="1">
        <v>3.4027500000000002</v>
      </c>
      <c r="F1454" s="1">
        <v>6.0078500000000004</v>
      </c>
      <c r="G1454" s="1">
        <v>13.3992</v>
      </c>
      <c r="H1454" s="1">
        <v>1.7683199999999999</v>
      </c>
    </row>
    <row r="1455" spans="1:8" x14ac:dyDescent="0.3">
      <c r="A1455" t="e">
        <f t="shared" si="58"/>
        <v>#REF!</v>
      </c>
      <c r="B1455">
        <v>570</v>
      </c>
      <c r="C1455" s="1">
        <v>18.24349763016868</v>
      </c>
      <c r="D1455" s="9">
        <v>16.738333333334328</v>
      </c>
      <c r="E1455" s="1">
        <v>2.5383200000000001</v>
      </c>
      <c r="F1455" s="1">
        <v>5.0872999999999999</v>
      </c>
      <c r="G1455" s="1">
        <v>13.0679</v>
      </c>
      <c r="H1455" s="1">
        <v>1.04586</v>
      </c>
    </row>
    <row r="1456" spans="1:8" x14ac:dyDescent="0.3">
      <c r="A1456">
        <f t="shared" si="58"/>
        <v>16</v>
      </c>
      <c r="B1456">
        <v>620</v>
      </c>
      <c r="C1456" s="1">
        <v>18.44494940080445</v>
      </c>
      <c r="D1456" s="9">
        <v>16.785555555556638</v>
      </c>
      <c r="E1456" s="1">
        <v>1.6311899999999999</v>
      </c>
      <c r="F1456" s="1">
        <v>4.0526799999999996</v>
      </c>
      <c r="G1456" s="1">
        <v>12.6675</v>
      </c>
      <c r="H1456" s="1">
        <v>0.36015200000000003</v>
      </c>
    </row>
    <row r="1457" spans="1:8" x14ac:dyDescent="0.3">
      <c r="A1457" t="e">
        <f t="shared" si="58"/>
        <v>#REF!</v>
      </c>
      <c r="B1457">
        <v>670</v>
      </c>
      <c r="C1457" s="1">
        <v>18.545642892491639</v>
      </c>
      <c r="D1457" s="9">
        <v>16.832777777778947</v>
      </c>
      <c r="E1457" s="1">
        <v>0.92996199999999996</v>
      </c>
      <c r="F1457" s="1">
        <v>3.1351499999999999</v>
      </c>
      <c r="G1457" s="1">
        <v>12.264099999999999</v>
      </c>
      <c r="H1457" s="1">
        <v>-1.8407E-2</v>
      </c>
    </row>
    <row r="1458" spans="1:8" x14ac:dyDescent="0.3">
      <c r="A1458">
        <f t="shared" si="58"/>
        <v>7</v>
      </c>
      <c r="B1458">
        <v>720</v>
      </c>
      <c r="C1458" s="1">
        <v>18.722517298676181</v>
      </c>
      <c r="D1458" s="9">
        <v>16.880000000001257</v>
      </c>
      <c r="E1458" s="1">
        <v>0.64754500000000004</v>
      </c>
      <c r="F1458" s="1">
        <v>2.5350000000000001</v>
      </c>
      <c r="G1458" s="1">
        <v>12.1241</v>
      </c>
      <c r="H1458" s="1">
        <v>0.19917299999999999</v>
      </c>
    </row>
    <row r="1459" spans="1:8" x14ac:dyDescent="0.3">
      <c r="A1459" t="e">
        <f t="shared" si="58"/>
        <v>#REF!</v>
      </c>
      <c r="B1459">
        <v>770</v>
      </c>
      <c r="C1459" s="1">
        <v>18.838974814558579</v>
      </c>
      <c r="D1459" s="9">
        <v>16.927222222223566</v>
      </c>
      <c r="E1459" s="1">
        <v>0.78044000000000002</v>
      </c>
      <c r="F1459" s="1">
        <v>2.2373599999999998</v>
      </c>
      <c r="G1459" s="1">
        <v>12.3438</v>
      </c>
      <c r="H1459" s="1">
        <v>1.0204299999999999</v>
      </c>
    </row>
    <row r="1460" spans="1:8" x14ac:dyDescent="0.3">
      <c r="A1460" t="e">
        <f t="shared" si="58"/>
        <v>#REF!</v>
      </c>
      <c r="B1460">
        <v>820</v>
      </c>
      <c r="C1460" s="1">
        <v>19.284844691922078</v>
      </c>
      <c r="D1460" s="9">
        <v>16.974444444445876</v>
      </c>
      <c r="E1460" s="1">
        <v>1.05982</v>
      </c>
      <c r="F1460" s="1">
        <v>1.9662500000000001</v>
      </c>
      <c r="G1460" s="1">
        <v>12.7857</v>
      </c>
      <c r="H1460" s="1">
        <v>2.0972599999999999</v>
      </c>
    </row>
    <row r="1461" spans="1:8" x14ac:dyDescent="0.3">
      <c r="A1461" t="e">
        <f t="shared" si="58"/>
        <v>#REF!</v>
      </c>
      <c r="B1461">
        <v>870</v>
      </c>
      <c r="C1461" s="1">
        <v>19.51313670703529</v>
      </c>
      <c r="D1461" s="9">
        <v>17.021666666668185</v>
      </c>
      <c r="E1461" s="1">
        <v>1.35402</v>
      </c>
      <c r="F1461" s="1">
        <v>1.68597</v>
      </c>
      <c r="G1461" s="1">
        <v>13.2196</v>
      </c>
      <c r="H1461" s="1">
        <v>3.0527700000000002</v>
      </c>
    </row>
    <row r="1462" spans="1:8" x14ac:dyDescent="0.3">
      <c r="A1462">
        <f t="shared" si="58"/>
        <v>14</v>
      </c>
      <c r="B1462">
        <v>920</v>
      </c>
      <c r="C1462" s="1">
        <v>19.79546225911778</v>
      </c>
      <c r="D1462" s="9">
        <v>17.068888888890495</v>
      </c>
      <c r="E1462" s="1">
        <v>1.72142</v>
      </c>
      <c r="F1462" s="1">
        <v>1.6777299999999999</v>
      </c>
      <c r="G1462" s="1">
        <v>13.3248</v>
      </c>
      <c r="H1462" s="1">
        <v>3.5101499999999999</v>
      </c>
    </row>
    <row r="1463" spans="1:8" x14ac:dyDescent="0.3">
      <c r="A1463" t="e">
        <f t="shared" si="58"/>
        <v>#REF!</v>
      </c>
      <c r="B1463">
        <v>970</v>
      </c>
      <c r="C1463" s="1">
        <v>20.12753622670024</v>
      </c>
      <c r="D1463" s="9">
        <v>17.116111111112804</v>
      </c>
      <c r="E1463" s="1">
        <v>2.1100599999999998</v>
      </c>
      <c r="F1463" s="1">
        <v>2.0440399999999999</v>
      </c>
      <c r="G1463" s="1">
        <v>13.065</v>
      </c>
      <c r="H1463" s="1">
        <v>3.3848099999999999</v>
      </c>
    </row>
    <row r="1464" spans="1:8" x14ac:dyDescent="0.3">
      <c r="A1464">
        <f t="shared" si="58"/>
        <v>5</v>
      </c>
      <c r="B1464">
        <v>1020</v>
      </c>
      <c r="C1464" s="1">
        <v>20.53347855103631</v>
      </c>
      <c r="D1464" s="9">
        <v>17.163333333335114</v>
      </c>
      <c r="E1464" s="1">
        <v>2.3195100000000002</v>
      </c>
      <c r="F1464" s="1">
        <v>2.6360199999999998</v>
      </c>
      <c r="G1464" s="1">
        <v>12.765499999999999</v>
      </c>
      <c r="H1464" s="1">
        <v>2.9586700000000001</v>
      </c>
    </row>
    <row r="1465" spans="1:8" x14ac:dyDescent="0.3">
      <c r="A1465" t="e">
        <f t="shared" si="58"/>
        <v>#REF!</v>
      </c>
      <c r="B1465">
        <v>1070</v>
      </c>
      <c r="C1465" s="1">
        <v>20.984770367495191</v>
      </c>
      <c r="D1465" s="9">
        <v>17.210555555557423</v>
      </c>
      <c r="E1465" s="1">
        <v>2.3218800000000002</v>
      </c>
      <c r="F1465" s="1">
        <v>3.2108699999999999</v>
      </c>
      <c r="G1465" s="1">
        <v>12.6463</v>
      </c>
      <c r="H1465" s="1">
        <v>2.58521</v>
      </c>
    </row>
    <row r="1466" spans="1:8" x14ac:dyDescent="0.3">
      <c r="A1466" t="e">
        <f t="shared" si="58"/>
        <v>#REF!</v>
      </c>
      <c r="B1466">
        <v>1120</v>
      </c>
      <c r="C1466" s="1">
        <v>21.376053360835851</v>
      </c>
      <c r="D1466" s="9">
        <v>17.257777777779733</v>
      </c>
      <c r="E1466" s="1">
        <v>2.3118699999999999</v>
      </c>
      <c r="F1466" s="1">
        <v>3.4372099999999999</v>
      </c>
      <c r="G1466" s="1">
        <v>12.7628</v>
      </c>
      <c r="H1466" s="1">
        <v>2.6692300000000002</v>
      </c>
    </row>
    <row r="1467" spans="1:8" x14ac:dyDescent="0.3">
      <c r="A1467" t="e">
        <f t="shared" si="58"/>
        <v>#REF!</v>
      </c>
      <c r="B1467">
        <v>1170</v>
      </c>
      <c r="C1467" s="1">
        <v>21.66458811851879</v>
      </c>
      <c r="D1467" s="9">
        <v>17.305000000002043</v>
      </c>
      <c r="E1467" s="1">
        <v>2.3179500000000002</v>
      </c>
      <c r="F1467" s="1">
        <v>3.2904</v>
      </c>
      <c r="G1467" s="1">
        <v>13.015499999999999</v>
      </c>
      <c r="H1467" s="1">
        <v>3.2980100000000001</v>
      </c>
    </row>
    <row r="1468" spans="1:8" x14ac:dyDescent="0.3">
      <c r="A1468">
        <f t="shared" si="58"/>
        <v>12</v>
      </c>
      <c r="B1468">
        <v>1220</v>
      </c>
      <c r="C1468" s="1">
        <v>22.096826674608678</v>
      </c>
      <c r="D1468" s="9">
        <v>17.352222222224352</v>
      </c>
      <c r="E1468" s="1">
        <v>2.1503800000000002</v>
      </c>
      <c r="F1468" s="1">
        <v>3.1296900000000001</v>
      </c>
      <c r="G1468" s="1">
        <v>13.131</v>
      </c>
      <c r="H1468" s="1">
        <v>4.1622300000000001</v>
      </c>
    </row>
    <row r="1469" spans="1:8" x14ac:dyDescent="0.3">
      <c r="A1469" t="e">
        <f t="shared" si="58"/>
        <v>#REF!</v>
      </c>
      <c r="B1469">
        <v>1270</v>
      </c>
      <c r="C1469" s="1">
        <v>22.514574416278968</v>
      </c>
      <c r="D1469" s="9">
        <v>17.399444444446662</v>
      </c>
      <c r="E1469" s="1">
        <v>1.83694</v>
      </c>
      <c r="F1469" s="1">
        <v>3.1711</v>
      </c>
      <c r="G1469" s="1">
        <v>13.062099999999999</v>
      </c>
      <c r="H1469" s="1">
        <v>4.9772999999999996</v>
      </c>
    </row>
    <row r="1470" spans="1:8" x14ac:dyDescent="0.3">
      <c r="A1470">
        <f t="shared" si="58"/>
        <v>3</v>
      </c>
      <c r="B1470">
        <v>1320</v>
      </c>
      <c r="C1470" s="1">
        <v>22.923876860142339</v>
      </c>
      <c r="D1470" s="9">
        <v>17.446666666668971</v>
      </c>
      <c r="E1470" s="1">
        <v>1.68788</v>
      </c>
      <c r="F1470" s="1">
        <v>3.4213800000000001</v>
      </c>
      <c r="G1470" s="1">
        <v>13.05</v>
      </c>
      <c r="H1470" s="1">
        <v>5.52529</v>
      </c>
    </row>
    <row r="1471" spans="1:8" x14ac:dyDescent="0.3">
      <c r="A1471" t="e">
        <f t="shared" si="58"/>
        <v>#REF!</v>
      </c>
      <c r="B1471">
        <v>1370</v>
      </c>
      <c r="C1471" s="1">
        <v>23.15250705350573</v>
      </c>
      <c r="D1471" s="9">
        <v>17.493888888891281</v>
      </c>
      <c r="E1471" s="1">
        <v>1.85778</v>
      </c>
      <c r="F1471" s="1">
        <v>3.8067000000000002</v>
      </c>
      <c r="G1471" s="1">
        <v>13.1486</v>
      </c>
      <c r="H1471" s="1">
        <v>5.7861099999999999</v>
      </c>
    </row>
    <row r="1472" spans="1:8" x14ac:dyDescent="0.3">
      <c r="A1472">
        <f t="shared" si="58"/>
        <v>19</v>
      </c>
      <c r="B1472">
        <v>1420</v>
      </c>
      <c r="C1472" s="1">
        <v>23.24</v>
      </c>
      <c r="D1472" s="9">
        <v>17.54111111111359</v>
      </c>
      <c r="E1472" s="1">
        <v>2.2836400000000001</v>
      </c>
      <c r="F1472" s="1">
        <v>4.17211</v>
      </c>
      <c r="G1472" s="1">
        <v>13.1622</v>
      </c>
      <c r="H1472" s="1">
        <v>5.9728700000000003</v>
      </c>
    </row>
    <row r="1473" spans="1:8" x14ac:dyDescent="0.3">
      <c r="A1473" t="e">
        <f t="shared" si="58"/>
        <v>#REF!</v>
      </c>
      <c r="B1473">
        <v>1470</v>
      </c>
      <c r="C1473" s="1">
        <v>23.228896798573061</v>
      </c>
      <c r="D1473" s="9">
        <v>17.5883333333359</v>
      </c>
      <c r="E1473" s="1">
        <v>2.7926600000000001</v>
      </c>
      <c r="F1473" s="1">
        <v>4.44177</v>
      </c>
      <c r="G1473" s="1">
        <v>13.071400000000001</v>
      </c>
      <c r="H1473" s="1">
        <v>6.1299799999999998</v>
      </c>
    </row>
    <row r="1474" spans="1:8" x14ac:dyDescent="0.3">
      <c r="A1474">
        <f t="shared" si="58"/>
        <v>10</v>
      </c>
      <c r="B1474">
        <v>1520</v>
      </c>
      <c r="C1474" s="1">
        <v>23.015439087264468</v>
      </c>
      <c r="D1474" s="9">
        <v>17.635555555558209</v>
      </c>
      <c r="E1474" s="1">
        <v>3.10216</v>
      </c>
      <c r="F1474" s="1">
        <v>4.6466700000000003</v>
      </c>
      <c r="G1474" s="1">
        <v>13.0875</v>
      </c>
      <c r="H1474" s="1">
        <v>6.0798800000000002</v>
      </c>
    </row>
    <row r="1475" spans="1:8" x14ac:dyDescent="0.3">
      <c r="A1475" t="e">
        <f t="shared" si="58"/>
        <v>#REF!</v>
      </c>
      <c r="B1475">
        <v>1570</v>
      </c>
      <c r="C1475" s="1">
        <v>22.73275129778197</v>
      </c>
      <c r="D1475" s="9">
        <v>17.682777777780519</v>
      </c>
      <c r="E1475" s="1">
        <v>3.23516</v>
      </c>
      <c r="F1475" s="1">
        <v>4.9278700000000004</v>
      </c>
      <c r="G1475" s="1">
        <v>13.244</v>
      </c>
      <c r="H1475" s="1">
        <v>5.7229099999999997</v>
      </c>
    </row>
    <row r="1476" spans="1:8" x14ac:dyDescent="0.3">
      <c r="A1476">
        <f t="shared" si="58"/>
        <v>1</v>
      </c>
      <c r="B1476">
        <v>1620</v>
      </c>
      <c r="C1476" s="1">
        <v>22.36055370481326</v>
      </c>
      <c r="D1476" s="9">
        <v>17.730000000002828</v>
      </c>
      <c r="E1476" s="1">
        <v>3.5913900000000001</v>
      </c>
      <c r="F1476" s="1">
        <v>5.5467700000000004</v>
      </c>
      <c r="G1476" s="1">
        <v>13.3437</v>
      </c>
      <c r="H1476" s="1">
        <v>5.0725199999999999</v>
      </c>
    </row>
    <row r="1477" spans="1:8" x14ac:dyDescent="0.3">
      <c r="A1477" t="e">
        <f t="shared" ref="A1477:A1508" si="59">A1427</f>
        <v>#REF!</v>
      </c>
      <c r="B1477">
        <v>1670</v>
      </c>
      <c r="C1477" s="1">
        <v>21.914695077061431</v>
      </c>
      <c r="D1477" s="9">
        <v>17.777222222225138</v>
      </c>
      <c r="E1477" s="1">
        <v>4.3039500000000004</v>
      </c>
      <c r="F1477" s="1">
        <v>6.5286600000000004</v>
      </c>
      <c r="G1477" s="1">
        <v>13.347799999999999</v>
      </c>
      <c r="H1477" s="1">
        <v>4.1830100000000003</v>
      </c>
    </row>
    <row r="1478" spans="1:8" x14ac:dyDescent="0.3">
      <c r="A1478">
        <f t="shared" si="59"/>
        <v>17</v>
      </c>
      <c r="B1478">
        <v>1720</v>
      </c>
      <c r="C1478" s="1">
        <v>21.42740902142776</v>
      </c>
      <c r="D1478" s="9">
        <v>17.824444444447447</v>
      </c>
      <c r="E1478" s="1">
        <v>5.1477500000000003</v>
      </c>
      <c r="F1478" s="1">
        <v>7.6005799999999999</v>
      </c>
      <c r="G1478" s="1">
        <v>13.424300000000001</v>
      </c>
      <c r="H1478" s="1">
        <v>3.14941</v>
      </c>
    </row>
    <row r="1479" spans="1:8" x14ac:dyDescent="0.3">
      <c r="A1479" t="e">
        <f t="shared" si="59"/>
        <v>#REF!</v>
      </c>
      <c r="B1479">
        <v>1770</v>
      </c>
      <c r="C1479" s="1">
        <v>21.132430657107399</v>
      </c>
      <c r="D1479" s="9">
        <v>17.871666666669757</v>
      </c>
      <c r="E1479" s="1">
        <v>5.7965499999999999</v>
      </c>
      <c r="F1479" s="1">
        <v>8.4884799999999991</v>
      </c>
      <c r="G1479" s="1">
        <v>13.577199999999999</v>
      </c>
      <c r="H1479" s="1">
        <v>2.0447199999999999</v>
      </c>
    </row>
    <row r="1480" spans="1:8" x14ac:dyDescent="0.3">
      <c r="A1480">
        <f t="shared" si="59"/>
        <v>8</v>
      </c>
      <c r="B1480">
        <v>1820</v>
      </c>
      <c r="C1480" s="1">
        <v>20.746939694616831</v>
      </c>
      <c r="D1480" s="9">
        <v>17.918888888892067</v>
      </c>
      <c r="E1480" s="1">
        <v>5.8377400000000002</v>
      </c>
      <c r="F1480" s="1">
        <v>8.9474599999999995</v>
      </c>
      <c r="G1480" s="1">
        <v>13.601000000000001</v>
      </c>
      <c r="H1480" s="1">
        <v>0.91076199999999996</v>
      </c>
    </row>
    <row r="1481" spans="1:8" x14ac:dyDescent="0.3">
      <c r="A1481" t="e">
        <f t="shared" si="59"/>
        <v>#REF!</v>
      </c>
      <c r="B1481">
        <v>1870</v>
      </c>
      <c r="C1481" s="1">
        <v>20.402559585995771</v>
      </c>
      <c r="D1481" s="9">
        <v>17.966111111114376</v>
      </c>
      <c r="E1481" s="1">
        <v>5.2098899999999997</v>
      </c>
      <c r="F1481" s="1">
        <v>9.0061900000000001</v>
      </c>
      <c r="G1481" s="1">
        <v>13.4809</v>
      </c>
      <c r="H1481" s="1">
        <v>-0.25642199999999998</v>
      </c>
    </row>
    <row r="1482" spans="1:8" x14ac:dyDescent="0.3">
      <c r="A1482" t="e">
        <f t="shared" si="59"/>
        <v>#REF!</v>
      </c>
      <c r="B1482">
        <v>1920</v>
      </c>
      <c r="C1482" s="1">
        <v>19.992265494976419</v>
      </c>
      <c r="D1482" s="9">
        <v>18.013333333336686</v>
      </c>
      <c r="E1482" s="1">
        <v>4.28477</v>
      </c>
      <c r="F1482" s="1">
        <v>9.0164000000000009</v>
      </c>
      <c r="G1482" s="1">
        <v>13.4445</v>
      </c>
      <c r="H1482" s="1">
        <v>-1.5114399999999999</v>
      </c>
    </row>
    <row r="1483" spans="1:8" x14ac:dyDescent="0.3">
      <c r="A1483" t="e">
        <f t="shared" si="59"/>
        <v>#REF!</v>
      </c>
      <c r="B1483">
        <v>1970</v>
      </c>
      <c r="C1483" s="1">
        <v>19.692739249512702</v>
      </c>
      <c r="D1483" s="9">
        <v>18.060555555558995</v>
      </c>
      <c r="E1483" s="1">
        <v>3.4237199999999999</v>
      </c>
      <c r="F1483" s="1">
        <v>9.0935299999999994</v>
      </c>
      <c r="G1483" s="1">
        <v>13.551399999999999</v>
      </c>
      <c r="H1483" s="1">
        <v>-2.8260700000000001</v>
      </c>
    </row>
    <row r="1484" spans="1:8" x14ac:dyDescent="0.3">
      <c r="A1484">
        <f t="shared" si="59"/>
        <v>15</v>
      </c>
      <c r="B1484">
        <v>2020</v>
      </c>
      <c r="C1484" s="1">
        <v>19.430364026220669</v>
      </c>
      <c r="D1484" s="9">
        <v>18.107777777781305</v>
      </c>
      <c r="E1484" s="1">
        <v>2.9347699999999999</v>
      </c>
      <c r="F1484" s="1">
        <v>9.0477100000000004</v>
      </c>
      <c r="G1484" s="1">
        <v>13.6449</v>
      </c>
      <c r="H1484" s="1">
        <v>-4.0692899999999996</v>
      </c>
    </row>
    <row r="1485" spans="1:8" x14ac:dyDescent="0.3">
      <c r="A1485" t="e">
        <f t="shared" si="59"/>
        <v>#REF!</v>
      </c>
      <c r="B1485">
        <v>2070</v>
      </c>
      <c r="C1485" s="1">
        <v>19.27</v>
      </c>
      <c r="D1485" s="9">
        <v>18.155000000003614</v>
      </c>
      <c r="E1485" s="1">
        <v>2.8307799999999999</v>
      </c>
      <c r="F1485" s="1">
        <v>8.8323300000000007</v>
      </c>
      <c r="G1485" s="1">
        <v>13.6937</v>
      </c>
      <c r="H1485" s="1">
        <v>-5.1317300000000001</v>
      </c>
    </row>
    <row r="1486" spans="1:8" x14ac:dyDescent="0.3">
      <c r="A1486">
        <f t="shared" si="59"/>
        <v>6</v>
      </c>
      <c r="B1486">
        <v>2120</v>
      </c>
      <c r="C1486" s="1">
        <v>19.190000000000001</v>
      </c>
      <c r="D1486" s="9">
        <v>18.202222222225924</v>
      </c>
      <c r="E1486" s="1">
        <v>2.7791399999999999</v>
      </c>
      <c r="F1486" s="1">
        <v>8.5951699999999995</v>
      </c>
      <c r="G1486" s="1">
        <v>13.8292</v>
      </c>
      <c r="H1486" s="1">
        <v>-5.9361199999999998</v>
      </c>
    </row>
    <row r="1487" spans="1:8" x14ac:dyDescent="0.3">
      <c r="A1487" t="e">
        <f t="shared" si="59"/>
        <v>#REF!</v>
      </c>
      <c r="B1487">
        <v>2170</v>
      </c>
      <c r="C1487" s="1">
        <v>19.18</v>
      </c>
      <c r="D1487" s="9">
        <v>18.249444444448233</v>
      </c>
      <c r="E1487" s="1">
        <v>2.6706400000000001</v>
      </c>
      <c r="F1487" s="1">
        <v>8.4628999999999994</v>
      </c>
      <c r="G1487" s="1">
        <v>14.028</v>
      </c>
      <c r="H1487" s="1">
        <v>-6.3603699999999996</v>
      </c>
    </row>
    <row r="1488" spans="1:8" x14ac:dyDescent="0.3">
      <c r="A1488" t="e">
        <f t="shared" si="59"/>
        <v>#REF!</v>
      </c>
      <c r="B1488">
        <v>2220</v>
      </c>
      <c r="C1488" s="1">
        <v>19.210006569094759</v>
      </c>
      <c r="D1488" s="9">
        <v>18.296666666670543</v>
      </c>
      <c r="E1488" s="1">
        <v>2.6841400000000002</v>
      </c>
      <c r="F1488" s="1">
        <v>8.5178399999999996</v>
      </c>
      <c r="G1488" s="1">
        <v>14.0741</v>
      </c>
      <c r="H1488" s="1">
        <v>-6.2325200000000001</v>
      </c>
    </row>
    <row r="1489" spans="1:8" x14ac:dyDescent="0.3">
      <c r="A1489" t="e">
        <f t="shared" si="59"/>
        <v>#REF!</v>
      </c>
      <c r="B1489">
        <v>2270</v>
      </c>
      <c r="C1489" s="1">
        <v>19.41753857290259</v>
      </c>
      <c r="D1489" s="9">
        <v>18.343888888892852</v>
      </c>
      <c r="E1489" s="1">
        <v>2.8302399999999999</v>
      </c>
      <c r="F1489" s="1">
        <v>8.6782900000000005</v>
      </c>
      <c r="G1489" s="1">
        <v>13.9436</v>
      </c>
      <c r="H1489" s="1">
        <v>-5.5767600000000002</v>
      </c>
    </row>
    <row r="1490" spans="1:8" x14ac:dyDescent="0.3">
      <c r="A1490">
        <f t="shared" si="59"/>
        <v>13</v>
      </c>
      <c r="B1490">
        <v>2320</v>
      </c>
      <c r="C1490" s="1">
        <v>19.722097658586911</v>
      </c>
      <c r="D1490" s="9">
        <v>18.391111111115162</v>
      </c>
      <c r="E1490" s="1">
        <v>2.9022899999999998</v>
      </c>
      <c r="F1490" s="1">
        <v>8.67455</v>
      </c>
      <c r="G1490" s="1">
        <v>13.8508</v>
      </c>
      <c r="H1490" s="1">
        <v>-4.6517299999999997</v>
      </c>
    </row>
    <row r="1491" spans="1:8" x14ac:dyDescent="0.3">
      <c r="A1491" t="e">
        <f t="shared" si="59"/>
        <v>#REF!</v>
      </c>
      <c r="B1491">
        <v>2370</v>
      </c>
      <c r="C1491" s="1">
        <v>20.152963928709369</v>
      </c>
      <c r="D1491" s="9">
        <v>18.438333333337471</v>
      </c>
      <c r="E1491" s="1">
        <v>2.8525299999999998</v>
      </c>
      <c r="F1491" s="1">
        <v>8.4250900000000009</v>
      </c>
      <c r="G1491" s="1">
        <v>13.8437</v>
      </c>
      <c r="H1491" s="1">
        <v>-3.6238600000000001</v>
      </c>
    </row>
    <row r="1492" spans="1:8" x14ac:dyDescent="0.3">
      <c r="A1492">
        <f t="shared" si="59"/>
        <v>4</v>
      </c>
      <c r="B1492">
        <v>2420</v>
      </c>
      <c r="C1492" s="1">
        <v>20.689076252756809</v>
      </c>
      <c r="D1492" s="9">
        <v>18.485555555559781</v>
      </c>
      <c r="E1492" s="1">
        <v>2.8324799999999999</v>
      </c>
      <c r="F1492" s="1">
        <v>8.0880100000000006</v>
      </c>
      <c r="G1492" s="1">
        <v>13.761100000000001</v>
      </c>
      <c r="H1492" s="1">
        <v>-2.5328499999999998</v>
      </c>
    </row>
    <row r="1493" spans="1:8" x14ac:dyDescent="0.3">
      <c r="A1493" t="e">
        <f t="shared" si="59"/>
        <v>#REF!</v>
      </c>
      <c r="B1493">
        <v>2470</v>
      </c>
      <c r="C1493" s="1">
        <v>21.263961830665028</v>
      </c>
      <c r="D1493" s="9">
        <v>18.532777777782091</v>
      </c>
      <c r="E1493" s="1">
        <v>2.8045800000000001</v>
      </c>
      <c r="F1493" s="1">
        <v>7.8502299999999998</v>
      </c>
      <c r="G1493" s="1">
        <v>13.629099999999999</v>
      </c>
      <c r="H1493" s="1">
        <v>-1.38855</v>
      </c>
    </row>
    <row r="1494" spans="1:8" x14ac:dyDescent="0.3">
      <c r="A1494">
        <f t="shared" si="59"/>
        <v>20</v>
      </c>
      <c r="B1494">
        <v>2520</v>
      </c>
      <c r="C1494" s="1">
        <v>21.780754333923621</v>
      </c>
      <c r="D1494" s="9">
        <v>18.5800000000044</v>
      </c>
      <c r="E1494" s="1">
        <v>2.49899</v>
      </c>
      <c r="F1494" s="1">
        <v>7.9081999999999999</v>
      </c>
      <c r="G1494" s="1">
        <v>13.7034</v>
      </c>
      <c r="H1494" s="1">
        <v>-0.17538500000000001</v>
      </c>
    </row>
    <row r="1495" spans="1:8" x14ac:dyDescent="0.3">
      <c r="A1495" t="e">
        <f t="shared" si="59"/>
        <v>#REF!</v>
      </c>
      <c r="B1495">
        <v>2570</v>
      </c>
      <c r="C1495" s="1">
        <v>22.208832121191559</v>
      </c>
      <c r="D1495" s="9">
        <v>18.62722222222671</v>
      </c>
      <c r="E1495" s="1">
        <v>1.87218</v>
      </c>
      <c r="F1495" s="1">
        <v>8.2011400000000005</v>
      </c>
      <c r="G1495" s="1">
        <v>14.0101</v>
      </c>
      <c r="H1495" s="1">
        <v>1.08677</v>
      </c>
    </row>
    <row r="1496" spans="1:8" x14ac:dyDescent="0.3">
      <c r="A1496">
        <f t="shared" si="59"/>
        <v>11</v>
      </c>
      <c r="B1496">
        <v>2620</v>
      </c>
      <c r="C1496" s="1">
        <v>22.54371836268632</v>
      </c>
      <c r="D1496" s="9">
        <v>18.674444444449019</v>
      </c>
      <c r="E1496" s="1">
        <v>1.1669499999999999</v>
      </c>
      <c r="F1496" s="1">
        <v>8.3678299999999997</v>
      </c>
      <c r="G1496" s="1">
        <v>14.2897</v>
      </c>
      <c r="H1496" s="1">
        <v>2.3339799999999999</v>
      </c>
    </row>
    <row r="1497" spans="1:8" x14ac:dyDescent="0.3">
      <c r="A1497" t="e">
        <f t="shared" si="59"/>
        <v>#REF!</v>
      </c>
      <c r="B1497">
        <v>2670</v>
      </c>
      <c r="C1497" s="1">
        <v>22.929742004438491</v>
      </c>
      <c r="D1497" s="9">
        <v>18.721666666671329</v>
      </c>
      <c r="E1497" s="1">
        <v>0.67011900000000002</v>
      </c>
      <c r="F1497" s="1">
        <v>8.2534399999999994</v>
      </c>
      <c r="G1497" s="1">
        <v>14.343999999999999</v>
      </c>
      <c r="H1497" s="1">
        <v>3.4880900000000001</v>
      </c>
    </row>
    <row r="1498" spans="1:8" x14ac:dyDescent="0.3">
      <c r="A1498">
        <f t="shared" si="59"/>
        <v>2</v>
      </c>
      <c r="B1498">
        <v>2720</v>
      </c>
      <c r="C1498" s="1">
        <v>23.386941339558788</v>
      </c>
      <c r="D1498" s="9">
        <v>18.768888888893638</v>
      </c>
      <c r="E1498" s="1">
        <v>0.69210199999999999</v>
      </c>
      <c r="F1498" s="1">
        <v>7.97342</v>
      </c>
      <c r="G1498" s="1">
        <v>14.072900000000001</v>
      </c>
      <c r="H1498" s="1">
        <v>4.45791</v>
      </c>
    </row>
    <row r="1499" spans="1:8" x14ac:dyDescent="0.3">
      <c r="A1499" t="e">
        <f t="shared" si="59"/>
        <v>#REF!</v>
      </c>
      <c r="B1499">
        <v>2770</v>
      </c>
      <c r="C1499" s="1">
        <v>23.825968239546519</v>
      </c>
      <c r="D1499" s="9">
        <v>18.816111111115948</v>
      </c>
      <c r="E1499" s="1">
        <v>1.2635099999999999</v>
      </c>
      <c r="F1499" s="1">
        <v>7.7830399999999997</v>
      </c>
      <c r="G1499" s="1">
        <v>13.5778</v>
      </c>
      <c r="H1499" s="1">
        <v>5.1740700000000004</v>
      </c>
    </row>
    <row r="1500" spans="1:8" x14ac:dyDescent="0.3">
      <c r="A1500">
        <f t="shared" si="59"/>
        <v>18</v>
      </c>
      <c r="B1500">
        <v>2820</v>
      </c>
      <c r="C1500" s="1">
        <v>24.096288781617162</v>
      </c>
      <c r="D1500" s="9">
        <v>18.863333333338257</v>
      </c>
      <c r="E1500" s="1">
        <v>2.0827900000000001</v>
      </c>
      <c r="F1500" s="1">
        <v>8.0759699999999999</v>
      </c>
      <c r="G1500" s="1">
        <v>13.188700000000001</v>
      </c>
      <c r="H1500" s="1">
        <v>5.5977600000000001</v>
      </c>
    </row>
    <row r="1501" spans="1:8" x14ac:dyDescent="0.3">
      <c r="A1501" t="e">
        <f t="shared" si="59"/>
        <v>#REF!</v>
      </c>
      <c r="B1501">
        <v>2870</v>
      </c>
      <c r="C1501" s="1">
        <v>24.286654169630211</v>
      </c>
      <c r="D1501" s="9">
        <v>18.910555555560567</v>
      </c>
      <c r="E1501" s="1">
        <v>2.8366500000000001</v>
      </c>
      <c r="F1501" s="1">
        <v>8.9721299999999999</v>
      </c>
      <c r="G1501" s="1">
        <v>13.175700000000001</v>
      </c>
      <c r="H1501" s="1">
        <v>5.8189099999999998</v>
      </c>
    </row>
    <row r="1502" spans="1:8" x14ac:dyDescent="0.3">
      <c r="A1502">
        <f t="shared" si="59"/>
        <v>9</v>
      </c>
      <c r="B1502">
        <v>2920</v>
      </c>
      <c r="C1502" s="1">
        <v>24.21168562697515</v>
      </c>
      <c r="D1502" s="9">
        <v>18.957777777782876</v>
      </c>
      <c r="E1502" s="1">
        <v>3.23136</v>
      </c>
      <c r="F1502" s="1">
        <v>10.2563</v>
      </c>
      <c r="G1502" s="1">
        <v>13.7158</v>
      </c>
      <c r="H1502" s="1">
        <v>6.0703100000000001</v>
      </c>
    </row>
    <row r="1503" spans="1:8" x14ac:dyDescent="0.3">
      <c r="A1503">
        <f t="shared" si="59"/>
        <v>0</v>
      </c>
      <c r="B1503">
        <v>2970</v>
      </c>
      <c r="C1503" s="1">
        <v>24.070516048822739</v>
      </c>
      <c r="D1503" s="9">
        <v>19.005000000005186</v>
      </c>
      <c r="E1503" s="1">
        <v>3.3180999999999998</v>
      </c>
      <c r="F1503" s="1">
        <v>11.631500000000001</v>
      </c>
      <c r="G1503" s="1">
        <v>14.7613</v>
      </c>
      <c r="H1503" s="1">
        <v>6.4194800000000001</v>
      </c>
    </row>
    <row r="1504" spans="1:8" x14ac:dyDescent="0.3">
      <c r="A1504" t="e">
        <f t="shared" si="59"/>
        <v>#REF!</v>
      </c>
      <c r="B1504">
        <v>3020</v>
      </c>
      <c r="C1504" s="1">
        <v>23.975814151498561</v>
      </c>
      <c r="D1504" s="9">
        <v>19.052222222227496</v>
      </c>
      <c r="E1504" s="1">
        <v>3.5448200000000001</v>
      </c>
      <c r="F1504" s="1">
        <v>12.728999999999999</v>
      </c>
      <c r="G1504" s="1">
        <v>16.007100000000001</v>
      </c>
      <c r="H1504" s="1">
        <v>6.7367699999999999</v>
      </c>
    </row>
    <row r="1505" spans="1:8" x14ac:dyDescent="0.3">
      <c r="A1505" t="e">
        <f t="shared" si="59"/>
        <v>#REF!</v>
      </c>
      <c r="B1505">
        <v>3070</v>
      </c>
      <c r="C1505" s="1">
        <v>23.785213115459939</v>
      </c>
      <c r="D1505" s="9">
        <v>19.099444444449805</v>
      </c>
      <c r="E1505" s="1">
        <v>4.1436099999999998</v>
      </c>
      <c r="F1505" s="1">
        <v>13.2607</v>
      </c>
      <c r="G1505" s="1">
        <v>17.126999999999999</v>
      </c>
      <c r="H1505" s="1">
        <v>7.03634</v>
      </c>
    </row>
    <row r="1506" spans="1:8" x14ac:dyDescent="0.3">
      <c r="A1506">
        <f t="shared" si="59"/>
        <v>16</v>
      </c>
      <c r="B1506">
        <v>3120</v>
      </c>
      <c r="C1506" s="1">
        <v>23.400473385326571</v>
      </c>
      <c r="D1506" s="9">
        <v>19.146666666672115</v>
      </c>
      <c r="E1506" s="1">
        <v>5.0595299999999996</v>
      </c>
      <c r="F1506" s="1">
        <v>13.060700000000001</v>
      </c>
      <c r="G1506" s="1">
        <v>17.805099999999999</v>
      </c>
      <c r="H1506" s="1">
        <v>7.5049200000000003</v>
      </c>
    </row>
    <row r="1507" spans="1:8" x14ac:dyDescent="0.3">
      <c r="A1507" t="e">
        <f t="shared" si="59"/>
        <v>#REF!</v>
      </c>
      <c r="B1507">
        <v>3170</v>
      </c>
      <c r="C1507" s="1">
        <v>23.004602600501979</v>
      </c>
      <c r="D1507" s="9">
        <v>19.193888888894424</v>
      </c>
      <c r="E1507" s="1">
        <v>6.1391099999999996</v>
      </c>
      <c r="F1507" s="1">
        <v>12.2264</v>
      </c>
      <c r="G1507" s="1">
        <v>17.949400000000001</v>
      </c>
      <c r="H1507" s="1">
        <v>8.2411899999999996</v>
      </c>
    </row>
    <row r="1508" spans="1:8" x14ac:dyDescent="0.3">
      <c r="A1508">
        <f t="shared" si="59"/>
        <v>7</v>
      </c>
      <c r="B1508">
        <v>3220</v>
      </c>
      <c r="C1508" s="1">
        <v>22.638385089521542</v>
      </c>
      <c r="D1508" s="9">
        <v>19.241111111116734</v>
      </c>
      <c r="E1508" s="1">
        <v>7.1525800000000004</v>
      </c>
      <c r="F1508" s="1">
        <v>11.120100000000001</v>
      </c>
      <c r="G1508" s="1">
        <v>17.707899999999999</v>
      </c>
      <c r="H1508" s="1">
        <v>9.2360600000000002</v>
      </c>
    </row>
    <row r="1509" spans="1:8" x14ac:dyDescent="0.3">
      <c r="A1509" t="e">
        <f t="shared" ref="A1509:A1515" si="60">A1459</f>
        <v>#REF!</v>
      </c>
      <c r="B1509">
        <v>3270</v>
      </c>
      <c r="C1509" s="1">
        <v>22.251075445839799</v>
      </c>
      <c r="D1509" s="9">
        <v>19.288333333339043</v>
      </c>
      <c r="E1509" s="1">
        <v>8.0518599999999996</v>
      </c>
      <c r="F1509" s="1">
        <v>10.099399999999999</v>
      </c>
      <c r="G1509" s="1">
        <v>17.281199999999998</v>
      </c>
      <c r="H1509" s="1">
        <v>10.439299999999999</v>
      </c>
    </row>
    <row r="1510" spans="1:8" x14ac:dyDescent="0.3">
      <c r="A1510" t="e">
        <f t="shared" si="60"/>
        <v>#REF!</v>
      </c>
      <c r="B1510">
        <v>3320</v>
      </c>
      <c r="C1510" s="1">
        <v>21.873795759352401</v>
      </c>
      <c r="D1510" s="9">
        <v>19.335555555561353</v>
      </c>
      <c r="E1510" s="1">
        <v>9.1503899999999998</v>
      </c>
      <c r="F1510" s="1">
        <v>9.8860899999999994</v>
      </c>
      <c r="G1510" s="1">
        <v>17.043900000000001</v>
      </c>
      <c r="H1510" s="1">
        <v>11.796200000000001</v>
      </c>
    </row>
    <row r="1511" spans="1:8" x14ac:dyDescent="0.3">
      <c r="A1511" t="e">
        <f t="shared" si="60"/>
        <v>#REF!</v>
      </c>
      <c r="B1511">
        <v>3370</v>
      </c>
      <c r="C1511" s="1">
        <v>21.56904548139396</v>
      </c>
      <c r="D1511" s="9">
        <v>19.382777777783662</v>
      </c>
      <c r="E1511" s="1">
        <v>10.768599999999999</v>
      </c>
      <c r="F1511" s="1">
        <v>11.1081</v>
      </c>
      <c r="G1511" s="1">
        <v>17.226299999999998</v>
      </c>
      <c r="H1511" s="1">
        <v>13.233599999999999</v>
      </c>
    </row>
    <row r="1512" spans="1:8" x14ac:dyDescent="0.3">
      <c r="A1512">
        <f t="shared" si="60"/>
        <v>14</v>
      </c>
      <c r="B1512">
        <v>3420</v>
      </c>
      <c r="C1512" s="1">
        <v>21.23321210824685</v>
      </c>
      <c r="D1512" s="9">
        <v>19.430000000005972</v>
      </c>
      <c r="E1512" s="1">
        <v>12.5848</v>
      </c>
      <c r="F1512" s="1">
        <v>12.7485</v>
      </c>
      <c r="G1512" s="1">
        <v>17.5532</v>
      </c>
      <c r="H1512" s="1">
        <v>14.645099999999999</v>
      </c>
    </row>
    <row r="1513" spans="1:8" x14ac:dyDescent="0.3">
      <c r="A1513" t="e">
        <f t="shared" si="60"/>
        <v>#REF!</v>
      </c>
      <c r="B1513">
        <v>3470</v>
      </c>
      <c r="C1513" s="1">
        <v>20.722500257512131</v>
      </c>
      <c r="D1513" s="9">
        <v>19.477222222228281</v>
      </c>
      <c r="E1513" s="1">
        <v>14.488200000000001</v>
      </c>
      <c r="F1513" s="1">
        <v>14.563800000000001</v>
      </c>
      <c r="G1513" s="1">
        <v>18.009599999999999</v>
      </c>
      <c r="H1513" s="1">
        <v>16.0364</v>
      </c>
    </row>
    <row r="1514" spans="1:8" x14ac:dyDescent="0.3">
      <c r="A1514">
        <f t="shared" si="60"/>
        <v>5</v>
      </c>
      <c r="B1514">
        <v>3520</v>
      </c>
      <c r="C1514" s="1">
        <v>20.27510803051754</v>
      </c>
      <c r="D1514" s="9">
        <v>19.524444444450591</v>
      </c>
      <c r="E1514" s="1">
        <v>16.4359</v>
      </c>
      <c r="F1514" s="1">
        <v>16.465800000000002</v>
      </c>
      <c r="G1514" s="1">
        <v>18.564399999999999</v>
      </c>
      <c r="H1514" s="1">
        <v>17.414200000000001</v>
      </c>
    </row>
    <row r="1515" spans="1:8" x14ac:dyDescent="0.3">
      <c r="A1515" t="e">
        <f t="shared" si="60"/>
        <v>#REF!</v>
      </c>
      <c r="B1515">
        <v>3570</v>
      </c>
      <c r="C1515" s="1">
        <v>19.864665481767901</v>
      </c>
      <c r="D1515" s="9">
        <v>19.5716666666729</v>
      </c>
      <c r="E1515" s="1">
        <v>18.4086</v>
      </c>
      <c r="F1515" s="1">
        <v>18.415700000000001</v>
      </c>
      <c r="G1515" s="1">
        <v>19.1938</v>
      </c>
      <c r="H1515" s="1">
        <v>18.782499999999999</v>
      </c>
    </row>
    <row r="1516" spans="1:8" x14ac:dyDescent="0.3">
      <c r="A1516">
        <v>21</v>
      </c>
      <c r="B1516">
        <v>21</v>
      </c>
      <c r="C1516" s="1">
        <v>16.170000000000002</v>
      </c>
      <c r="D1516" s="9">
        <v>16.219833333333369</v>
      </c>
      <c r="E1516" s="1">
        <v>15.421200000000001</v>
      </c>
      <c r="F1516" s="1">
        <v>15.369199999999999</v>
      </c>
      <c r="G1516" s="1">
        <v>15.9434</v>
      </c>
      <c r="H1516" s="1">
        <v>15.417299999999999</v>
      </c>
    </row>
    <row r="1517" spans="1:8" x14ac:dyDescent="0.3">
      <c r="A1517" t="e">
        <f t="shared" ref="A1517:A1548" si="61">A1467</f>
        <v>#REF!</v>
      </c>
      <c r="B1517">
        <v>71</v>
      </c>
      <c r="C1517" s="1">
        <v>16.195410617962281</v>
      </c>
      <c r="D1517" s="9">
        <v>16.267055555555679</v>
      </c>
      <c r="E1517" s="1">
        <v>13.5825</v>
      </c>
      <c r="F1517" s="1">
        <v>13.410299999999999</v>
      </c>
      <c r="G1517" s="1">
        <v>15.370799999999999</v>
      </c>
      <c r="H1517" s="1">
        <v>13.5474</v>
      </c>
    </row>
    <row r="1518" spans="1:8" x14ac:dyDescent="0.3">
      <c r="A1518">
        <f t="shared" si="61"/>
        <v>12</v>
      </c>
      <c r="B1518">
        <v>121</v>
      </c>
      <c r="C1518" s="1">
        <v>16.293911212326911</v>
      </c>
      <c r="D1518" s="9">
        <v>16.314277777777988</v>
      </c>
      <c r="E1518" s="1">
        <v>11.773300000000001</v>
      </c>
      <c r="F1518" s="1">
        <v>11.492699999999999</v>
      </c>
      <c r="G1518" s="1">
        <v>14.862399999999999</v>
      </c>
      <c r="H1518" s="1">
        <v>11.6677</v>
      </c>
    </row>
    <row r="1519" spans="1:8" x14ac:dyDescent="0.3">
      <c r="A1519" t="e">
        <f t="shared" si="61"/>
        <v>#REF!</v>
      </c>
      <c r="B1519">
        <v>171</v>
      </c>
      <c r="C1519" s="1">
        <v>16.486716429661339</v>
      </c>
      <c r="D1519" s="9">
        <v>16.361500000000298</v>
      </c>
      <c r="E1519" s="1">
        <v>10.008100000000001</v>
      </c>
      <c r="F1519" s="1">
        <v>9.6482299999999999</v>
      </c>
      <c r="G1519" s="1">
        <v>14.434699999999999</v>
      </c>
      <c r="H1519" s="1">
        <v>9.7778700000000001</v>
      </c>
    </row>
    <row r="1520" spans="1:8" x14ac:dyDescent="0.3">
      <c r="A1520">
        <f t="shared" si="61"/>
        <v>3</v>
      </c>
      <c r="B1520">
        <v>221</v>
      </c>
      <c r="C1520" s="1">
        <v>16.850000000000001</v>
      </c>
      <c r="D1520" s="9">
        <v>16.408722222222607</v>
      </c>
      <c r="E1520" s="1">
        <v>8.3141300000000005</v>
      </c>
      <c r="F1520" s="1">
        <v>7.9464399999999999</v>
      </c>
      <c r="G1520" s="1">
        <v>14.104200000000001</v>
      </c>
      <c r="H1520" s="1">
        <v>7.8811400000000003</v>
      </c>
    </row>
    <row r="1521" spans="1:8" x14ac:dyDescent="0.3">
      <c r="A1521" t="e">
        <f t="shared" si="61"/>
        <v>#REF!</v>
      </c>
      <c r="B1521">
        <v>271</v>
      </c>
      <c r="C1521" s="1">
        <v>16.97877152262625</v>
      </c>
      <c r="D1521" s="9">
        <v>16.455944444444917</v>
      </c>
      <c r="E1521" s="1">
        <v>6.7458799999999997</v>
      </c>
      <c r="F1521" s="1">
        <v>6.5614999999999997</v>
      </c>
      <c r="G1521" s="1">
        <v>13.8565</v>
      </c>
      <c r="H1521" s="1">
        <v>6.0011799999999997</v>
      </c>
    </row>
    <row r="1522" spans="1:8" x14ac:dyDescent="0.3">
      <c r="A1522">
        <f t="shared" si="61"/>
        <v>19</v>
      </c>
      <c r="B1522">
        <v>321</v>
      </c>
      <c r="C1522" s="1">
        <v>17.16998353153614</v>
      </c>
      <c r="D1522" s="9">
        <v>16.503166666667227</v>
      </c>
      <c r="E1522" s="1">
        <v>5.5981899999999998</v>
      </c>
      <c r="F1522" s="1">
        <v>6.2238499999999997</v>
      </c>
      <c r="G1522" s="1">
        <v>13.866300000000001</v>
      </c>
      <c r="H1522" s="1">
        <v>4.4893299999999998</v>
      </c>
    </row>
    <row r="1523" spans="1:8" x14ac:dyDescent="0.3">
      <c r="A1523" t="e">
        <f t="shared" si="61"/>
        <v>#REF!</v>
      </c>
      <c r="B1523">
        <v>371</v>
      </c>
      <c r="C1523" s="1">
        <v>17.39974674847975</v>
      </c>
      <c r="D1523" s="9">
        <v>16.550388888889536</v>
      </c>
      <c r="E1523" s="1">
        <v>4.8468999999999998</v>
      </c>
      <c r="F1523" s="1">
        <v>6.5409499999999996</v>
      </c>
      <c r="G1523" s="1">
        <v>14.047499999999999</v>
      </c>
      <c r="H1523" s="1">
        <v>3.43682</v>
      </c>
    </row>
    <row r="1524" spans="1:8" x14ac:dyDescent="0.3">
      <c r="A1524">
        <f t="shared" si="61"/>
        <v>10</v>
      </c>
      <c r="B1524">
        <v>421</v>
      </c>
      <c r="C1524" s="1">
        <v>17.588708224527441</v>
      </c>
      <c r="D1524" s="9">
        <v>16.597611111111846</v>
      </c>
      <c r="E1524" s="1">
        <v>4.3536900000000003</v>
      </c>
      <c r="F1524" s="1">
        <v>6.73963</v>
      </c>
      <c r="G1524" s="1">
        <v>14.019299999999999</v>
      </c>
      <c r="H1524" s="1">
        <v>2.7468300000000001</v>
      </c>
    </row>
    <row r="1525" spans="1:8" x14ac:dyDescent="0.3">
      <c r="A1525" t="e">
        <f t="shared" si="61"/>
        <v>#REF!</v>
      </c>
      <c r="B1525">
        <v>471</v>
      </c>
      <c r="C1525" s="1">
        <v>17.8547822195458</v>
      </c>
      <c r="D1525" s="9">
        <v>16.644833333334155</v>
      </c>
      <c r="E1525" s="1">
        <v>3.97275</v>
      </c>
      <c r="F1525" s="1">
        <v>6.5749500000000003</v>
      </c>
      <c r="G1525" s="1">
        <v>13.7376</v>
      </c>
      <c r="H1525" s="1">
        <v>2.2955100000000002</v>
      </c>
    </row>
    <row r="1526" spans="1:8" x14ac:dyDescent="0.3">
      <c r="A1526">
        <f t="shared" si="61"/>
        <v>1</v>
      </c>
      <c r="B1526">
        <v>521</v>
      </c>
      <c r="C1526" s="1">
        <v>18.044446284483119</v>
      </c>
      <c r="D1526" s="9">
        <v>16.692055555556465</v>
      </c>
      <c r="E1526" s="1">
        <v>3.38761</v>
      </c>
      <c r="F1526" s="1">
        <v>5.9921499999999996</v>
      </c>
      <c r="G1526" s="1">
        <v>13.3927</v>
      </c>
      <c r="H1526" s="1">
        <v>1.7551099999999999</v>
      </c>
    </row>
    <row r="1527" spans="1:8" x14ac:dyDescent="0.3">
      <c r="A1527" t="e">
        <f t="shared" si="61"/>
        <v>#REF!</v>
      </c>
      <c r="B1527">
        <v>571</v>
      </c>
      <c r="C1527" s="1">
        <v>18.24779859444488</v>
      </c>
      <c r="D1527" s="9">
        <v>16.739277777778774</v>
      </c>
      <c r="E1527" s="1">
        <v>2.5196999999999998</v>
      </c>
      <c r="F1527" s="1">
        <v>5.0668899999999999</v>
      </c>
      <c r="G1527" s="1">
        <v>13.0609</v>
      </c>
      <c r="H1527" s="1">
        <v>1.0309600000000001</v>
      </c>
    </row>
    <row r="1528" spans="1:8" x14ac:dyDescent="0.3">
      <c r="A1528">
        <f t="shared" si="61"/>
        <v>17</v>
      </c>
      <c r="B1528">
        <v>621</v>
      </c>
      <c r="C1528" s="1">
        <v>18.44909178275692</v>
      </c>
      <c r="D1528" s="9">
        <v>16.786500000001084</v>
      </c>
      <c r="E1528" s="1">
        <v>1.6144099999999999</v>
      </c>
      <c r="F1528" s="1">
        <v>4.0324799999999996</v>
      </c>
      <c r="G1528" s="1">
        <v>12.6586</v>
      </c>
      <c r="H1528" s="1">
        <v>0.34859099999999998</v>
      </c>
    </row>
    <row r="1529" spans="1:8" x14ac:dyDescent="0.3">
      <c r="A1529" t="e">
        <f t="shared" si="61"/>
        <v>#REF!</v>
      </c>
      <c r="B1529">
        <v>671</v>
      </c>
      <c r="C1529" s="1">
        <v>18.55177522430597</v>
      </c>
      <c r="D1529" s="9">
        <v>16.833722222223393</v>
      </c>
      <c r="E1529" s="1">
        <v>0.91954800000000003</v>
      </c>
      <c r="F1529" s="1">
        <v>3.1194099999999998</v>
      </c>
      <c r="G1529" s="1">
        <v>12.2578</v>
      </c>
      <c r="H1529" s="1">
        <v>-2.0811699999999999E-2</v>
      </c>
    </row>
    <row r="1530" spans="1:8" x14ac:dyDescent="0.3">
      <c r="A1530">
        <f t="shared" si="61"/>
        <v>8</v>
      </c>
      <c r="B1530">
        <v>721</v>
      </c>
      <c r="C1530" s="1">
        <v>18.7264177893579</v>
      </c>
      <c r="D1530" s="9">
        <v>16.880944444445703</v>
      </c>
      <c r="E1530" s="1">
        <v>0.64693299999999998</v>
      </c>
      <c r="F1530" s="1">
        <v>2.52691</v>
      </c>
      <c r="G1530" s="1">
        <v>12.125299999999999</v>
      </c>
      <c r="H1530" s="1">
        <v>0.21069599999999999</v>
      </c>
    </row>
    <row r="1531" spans="1:8" x14ac:dyDescent="0.3">
      <c r="A1531" t="e">
        <f t="shared" si="61"/>
        <v>#REF!</v>
      </c>
      <c r="B1531">
        <v>771</v>
      </c>
      <c r="C1531" s="1">
        <v>18.848704082393631</v>
      </c>
      <c r="D1531" s="9">
        <v>16.928166666668012</v>
      </c>
      <c r="E1531" s="1">
        <v>0.78551499999999996</v>
      </c>
      <c r="F1531" s="1">
        <v>2.2326100000000002</v>
      </c>
      <c r="G1531" s="1">
        <v>12.351000000000001</v>
      </c>
      <c r="H1531" s="1">
        <v>1.0407</v>
      </c>
    </row>
    <row r="1532" spans="1:8" x14ac:dyDescent="0.3">
      <c r="A1532" t="e">
        <f t="shared" si="61"/>
        <v>#REF!</v>
      </c>
      <c r="B1532">
        <v>821</v>
      </c>
      <c r="C1532" s="1">
        <v>19.28881067961165</v>
      </c>
      <c r="D1532" s="9">
        <v>16.975388888890322</v>
      </c>
      <c r="E1532" s="1">
        <v>1.0654300000000001</v>
      </c>
      <c r="F1532" s="1">
        <v>1.95991</v>
      </c>
      <c r="G1532" s="1">
        <v>12.795500000000001</v>
      </c>
      <c r="H1532" s="1">
        <v>2.1188400000000001</v>
      </c>
    </row>
    <row r="1533" spans="1:8" x14ac:dyDescent="0.3">
      <c r="A1533" t="e">
        <f t="shared" si="61"/>
        <v>#REF!</v>
      </c>
      <c r="B1533">
        <v>871</v>
      </c>
      <c r="C1533" s="1">
        <v>19.521332523704221</v>
      </c>
      <c r="D1533" s="9">
        <v>17.022611111112631</v>
      </c>
      <c r="E1533" s="1">
        <v>1.3604400000000001</v>
      </c>
      <c r="F1533" s="1">
        <v>1.6821699999999999</v>
      </c>
      <c r="G1533" s="1">
        <v>13.225899999999999</v>
      </c>
      <c r="H1533" s="1">
        <v>3.0680000000000001</v>
      </c>
    </row>
    <row r="1534" spans="1:8" x14ac:dyDescent="0.3">
      <c r="A1534">
        <f t="shared" si="61"/>
        <v>15</v>
      </c>
      <c r="B1534">
        <v>921</v>
      </c>
      <c r="C1534" s="1">
        <v>19.799730382637279</v>
      </c>
      <c r="D1534" s="9">
        <v>17.069833333334941</v>
      </c>
      <c r="E1534" s="1">
        <v>1.7296100000000001</v>
      </c>
      <c r="F1534" s="1">
        <v>1.6817800000000001</v>
      </c>
      <c r="G1534" s="1">
        <v>13.3222</v>
      </c>
      <c r="H1534" s="1">
        <v>3.5125600000000001</v>
      </c>
    </row>
    <row r="1535" spans="1:8" x14ac:dyDescent="0.3">
      <c r="A1535" t="e">
        <f t="shared" si="61"/>
        <v>#REF!</v>
      </c>
      <c r="B1535">
        <v>971</v>
      </c>
      <c r="C1535" s="1">
        <v>20.136478331045659</v>
      </c>
      <c r="D1535" s="9">
        <v>17.117055555557251</v>
      </c>
      <c r="E1535" s="1">
        <v>2.1166700000000001</v>
      </c>
      <c r="F1535" s="1">
        <v>2.05423</v>
      </c>
      <c r="G1535" s="1">
        <v>13.058299999999999</v>
      </c>
      <c r="H1535" s="1">
        <v>3.3782100000000002</v>
      </c>
    </row>
    <row r="1536" spans="1:8" x14ac:dyDescent="0.3">
      <c r="A1536">
        <f t="shared" si="61"/>
        <v>6</v>
      </c>
      <c r="B1536">
        <v>1021</v>
      </c>
      <c r="C1536" s="1">
        <v>20.542747766119181</v>
      </c>
      <c r="D1536" s="9">
        <v>17.16427777777956</v>
      </c>
      <c r="E1536" s="1">
        <v>2.3210199999999999</v>
      </c>
      <c r="F1536" s="1">
        <v>2.6487799999999999</v>
      </c>
      <c r="G1536" s="1">
        <v>12.761100000000001</v>
      </c>
      <c r="H1536" s="1">
        <v>2.9493299999999998</v>
      </c>
    </row>
    <row r="1537" spans="1:8" x14ac:dyDescent="0.3">
      <c r="A1537" t="e">
        <f t="shared" si="61"/>
        <v>#REF!</v>
      </c>
      <c r="B1537">
        <v>1071</v>
      </c>
      <c r="C1537" s="1">
        <v>20.989391204698471</v>
      </c>
      <c r="D1537" s="9">
        <v>17.21150000000187</v>
      </c>
      <c r="E1537" s="1">
        <v>2.3211400000000002</v>
      </c>
      <c r="F1537" s="1">
        <v>3.2198699999999998</v>
      </c>
      <c r="G1537" s="1">
        <v>12.6462</v>
      </c>
      <c r="H1537" s="1">
        <v>2.5811099999999998</v>
      </c>
    </row>
    <row r="1538" spans="1:8" x14ac:dyDescent="0.3">
      <c r="A1538" t="e">
        <f t="shared" si="61"/>
        <v>#REF!</v>
      </c>
      <c r="B1538">
        <v>1121</v>
      </c>
      <c r="C1538" s="1">
        <v>21.385021568539539</v>
      </c>
      <c r="D1538" s="9">
        <v>17.258722222224179</v>
      </c>
      <c r="E1538" s="1">
        <v>2.3123999999999998</v>
      </c>
      <c r="F1538" s="1">
        <v>3.4368699999999999</v>
      </c>
      <c r="G1538" s="1">
        <v>12.7674</v>
      </c>
      <c r="H1538" s="1">
        <v>2.6773400000000001</v>
      </c>
    </row>
    <row r="1539" spans="1:8" x14ac:dyDescent="0.3">
      <c r="A1539" t="e">
        <f t="shared" si="61"/>
        <v>#REF!</v>
      </c>
      <c r="B1539">
        <v>1171</v>
      </c>
      <c r="C1539" s="1">
        <v>21.673295051849799</v>
      </c>
      <c r="D1539" s="9">
        <v>17.305944444446489</v>
      </c>
      <c r="E1539" s="1">
        <v>2.3169300000000002</v>
      </c>
      <c r="F1539" s="1">
        <v>3.28607</v>
      </c>
      <c r="G1539" s="1">
        <v>13.02</v>
      </c>
      <c r="H1539" s="1">
        <v>3.3140900000000002</v>
      </c>
    </row>
    <row r="1540" spans="1:8" x14ac:dyDescent="0.3">
      <c r="A1540">
        <f t="shared" si="61"/>
        <v>13</v>
      </c>
      <c r="B1540">
        <v>1221</v>
      </c>
      <c r="C1540" s="1">
        <v>22.10996601291161</v>
      </c>
      <c r="D1540" s="9">
        <v>17.353166666668798</v>
      </c>
      <c r="E1540" s="1">
        <v>2.1446100000000001</v>
      </c>
      <c r="F1540" s="1">
        <v>3.1284200000000002</v>
      </c>
      <c r="G1540" s="1">
        <v>13.130800000000001</v>
      </c>
      <c r="H1540" s="1">
        <v>4.1797800000000001</v>
      </c>
    </row>
    <row r="1541" spans="1:8" x14ac:dyDescent="0.3">
      <c r="A1541" t="e">
        <f t="shared" si="61"/>
        <v>#REF!</v>
      </c>
      <c r="B1541">
        <v>1271</v>
      </c>
      <c r="C1541" s="1">
        <v>22.527618461672251</v>
      </c>
      <c r="D1541" s="9">
        <v>17.400388888891108</v>
      </c>
      <c r="E1541" s="1">
        <v>1.8312900000000001</v>
      </c>
      <c r="F1541" s="1">
        <v>3.1740900000000001</v>
      </c>
      <c r="G1541" s="1">
        <v>13.060499999999999</v>
      </c>
      <c r="H1541" s="1">
        <v>4.9915500000000002</v>
      </c>
    </row>
    <row r="1542" spans="1:8" x14ac:dyDescent="0.3">
      <c r="A1542">
        <f t="shared" si="61"/>
        <v>4</v>
      </c>
      <c r="B1542">
        <v>1321</v>
      </c>
      <c r="C1542" s="1">
        <v>22.928051092605351</v>
      </c>
      <c r="D1542" s="9">
        <v>17.447611111113417</v>
      </c>
      <c r="E1542" s="1">
        <v>1.6882600000000001</v>
      </c>
      <c r="F1542" s="1">
        <v>3.4282499999999998</v>
      </c>
      <c r="G1542" s="1">
        <v>13.051500000000001</v>
      </c>
      <c r="H1542" s="1">
        <v>5.5326899999999997</v>
      </c>
    </row>
    <row r="1543" spans="1:8" x14ac:dyDescent="0.3">
      <c r="A1543" t="e">
        <f t="shared" si="61"/>
        <v>#REF!</v>
      </c>
      <c r="B1543">
        <v>1371</v>
      </c>
      <c r="C1543" s="1">
        <v>23.156711825922429</v>
      </c>
      <c r="D1543" s="9">
        <v>17.494833333335727</v>
      </c>
      <c r="E1543" s="1">
        <v>1.8640600000000001</v>
      </c>
      <c r="F1543" s="1">
        <v>3.8147199999999999</v>
      </c>
      <c r="G1543" s="1">
        <v>13.1503</v>
      </c>
      <c r="H1543" s="1">
        <v>5.7898500000000004</v>
      </c>
    </row>
    <row r="1544" spans="1:8" x14ac:dyDescent="0.3">
      <c r="A1544">
        <f t="shared" si="61"/>
        <v>20</v>
      </c>
      <c r="B1544">
        <v>1421</v>
      </c>
      <c r="C1544" s="1">
        <v>23.24</v>
      </c>
      <c r="D1544" s="9">
        <v>17.542055555558036</v>
      </c>
      <c r="E1544" s="1">
        <v>2.29393</v>
      </c>
      <c r="F1544" s="1">
        <v>4.1783900000000003</v>
      </c>
      <c r="G1544" s="1">
        <v>13.1608</v>
      </c>
      <c r="H1544" s="1">
        <v>5.9768100000000004</v>
      </c>
    </row>
    <row r="1545" spans="1:8" x14ac:dyDescent="0.3">
      <c r="A1545" t="e">
        <f t="shared" si="61"/>
        <v>#REF!</v>
      </c>
      <c r="B1545">
        <v>1471</v>
      </c>
      <c r="C1545" s="1">
        <v>23.224906487049441</v>
      </c>
      <c r="D1545" s="9">
        <v>17.589277777780346</v>
      </c>
      <c r="E1545" s="1">
        <v>2.8017099999999999</v>
      </c>
      <c r="F1545" s="1">
        <v>4.4463600000000003</v>
      </c>
      <c r="G1545" s="1">
        <v>13.07</v>
      </c>
      <c r="H1545" s="1">
        <v>6.1316300000000004</v>
      </c>
    </row>
    <row r="1546" spans="1:8" x14ac:dyDescent="0.3">
      <c r="A1546">
        <f t="shared" si="61"/>
        <v>11</v>
      </c>
      <c r="B1546">
        <v>1521</v>
      </c>
      <c r="C1546" s="1">
        <v>23.007307088663168</v>
      </c>
      <c r="D1546" s="9">
        <v>17.636500000002655</v>
      </c>
      <c r="E1546" s="1">
        <v>3.10534</v>
      </c>
      <c r="F1546" s="1">
        <v>4.6506999999999996</v>
      </c>
      <c r="G1546" s="1">
        <v>13.0898</v>
      </c>
      <c r="H1546" s="1">
        <v>6.0757500000000002</v>
      </c>
    </row>
    <row r="1547" spans="1:8" x14ac:dyDescent="0.3">
      <c r="A1547" t="e">
        <f t="shared" si="61"/>
        <v>#REF!</v>
      </c>
      <c r="B1547">
        <v>1571</v>
      </c>
      <c r="C1547" s="1">
        <v>22.72593636453314</v>
      </c>
      <c r="D1547" s="9">
        <v>17.683722222224965</v>
      </c>
      <c r="E1547" s="1">
        <v>3.23874</v>
      </c>
      <c r="F1547" s="1">
        <v>4.9360900000000001</v>
      </c>
      <c r="G1547" s="1">
        <v>13.247199999999999</v>
      </c>
      <c r="H1547" s="1">
        <v>5.7126999999999999</v>
      </c>
    </row>
    <row r="1548" spans="1:8" x14ac:dyDescent="0.3">
      <c r="A1548">
        <f t="shared" si="61"/>
        <v>2</v>
      </c>
      <c r="B1548">
        <v>1621</v>
      </c>
      <c r="C1548" s="1">
        <v>22.35254998018803</v>
      </c>
      <c r="D1548" s="9">
        <v>17.730944444447275</v>
      </c>
      <c r="E1548" s="1">
        <v>3.6027499999999999</v>
      </c>
      <c r="F1548" s="1">
        <v>5.5636400000000004</v>
      </c>
      <c r="G1548" s="1">
        <v>13.344200000000001</v>
      </c>
      <c r="H1548" s="1">
        <v>5.0567700000000002</v>
      </c>
    </row>
    <row r="1549" spans="1:8" x14ac:dyDescent="0.3">
      <c r="A1549" t="e">
        <f t="shared" ref="A1549:A1580" si="62">A1499</f>
        <v>#REF!</v>
      </c>
      <c r="B1549">
        <v>1671</v>
      </c>
      <c r="C1549" s="1">
        <v>21.902740731287089</v>
      </c>
      <c r="D1549" s="9">
        <v>17.778166666669584</v>
      </c>
      <c r="E1549" s="1">
        <v>4.3203800000000001</v>
      </c>
      <c r="F1549" s="1">
        <v>6.5501800000000001</v>
      </c>
      <c r="G1549" s="1">
        <v>13.348100000000001</v>
      </c>
      <c r="H1549" s="1">
        <v>4.16343</v>
      </c>
    </row>
    <row r="1550" spans="1:8" x14ac:dyDescent="0.3">
      <c r="A1550">
        <f t="shared" si="62"/>
        <v>18</v>
      </c>
      <c r="B1550">
        <v>1721</v>
      </c>
      <c r="C1550" s="1">
        <v>21.41707838218294</v>
      </c>
      <c r="D1550" s="9">
        <v>17.825388888891894</v>
      </c>
      <c r="E1550" s="1">
        <v>5.1640100000000002</v>
      </c>
      <c r="F1550" s="1">
        <v>7.6209899999999999</v>
      </c>
      <c r="G1550" s="1">
        <v>13.427199999999999</v>
      </c>
      <c r="H1550" s="1">
        <v>3.1278600000000001</v>
      </c>
    </row>
    <row r="1551" spans="1:8" x14ac:dyDescent="0.3">
      <c r="A1551" t="e">
        <f t="shared" si="62"/>
        <v>#REF!</v>
      </c>
      <c r="B1551">
        <v>1771</v>
      </c>
      <c r="C1551" s="1">
        <v>21.124526081148371</v>
      </c>
      <c r="D1551" s="9">
        <v>17.872611111114203</v>
      </c>
      <c r="E1551" s="1">
        <v>5.8046499999999996</v>
      </c>
      <c r="F1551" s="1">
        <v>8.5026200000000003</v>
      </c>
      <c r="G1551" s="1">
        <v>13.579599999999999</v>
      </c>
      <c r="H1551" s="1">
        <v>2.0222099999999998</v>
      </c>
    </row>
    <row r="1552" spans="1:8" x14ac:dyDescent="0.3">
      <c r="A1552">
        <f t="shared" si="62"/>
        <v>9</v>
      </c>
      <c r="B1552">
        <v>1821</v>
      </c>
      <c r="C1552" s="1">
        <v>20.742943578841359</v>
      </c>
      <c r="D1552" s="9">
        <v>17.919833333336513</v>
      </c>
      <c r="E1552" s="1">
        <v>5.8306699999999996</v>
      </c>
      <c r="F1552" s="1">
        <v>8.9514899999999997</v>
      </c>
      <c r="G1552" s="1">
        <v>13.599299999999999</v>
      </c>
      <c r="H1552" s="1">
        <v>0.88791399999999998</v>
      </c>
    </row>
    <row r="1553" spans="1:8" x14ac:dyDescent="0.3">
      <c r="A1553">
        <f t="shared" si="62"/>
        <v>0</v>
      </c>
      <c r="B1553">
        <v>1871</v>
      </c>
      <c r="C1553" s="1">
        <v>20.394460911748741</v>
      </c>
      <c r="D1553" s="9">
        <v>17.967055555558822</v>
      </c>
      <c r="E1553" s="1">
        <v>5.1929800000000004</v>
      </c>
      <c r="F1553" s="1">
        <v>9.0056799999999999</v>
      </c>
      <c r="G1553" s="1">
        <v>13.4786</v>
      </c>
      <c r="H1553" s="1">
        <v>-0.28048699999999999</v>
      </c>
    </row>
    <row r="1554" spans="1:8" x14ac:dyDescent="0.3">
      <c r="A1554" t="e">
        <f t="shared" si="62"/>
        <v>#REF!</v>
      </c>
      <c r="B1554">
        <v>1921</v>
      </c>
      <c r="C1554" s="1">
        <v>19.984521668632059</v>
      </c>
      <c r="D1554" s="9">
        <v>18.014277777781132</v>
      </c>
      <c r="E1554" s="1">
        <v>4.2658500000000004</v>
      </c>
      <c r="F1554" s="1">
        <v>9.0178200000000004</v>
      </c>
      <c r="G1554" s="1">
        <v>13.4457</v>
      </c>
      <c r="H1554" s="1">
        <v>-1.5375399999999999</v>
      </c>
    </row>
    <row r="1555" spans="1:8" x14ac:dyDescent="0.3">
      <c r="A1555" t="e">
        <f t="shared" si="62"/>
        <v>#REF!</v>
      </c>
      <c r="B1555">
        <v>1971</v>
      </c>
      <c r="C1555" s="1">
        <v>19.684427284855179</v>
      </c>
      <c r="D1555" s="9">
        <v>18.061500000003441</v>
      </c>
      <c r="E1555" s="1">
        <v>3.4093300000000002</v>
      </c>
      <c r="F1555" s="1">
        <v>9.0944800000000008</v>
      </c>
      <c r="G1555" s="1">
        <v>13.554</v>
      </c>
      <c r="H1555" s="1">
        <v>-2.85209</v>
      </c>
    </row>
    <row r="1556" spans="1:8" x14ac:dyDescent="0.3">
      <c r="A1556">
        <f t="shared" si="62"/>
        <v>16</v>
      </c>
      <c r="B1556">
        <v>2021</v>
      </c>
      <c r="C1556" s="1">
        <v>19.426277879028099</v>
      </c>
      <c r="D1556" s="9">
        <v>18.108722222225751</v>
      </c>
      <c r="E1556" s="1">
        <v>2.92991</v>
      </c>
      <c r="F1556" s="1">
        <v>9.0446399999999993</v>
      </c>
      <c r="G1556" s="1">
        <v>13.645899999999999</v>
      </c>
      <c r="H1556" s="1">
        <v>-4.0925700000000003</v>
      </c>
    </row>
    <row r="1557" spans="1:8" x14ac:dyDescent="0.3">
      <c r="A1557" t="e">
        <f t="shared" si="62"/>
        <v>#REF!</v>
      </c>
      <c r="B1557">
        <v>2071</v>
      </c>
      <c r="C1557" s="1">
        <v>19.27</v>
      </c>
      <c r="D1557" s="9">
        <v>18.15594444444806</v>
      </c>
      <c r="E1557" s="1">
        <v>2.8303600000000002</v>
      </c>
      <c r="F1557" s="1">
        <v>8.8272700000000004</v>
      </c>
      <c r="G1557" s="1">
        <v>13.6951</v>
      </c>
      <c r="H1557" s="1">
        <v>-5.1506100000000004</v>
      </c>
    </row>
    <row r="1558" spans="1:8" x14ac:dyDescent="0.3">
      <c r="A1558">
        <f t="shared" si="62"/>
        <v>7</v>
      </c>
      <c r="B1558">
        <v>2121</v>
      </c>
      <c r="C1558" s="1">
        <v>19.190000000000001</v>
      </c>
      <c r="D1558" s="9">
        <v>18.20316666667037</v>
      </c>
      <c r="E1558" s="1">
        <v>2.7770299999999999</v>
      </c>
      <c r="F1558" s="1">
        <v>8.5911899999999992</v>
      </c>
      <c r="G1558" s="1">
        <v>13.8332</v>
      </c>
      <c r="H1558" s="1">
        <v>-5.9489099999999997</v>
      </c>
    </row>
    <row r="1559" spans="1:8" x14ac:dyDescent="0.3">
      <c r="A1559" t="e">
        <f t="shared" si="62"/>
        <v>#REF!</v>
      </c>
      <c r="B1559">
        <v>2171</v>
      </c>
      <c r="C1559" s="1">
        <v>19.18</v>
      </c>
      <c r="D1559" s="9">
        <v>18.25038888889268</v>
      </c>
      <c r="E1559" s="1">
        <v>2.6690999999999998</v>
      </c>
      <c r="F1559" s="1">
        <v>8.4619300000000006</v>
      </c>
      <c r="G1559" s="1">
        <v>14.0311</v>
      </c>
      <c r="H1559" s="1">
        <v>-6.3637600000000001</v>
      </c>
    </row>
    <row r="1560" spans="1:8" x14ac:dyDescent="0.3">
      <c r="A1560" t="e">
        <f t="shared" si="62"/>
        <v>#REF!</v>
      </c>
      <c r="B1560">
        <v>2221</v>
      </c>
      <c r="C1560" s="1">
        <v>19.213916744544331</v>
      </c>
      <c r="D1560" s="9">
        <v>18.297611111114989</v>
      </c>
      <c r="E1560" s="1">
        <v>2.6863899999999998</v>
      </c>
      <c r="F1560" s="1">
        <v>8.5208600000000008</v>
      </c>
      <c r="G1560" s="1">
        <v>14.0726</v>
      </c>
      <c r="H1560" s="1">
        <v>-6.2237900000000002</v>
      </c>
    </row>
    <row r="1561" spans="1:8" x14ac:dyDescent="0.3">
      <c r="A1561" t="e">
        <f t="shared" si="62"/>
        <v>#REF!</v>
      </c>
      <c r="B1561">
        <v>2271</v>
      </c>
      <c r="C1561" s="1">
        <v>19.42154358428839</v>
      </c>
      <c r="D1561" s="9">
        <v>18.344833333337299</v>
      </c>
      <c r="E1561" s="1">
        <v>2.8331</v>
      </c>
      <c r="F1561" s="1">
        <v>8.6807200000000009</v>
      </c>
      <c r="G1561" s="1">
        <v>13.9407</v>
      </c>
      <c r="H1561" s="1">
        <v>-5.5600199999999997</v>
      </c>
    </row>
    <row r="1562" spans="1:8" x14ac:dyDescent="0.3">
      <c r="A1562">
        <f t="shared" si="62"/>
        <v>14</v>
      </c>
      <c r="B1562">
        <v>2321</v>
      </c>
      <c r="C1562" s="1">
        <v>19.730349334708631</v>
      </c>
      <c r="D1562" s="9">
        <v>18.392055555559608</v>
      </c>
      <c r="E1562" s="1">
        <v>2.90204</v>
      </c>
      <c r="F1562" s="1">
        <v>8.6715400000000002</v>
      </c>
      <c r="G1562" s="1">
        <v>13.850300000000001</v>
      </c>
      <c r="H1562" s="1">
        <v>-4.6319999999999997</v>
      </c>
    </row>
    <row r="1563" spans="1:8" x14ac:dyDescent="0.3">
      <c r="A1563" t="e">
        <f t="shared" si="62"/>
        <v>#REF!</v>
      </c>
      <c r="B1563">
        <v>2371</v>
      </c>
      <c r="C1563" s="1">
        <v>20.164906746497788</v>
      </c>
      <c r="D1563" s="9">
        <v>18.439277777781918</v>
      </c>
      <c r="E1563" s="1">
        <v>2.8513299999999999</v>
      </c>
      <c r="F1563" s="1">
        <v>8.4186300000000003</v>
      </c>
      <c r="G1563" s="1">
        <v>13.843299999999999</v>
      </c>
      <c r="H1563" s="1">
        <v>-3.60256</v>
      </c>
    </row>
    <row r="1564" spans="1:8" x14ac:dyDescent="0.3">
      <c r="A1564">
        <f t="shared" si="62"/>
        <v>5</v>
      </c>
      <c r="B1564">
        <v>2421</v>
      </c>
      <c r="C1564" s="1">
        <v>20.704149841943771</v>
      </c>
      <c r="D1564" s="9">
        <v>18.486500000004227</v>
      </c>
      <c r="E1564" s="1">
        <v>2.83284</v>
      </c>
      <c r="F1564" s="1">
        <v>8.0816099999999995</v>
      </c>
      <c r="G1564" s="1">
        <v>13.7582</v>
      </c>
      <c r="H1564" s="1">
        <v>-2.5105300000000002</v>
      </c>
    </row>
    <row r="1565" spans="1:8" x14ac:dyDescent="0.3">
      <c r="A1565" t="e">
        <f t="shared" si="62"/>
        <v>#REF!</v>
      </c>
      <c r="B1565">
        <v>2471</v>
      </c>
      <c r="C1565" s="1">
        <v>21.2753920567549</v>
      </c>
      <c r="D1565" s="9">
        <v>18.533722222226537</v>
      </c>
      <c r="E1565" s="1">
        <v>2.8020800000000001</v>
      </c>
      <c r="F1565" s="1">
        <v>7.8478899999999996</v>
      </c>
      <c r="G1565" s="1">
        <v>13.627700000000001</v>
      </c>
      <c r="H1565" s="1">
        <v>-1.3650100000000001</v>
      </c>
    </row>
    <row r="1566" spans="1:8" x14ac:dyDescent="0.3">
      <c r="A1566">
        <f t="shared" si="62"/>
        <v>21</v>
      </c>
      <c r="B1566">
        <v>2521</v>
      </c>
      <c r="C1566" s="1">
        <v>21.792033250245339</v>
      </c>
      <c r="D1566" s="9">
        <v>18.580944444448846</v>
      </c>
      <c r="E1566" s="1">
        <v>2.4889000000000001</v>
      </c>
      <c r="F1566" s="1">
        <v>7.9128600000000002</v>
      </c>
      <c r="G1566" s="1">
        <v>13.708</v>
      </c>
      <c r="H1566" s="1">
        <v>-0.150426</v>
      </c>
    </row>
    <row r="1567" spans="1:8" x14ac:dyDescent="0.3">
      <c r="A1567" t="e">
        <f t="shared" si="62"/>
        <v>#REF!</v>
      </c>
      <c r="B1567">
        <v>2571</v>
      </c>
      <c r="C1567" s="1">
        <v>22.21520354622762</v>
      </c>
      <c r="D1567" s="9">
        <v>18.628166666671156</v>
      </c>
      <c r="E1567" s="1">
        <v>1.85798</v>
      </c>
      <c r="F1567" s="1">
        <v>8.2069200000000002</v>
      </c>
      <c r="G1567" s="1">
        <v>14.0169</v>
      </c>
      <c r="H1567" s="1">
        <v>1.11208</v>
      </c>
    </row>
    <row r="1568" spans="1:8" x14ac:dyDescent="0.3">
      <c r="A1568">
        <f t="shared" si="62"/>
        <v>12</v>
      </c>
      <c r="B1568">
        <v>2621</v>
      </c>
      <c r="C1568" s="1">
        <v>22.55064140593333</v>
      </c>
      <c r="D1568" s="9">
        <v>18.675388888893465</v>
      </c>
      <c r="E1568" s="1">
        <v>1.1539200000000001</v>
      </c>
      <c r="F1568" s="1">
        <v>8.3680299999999992</v>
      </c>
      <c r="G1568" s="1">
        <v>14.2934</v>
      </c>
      <c r="H1568" s="1">
        <v>2.3582700000000001</v>
      </c>
    </row>
    <row r="1569" spans="1:8" x14ac:dyDescent="0.3">
      <c r="A1569" t="e">
        <f t="shared" si="62"/>
        <v>#REF!</v>
      </c>
      <c r="B1569">
        <v>2671</v>
      </c>
      <c r="C1569" s="1">
        <v>22.937164201260309</v>
      </c>
      <c r="D1569" s="9">
        <v>18.722611111115775</v>
      </c>
      <c r="E1569" s="1">
        <v>0.66449499999999995</v>
      </c>
      <c r="F1569" s="1">
        <v>8.2490000000000006</v>
      </c>
      <c r="G1569" s="1">
        <v>14.3421</v>
      </c>
      <c r="H1569" s="1">
        <v>3.5095900000000002</v>
      </c>
    </row>
    <row r="1570" spans="1:8" x14ac:dyDescent="0.3">
      <c r="A1570">
        <f t="shared" si="62"/>
        <v>3</v>
      </c>
      <c r="B1570">
        <v>2721</v>
      </c>
      <c r="C1570" s="1">
        <v>23.39836647256638</v>
      </c>
      <c r="D1570" s="9">
        <v>18.769833333338084</v>
      </c>
      <c r="E1570" s="1">
        <v>0.69902799999999998</v>
      </c>
      <c r="F1570" s="1">
        <v>7.9674500000000004</v>
      </c>
      <c r="G1570" s="1">
        <v>14.0641</v>
      </c>
      <c r="H1570" s="1">
        <v>4.4748700000000001</v>
      </c>
    </row>
    <row r="1571" spans="1:8" x14ac:dyDescent="0.3">
      <c r="A1571" t="e">
        <f t="shared" si="62"/>
        <v>#REF!</v>
      </c>
      <c r="B1571">
        <v>2771</v>
      </c>
      <c r="C1571" s="1">
        <v>23.829918544707589</v>
      </c>
      <c r="D1571" s="9">
        <v>18.817055555560394</v>
      </c>
      <c r="E1571" s="1">
        <v>1.27854</v>
      </c>
      <c r="F1571" s="1">
        <v>7.7828900000000001</v>
      </c>
      <c r="G1571" s="1">
        <v>13.5678</v>
      </c>
      <c r="H1571" s="1">
        <v>5.1855000000000002</v>
      </c>
    </row>
    <row r="1572" spans="1:8" x14ac:dyDescent="0.3">
      <c r="A1572">
        <f t="shared" si="62"/>
        <v>19</v>
      </c>
      <c r="B1572">
        <v>2821</v>
      </c>
      <c r="C1572" s="1">
        <v>24.10030741468502</v>
      </c>
      <c r="D1572" s="9">
        <v>18.864277777782704</v>
      </c>
      <c r="E1572" s="1">
        <v>2.0995300000000001</v>
      </c>
      <c r="F1572" s="1">
        <v>8.0885700000000007</v>
      </c>
      <c r="G1572" s="1">
        <v>13.184200000000001</v>
      </c>
      <c r="H1572" s="1">
        <v>5.6034300000000004</v>
      </c>
    </row>
    <row r="1573" spans="1:8" x14ac:dyDescent="0.3">
      <c r="A1573" t="e">
        <f t="shared" si="62"/>
        <v>#REF!</v>
      </c>
      <c r="B1573">
        <v>2871</v>
      </c>
      <c r="C1573" s="1">
        <v>24.290672088026842</v>
      </c>
      <c r="D1573" s="9">
        <v>18.911500000005013</v>
      </c>
      <c r="E1573" s="1">
        <v>2.8489599999999999</v>
      </c>
      <c r="F1573" s="1">
        <v>8.9948099999999993</v>
      </c>
      <c r="G1573" s="1">
        <v>13.1806</v>
      </c>
      <c r="H1573" s="1">
        <v>5.8228799999999996</v>
      </c>
    </row>
    <row r="1574" spans="1:8" x14ac:dyDescent="0.3">
      <c r="A1574">
        <f t="shared" si="62"/>
        <v>10</v>
      </c>
      <c r="B1574">
        <v>2921</v>
      </c>
      <c r="C1574" s="1">
        <v>24.21</v>
      </c>
      <c r="D1574" s="9">
        <v>18.958722222227323</v>
      </c>
      <c r="E1574" s="1">
        <v>3.23475</v>
      </c>
      <c r="F1574" s="1">
        <v>10.2841</v>
      </c>
      <c r="G1574" s="1">
        <v>13.732699999999999</v>
      </c>
      <c r="H1574" s="1">
        <v>6.0767100000000003</v>
      </c>
    </row>
    <row r="1575" spans="1:8" x14ac:dyDescent="0.3">
      <c r="A1575" t="e">
        <f t="shared" si="62"/>
        <v>#REF!</v>
      </c>
      <c r="B1575">
        <v>2971</v>
      </c>
      <c r="C1575" s="1">
        <v>24.07</v>
      </c>
      <c r="D1575" s="9">
        <v>19.005944444449632</v>
      </c>
      <c r="E1575" s="1">
        <v>3.31975</v>
      </c>
      <c r="F1575" s="1">
        <v>11.657400000000001</v>
      </c>
      <c r="G1575" s="1">
        <v>14.785299999999999</v>
      </c>
      <c r="H1575" s="1">
        <v>6.4265699999999999</v>
      </c>
    </row>
    <row r="1576" spans="1:8" x14ac:dyDescent="0.3">
      <c r="A1576">
        <f t="shared" si="62"/>
        <v>1</v>
      </c>
      <c r="B1576">
        <v>3021</v>
      </c>
      <c r="C1576" s="1">
        <v>23.971640406856611</v>
      </c>
      <c r="D1576" s="9">
        <v>19.053166666671942</v>
      </c>
      <c r="E1576" s="1">
        <v>3.55321</v>
      </c>
      <c r="F1576" s="1">
        <v>12.745900000000001</v>
      </c>
      <c r="G1576" s="1">
        <v>16.0318</v>
      </c>
      <c r="H1576" s="1">
        <v>6.7423500000000001</v>
      </c>
    </row>
    <row r="1577" spans="1:8" x14ac:dyDescent="0.3">
      <c r="A1577" t="e">
        <f t="shared" si="62"/>
        <v>#REF!</v>
      </c>
      <c r="B1577">
        <v>3071</v>
      </c>
      <c r="C1577" s="1">
        <v>23.776599382160171</v>
      </c>
      <c r="D1577" s="9">
        <v>19.100388888894251</v>
      </c>
      <c r="E1577" s="1">
        <v>4.1590800000000003</v>
      </c>
      <c r="F1577" s="1">
        <v>13.2643</v>
      </c>
      <c r="G1577" s="1">
        <v>17.145900000000001</v>
      </c>
      <c r="H1577" s="1">
        <v>7.0434400000000004</v>
      </c>
    </row>
    <row r="1578" spans="1:8" x14ac:dyDescent="0.3">
      <c r="A1578">
        <f t="shared" si="62"/>
        <v>17</v>
      </c>
      <c r="B1578">
        <v>3121</v>
      </c>
      <c r="C1578" s="1">
        <v>23.396328854861881</v>
      </c>
      <c r="D1578" s="9">
        <v>19.147611111116561</v>
      </c>
      <c r="E1578" s="1">
        <v>5.0803000000000003</v>
      </c>
      <c r="F1578" s="1">
        <v>13.049099999999999</v>
      </c>
      <c r="G1578" s="1">
        <v>17.812799999999999</v>
      </c>
      <c r="H1578" s="1">
        <v>7.51701</v>
      </c>
    </row>
    <row r="1579" spans="1:8" x14ac:dyDescent="0.3">
      <c r="A1579" t="e">
        <f t="shared" si="62"/>
        <v>#REF!</v>
      </c>
      <c r="B1579">
        <v>3171</v>
      </c>
      <c r="C1579" s="1">
        <v>23.000487882154449</v>
      </c>
      <c r="D1579" s="9">
        <v>19.19483333333887</v>
      </c>
      <c r="E1579" s="1">
        <v>6.1607500000000002</v>
      </c>
      <c r="F1579" s="1">
        <v>12.2057</v>
      </c>
      <c r="G1579" s="1">
        <v>17.947800000000001</v>
      </c>
      <c r="H1579" s="1">
        <v>8.2586099999999991</v>
      </c>
    </row>
    <row r="1580" spans="1:8" x14ac:dyDescent="0.3">
      <c r="A1580">
        <f t="shared" si="62"/>
        <v>8</v>
      </c>
      <c r="B1580">
        <v>3221</v>
      </c>
      <c r="C1580" s="1">
        <v>22.629998993668469</v>
      </c>
      <c r="D1580" s="9">
        <v>19.24205555556118</v>
      </c>
      <c r="E1580" s="1">
        <v>7.1711400000000003</v>
      </c>
      <c r="F1580" s="1">
        <v>11.0977</v>
      </c>
      <c r="G1580" s="1">
        <v>17.700399999999998</v>
      </c>
      <c r="H1580" s="1">
        <v>9.2583699999999993</v>
      </c>
    </row>
    <row r="1581" spans="1:8" x14ac:dyDescent="0.3">
      <c r="A1581" t="e">
        <f t="shared" ref="A1581:A1587" si="63">A1531</f>
        <v>#REF!</v>
      </c>
      <c r="B1581">
        <v>3271</v>
      </c>
      <c r="C1581" s="1">
        <v>22.242456019376441</v>
      </c>
      <c r="D1581" s="9">
        <v>19.289277777783489</v>
      </c>
      <c r="E1581" s="1">
        <v>8.0701300000000007</v>
      </c>
      <c r="F1581" s="1">
        <v>10.083</v>
      </c>
      <c r="G1581" s="1">
        <v>17.2727</v>
      </c>
      <c r="H1581" s="1">
        <v>10.465</v>
      </c>
    </row>
    <row r="1582" spans="1:8" x14ac:dyDescent="0.3">
      <c r="A1582" t="e">
        <f t="shared" si="63"/>
        <v>#REF!</v>
      </c>
      <c r="B1582">
        <v>3321</v>
      </c>
      <c r="C1582" s="1">
        <v>21.867630492952021</v>
      </c>
      <c r="D1582" s="9">
        <v>19.336500000005799</v>
      </c>
      <c r="E1582" s="1">
        <v>9.1786200000000004</v>
      </c>
      <c r="F1582" s="1">
        <v>9.9004200000000004</v>
      </c>
      <c r="G1582" s="1">
        <v>17.045200000000001</v>
      </c>
      <c r="H1582" s="1">
        <v>11.8248</v>
      </c>
    </row>
    <row r="1583" spans="1:8" x14ac:dyDescent="0.3">
      <c r="A1583" t="e">
        <f t="shared" si="63"/>
        <v>#REF!</v>
      </c>
      <c r="B1583">
        <v>3371</v>
      </c>
      <c r="C1583" s="1">
        <v>21.564826428149509</v>
      </c>
      <c r="D1583" s="9">
        <v>19.383722222228108</v>
      </c>
      <c r="E1583" s="1">
        <v>10.8035</v>
      </c>
      <c r="F1583" s="1">
        <v>11.1381</v>
      </c>
      <c r="G1583" s="1">
        <v>17.231400000000001</v>
      </c>
      <c r="H1583" s="1">
        <v>13.2621</v>
      </c>
    </row>
    <row r="1584" spans="1:8" x14ac:dyDescent="0.3">
      <c r="A1584">
        <f t="shared" si="63"/>
        <v>15</v>
      </c>
      <c r="B1584">
        <v>3421</v>
      </c>
      <c r="C1584" s="1">
        <v>21.224655043320119</v>
      </c>
      <c r="D1584" s="9">
        <v>19.430944444450418</v>
      </c>
      <c r="E1584" s="1">
        <v>12.622199999999999</v>
      </c>
      <c r="F1584" s="1">
        <v>12.7835</v>
      </c>
      <c r="G1584" s="1">
        <v>17.5611</v>
      </c>
      <c r="H1584" s="1">
        <v>14.6731</v>
      </c>
    </row>
    <row r="1585" spans="1:8" x14ac:dyDescent="0.3">
      <c r="A1585" t="e">
        <f t="shared" si="63"/>
        <v>#REF!</v>
      </c>
      <c r="B1585">
        <v>3471</v>
      </c>
      <c r="C1585" s="1">
        <v>20.7142598688954</v>
      </c>
      <c r="D1585" s="9">
        <v>19.478166666672728</v>
      </c>
      <c r="E1585" s="1">
        <v>14.5268</v>
      </c>
      <c r="F1585" s="1">
        <v>14.601100000000001</v>
      </c>
      <c r="G1585" s="1">
        <v>18.0198</v>
      </c>
      <c r="H1585" s="1">
        <v>16.0641</v>
      </c>
    </row>
    <row r="1586" spans="1:8" x14ac:dyDescent="0.3">
      <c r="A1586">
        <f t="shared" si="63"/>
        <v>6</v>
      </c>
      <c r="B1586">
        <v>3521</v>
      </c>
      <c r="C1586" s="1">
        <v>20.271175357873201</v>
      </c>
      <c r="D1586" s="9">
        <v>19.525388888895037</v>
      </c>
      <c r="E1586" s="1">
        <v>16.475100000000001</v>
      </c>
      <c r="F1586" s="1">
        <v>16.5044</v>
      </c>
      <c r="G1586" s="1">
        <v>18.5763</v>
      </c>
      <c r="H1586" s="1">
        <v>17.441700000000001</v>
      </c>
    </row>
    <row r="1587" spans="1:8" x14ac:dyDescent="0.3">
      <c r="A1587" t="e">
        <f t="shared" si="63"/>
        <v>#REF!</v>
      </c>
      <c r="B1587">
        <v>3571</v>
      </c>
      <c r="C1587" s="1">
        <v>19.85705459802913</v>
      </c>
      <c r="D1587" s="9">
        <v>19.572611111117347</v>
      </c>
      <c r="E1587" s="1">
        <v>18.4482</v>
      </c>
      <c r="F1587" s="1">
        <v>18.454999999999998</v>
      </c>
      <c r="G1587" s="1">
        <v>19.207000000000001</v>
      </c>
      <c r="H1587" s="1">
        <v>18.809799999999999</v>
      </c>
    </row>
    <row r="1588" spans="1:8" x14ac:dyDescent="0.3">
      <c r="A1588">
        <v>22</v>
      </c>
      <c r="B1588">
        <v>22</v>
      </c>
      <c r="C1588" s="1">
        <v>16.170000000000002</v>
      </c>
      <c r="D1588" s="9">
        <v>16.220777777777815</v>
      </c>
      <c r="E1588" s="1">
        <v>15.3842</v>
      </c>
      <c r="F1588" s="1">
        <v>15.329700000000001</v>
      </c>
      <c r="G1588" s="1">
        <v>15.9314</v>
      </c>
      <c r="H1588" s="1">
        <v>15.38</v>
      </c>
    </row>
    <row r="1589" spans="1:8" x14ac:dyDescent="0.3">
      <c r="A1589" t="e">
        <f t="shared" ref="A1589:A1620" si="64">A1539</f>
        <v>#REF!</v>
      </c>
      <c r="B1589">
        <v>72</v>
      </c>
      <c r="C1589" s="1">
        <v>16.20436243277403</v>
      </c>
      <c r="D1589" s="9">
        <v>16.268000000000125</v>
      </c>
      <c r="E1589" s="1">
        <v>13.545999999999999</v>
      </c>
      <c r="F1589" s="1">
        <v>13.371499999999999</v>
      </c>
      <c r="G1589" s="1">
        <v>15.3599</v>
      </c>
      <c r="H1589" s="1">
        <v>13.5099</v>
      </c>
    </row>
    <row r="1590" spans="1:8" x14ac:dyDescent="0.3">
      <c r="A1590">
        <f t="shared" si="64"/>
        <v>13</v>
      </c>
      <c r="B1590">
        <v>122</v>
      </c>
      <c r="C1590" s="1">
        <v>16.30121042912095</v>
      </c>
      <c r="D1590" s="9">
        <v>16.315222222222435</v>
      </c>
      <c r="E1590" s="1">
        <v>11.737500000000001</v>
      </c>
      <c r="F1590" s="1">
        <v>11.455</v>
      </c>
      <c r="G1590" s="1">
        <v>14.853</v>
      </c>
      <c r="H1590" s="1">
        <v>11.63</v>
      </c>
    </row>
    <row r="1591" spans="1:8" x14ac:dyDescent="0.3">
      <c r="A1591" t="e">
        <f t="shared" si="64"/>
        <v>#REF!</v>
      </c>
      <c r="B1591">
        <v>172</v>
      </c>
      <c r="C1591" s="1">
        <v>16.49139714652204</v>
      </c>
      <c r="D1591" s="9">
        <v>16.362444444444744</v>
      </c>
      <c r="E1591" s="1">
        <v>9.9734099999999994</v>
      </c>
      <c r="F1591" s="1">
        <v>9.6124600000000004</v>
      </c>
      <c r="G1591" s="1">
        <v>14.427099999999999</v>
      </c>
      <c r="H1591" s="1">
        <v>9.7399799999999992</v>
      </c>
    </row>
    <row r="1592" spans="1:8" x14ac:dyDescent="0.3">
      <c r="A1592">
        <f t="shared" si="64"/>
        <v>4</v>
      </c>
      <c r="B1592">
        <v>222</v>
      </c>
      <c r="C1592" s="1">
        <v>16.85064215946614</v>
      </c>
      <c r="D1592" s="9">
        <v>16.409666666667054</v>
      </c>
      <c r="E1592" s="1">
        <v>8.2812800000000006</v>
      </c>
      <c r="F1592" s="1">
        <v>7.9147499999999997</v>
      </c>
      <c r="G1592" s="1">
        <v>14.098599999999999</v>
      </c>
      <c r="H1592" s="1">
        <v>7.84321</v>
      </c>
    </row>
    <row r="1593" spans="1:8" x14ac:dyDescent="0.3">
      <c r="A1593" t="e">
        <f t="shared" si="64"/>
        <v>#REF!</v>
      </c>
      <c r="B1593">
        <v>272</v>
      </c>
      <c r="C1593" s="1">
        <v>16.982556184023469</v>
      </c>
      <c r="D1593" s="9">
        <v>16.456888888889363</v>
      </c>
      <c r="E1593" s="1">
        <v>6.7170100000000001</v>
      </c>
      <c r="F1593" s="1">
        <v>6.5406500000000003</v>
      </c>
      <c r="G1593" s="1">
        <v>13.852399999999999</v>
      </c>
      <c r="H1593" s="1">
        <v>5.96495</v>
      </c>
    </row>
    <row r="1594" spans="1:8" x14ac:dyDescent="0.3">
      <c r="A1594">
        <f t="shared" si="64"/>
        <v>20</v>
      </c>
      <c r="B1594">
        <v>322</v>
      </c>
      <c r="C1594" s="1">
        <v>17.173851762739929</v>
      </c>
      <c r="D1594" s="9">
        <v>16.504111111111673</v>
      </c>
      <c r="E1594" s="1">
        <v>5.5803399999999996</v>
      </c>
      <c r="F1594" s="1">
        <v>6.2279900000000001</v>
      </c>
      <c r="G1594" s="1">
        <v>13.870100000000001</v>
      </c>
      <c r="H1594" s="1">
        <v>4.46469</v>
      </c>
    </row>
    <row r="1595" spans="1:8" x14ac:dyDescent="0.3">
      <c r="A1595" t="e">
        <f t="shared" si="64"/>
        <v>#REF!</v>
      </c>
      <c r="B1595">
        <v>372</v>
      </c>
      <c r="C1595" s="1">
        <v>17.40759829150424</v>
      </c>
      <c r="D1595" s="9">
        <v>16.551333333333982</v>
      </c>
      <c r="E1595" s="1">
        <v>4.8345399999999996</v>
      </c>
      <c r="F1595" s="1">
        <v>6.5475199999999996</v>
      </c>
      <c r="G1595" s="1">
        <v>14.049899999999999</v>
      </c>
      <c r="H1595" s="1">
        <v>3.4193500000000001</v>
      </c>
    </row>
    <row r="1596" spans="1:8" x14ac:dyDescent="0.3">
      <c r="A1596">
        <f t="shared" si="64"/>
        <v>11</v>
      </c>
      <c r="B1596">
        <v>422</v>
      </c>
      <c r="C1596" s="1">
        <v>17.6006868546513</v>
      </c>
      <c r="D1596" s="9">
        <v>16.598555555556292</v>
      </c>
      <c r="E1596" s="1">
        <v>4.3459599999999998</v>
      </c>
      <c r="F1596" s="1">
        <v>6.7401299999999997</v>
      </c>
      <c r="G1596" s="1">
        <v>14.015599999999999</v>
      </c>
      <c r="H1596" s="1">
        <v>2.7364700000000002</v>
      </c>
    </row>
    <row r="1597" spans="1:8" x14ac:dyDescent="0.3">
      <c r="A1597" t="e">
        <f t="shared" si="64"/>
        <v>#REF!</v>
      </c>
      <c r="B1597">
        <v>472</v>
      </c>
      <c r="C1597" s="1">
        <v>17.85065758973132</v>
      </c>
      <c r="D1597" s="9">
        <v>16.645777777778601</v>
      </c>
      <c r="E1597" s="1">
        <v>3.9641199999999999</v>
      </c>
      <c r="F1597" s="1">
        <v>6.5675299999999996</v>
      </c>
      <c r="G1597" s="1">
        <v>13.730700000000001</v>
      </c>
      <c r="H1597" s="1">
        <v>2.2866900000000001</v>
      </c>
    </row>
    <row r="1598" spans="1:8" x14ac:dyDescent="0.3">
      <c r="A1598">
        <f t="shared" si="64"/>
        <v>2</v>
      </c>
      <c r="B1598">
        <v>522</v>
      </c>
      <c r="C1598" s="1">
        <v>18.048670863081409</v>
      </c>
      <c r="D1598" s="9">
        <v>16.693000000000911</v>
      </c>
      <c r="E1598" s="1">
        <v>3.37235</v>
      </c>
      <c r="F1598" s="1">
        <v>5.9763099999999998</v>
      </c>
      <c r="G1598" s="1">
        <v>13.386200000000001</v>
      </c>
      <c r="H1598" s="1">
        <v>1.7418199999999999</v>
      </c>
    </row>
    <row r="1599" spans="1:8" x14ac:dyDescent="0.3">
      <c r="A1599" t="e">
        <f t="shared" si="64"/>
        <v>#REF!</v>
      </c>
      <c r="B1599">
        <v>572</v>
      </c>
      <c r="C1599" s="1">
        <v>18.25</v>
      </c>
      <c r="D1599" s="9">
        <v>16.74022222222322</v>
      </c>
      <c r="E1599" s="1">
        <v>2.5010599999999998</v>
      </c>
      <c r="F1599" s="1">
        <v>5.0464500000000001</v>
      </c>
      <c r="G1599" s="1">
        <v>13.053800000000001</v>
      </c>
      <c r="H1599" s="1">
        <v>1.01606</v>
      </c>
    </row>
    <row r="1600" spans="1:8" x14ac:dyDescent="0.3">
      <c r="A1600">
        <f t="shared" si="64"/>
        <v>18</v>
      </c>
      <c r="B1600">
        <v>622</v>
      </c>
      <c r="C1600" s="1">
        <v>18.453228988312372</v>
      </c>
      <c r="D1600" s="9">
        <v>16.78744444444553</v>
      </c>
      <c r="E1600" s="1">
        <v>1.59771</v>
      </c>
      <c r="F1600" s="1">
        <v>4.0123300000000004</v>
      </c>
      <c r="G1600" s="1">
        <v>12.649699999999999</v>
      </c>
      <c r="H1600" s="1">
        <v>0.33715600000000001</v>
      </c>
    </row>
    <row r="1601" spans="1:8" x14ac:dyDescent="0.3">
      <c r="A1601" t="e">
        <f t="shared" si="64"/>
        <v>#REF!</v>
      </c>
      <c r="B1601">
        <v>672</v>
      </c>
      <c r="C1601" s="1">
        <v>18.555722535594882</v>
      </c>
      <c r="D1601" s="9">
        <v>16.83466666666784</v>
      </c>
      <c r="E1601" s="1">
        <v>0.90930500000000003</v>
      </c>
      <c r="F1601" s="1">
        <v>3.1038100000000002</v>
      </c>
      <c r="G1601" s="1">
        <v>12.2517</v>
      </c>
      <c r="H1601" s="1">
        <v>-2.29724E-2</v>
      </c>
    </row>
    <row r="1602" spans="1:8" x14ac:dyDescent="0.3">
      <c r="A1602">
        <f t="shared" si="64"/>
        <v>9</v>
      </c>
      <c r="B1602">
        <v>722</v>
      </c>
      <c r="C1602" s="1">
        <v>18.73031811005205</v>
      </c>
      <c r="D1602" s="9">
        <v>16.881888888890149</v>
      </c>
      <c r="E1602" s="1">
        <v>0.64649100000000004</v>
      </c>
      <c r="F1602" s="1">
        <v>2.5189499999999998</v>
      </c>
      <c r="G1602" s="1">
        <v>12.1267</v>
      </c>
      <c r="H1602" s="1">
        <v>0.222467</v>
      </c>
    </row>
    <row r="1603" spans="1:8" x14ac:dyDescent="0.3">
      <c r="A1603">
        <f t="shared" si="64"/>
        <v>0</v>
      </c>
      <c r="B1603">
        <v>772</v>
      </c>
      <c r="C1603" s="1">
        <v>18.860479085631759</v>
      </c>
      <c r="D1603" s="9">
        <v>16.929111111112459</v>
      </c>
      <c r="E1603" s="1">
        <v>0.79064500000000004</v>
      </c>
      <c r="F1603" s="1">
        <v>2.2278600000000002</v>
      </c>
      <c r="G1603" s="1">
        <v>12.3582</v>
      </c>
      <c r="H1603" s="1">
        <v>1.0610599999999999</v>
      </c>
    </row>
    <row r="1604" spans="1:8" x14ac:dyDescent="0.3">
      <c r="A1604" t="e">
        <f t="shared" si="64"/>
        <v>#REF!</v>
      </c>
      <c r="B1604">
        <v>822</v>
      </c>
      <c r="C1604" s="1">
        <v>19.292785560537759</v>
      </c>
      <c r="D1604" s="9">
        <v>16.976333333334768</v>
      </c>
      <c r="E1604" s="1">
        <v>1.0710500000000001</v>
      </c>
      <c r="F1604" s="1">
        <v>1.95357</v>
      </c>
      <c r="G1604" s="1">
        <v>12.805300000000001</v>
      </c>
      <c r="H1604" s="1">
        <v>2.1403699999999999</v>
      </c>
    </row>
    <row r="1605" spans="1:8" x14ac:dyDescent="0.3">
      <c r="A1605" t="e">
        <f t="shared" si="64"/>
        <v>#REF!</v>
      </c>
      <c r="B1605">
        <v>872</v>
      </c>
      <c r="C1605" s="1">
        <v>19.529538224204359</v>
      </c>
      <c r="D1605" s="9">
        <v>17.023555555557078</v>
      </c>
      <c r="E1605" s="1">
        <v>1.3668899999999999</v>
      </c>
      <c r="F1605" s="1">
        <v>1.67849</v>
      </c>
      <c r="G1605" s="1">
        <v>13.232200000000001</v>
      </c>
      <c r="H1605" s="1">
        <v>3.0830199999999999</v>
      </c>
    </row>
    <row r="1606" spans="1:8" x14ac:dyDescent="0.3">
      <c r="A1606">
        <f t="shared" si="64"/>
        <v>16</v>
      </c>
      <c r="B1606">
        <v>922</v>
      </c>
      <c r="C1606" s="1">
        <v>19.80400745170509</v>
      </c>
      <c r="D1606" s="9">
        <v>17.070777777779387</v>
      </c>
      <c r="E1606" s="1">
        <v>1.7378</v>
      </c>
      <c r="F1606" s="1">
        <v>1.68597</v>
      </c>
      <c r="G1606" s="1">
        <v>13.3195</v>
      </c>
      <c r="H1606" s="1">
        <v>3.5147400000000002</v>
      </c>
    </row>
    <row r="1607" spans="1:8" x14ac:dyDescent="0.3">
      <c r="A1607" t="e">
        <f t="shared" si="64"/>
        <v>#REF!</v>
      </c>
      <c r="B1607">
        <v>972</v>
      </c>
      <c r="C1607" s="1">
        <v>20.145444852643969</v>
      </c>
      <c r="D1607" s="9">
        <v>17.118000000001697</v>
      </c>
      <c r="E1607" s="1">
        <v>2.1232099999999998</v>
      </c>
      <c r="F1607" s="1">
        <v>2.0645099999999998</v>
      </c>
      <c r="G1607" s="1">
        <v>13.051500000000001</v>
      </c>
      <c r="H1607" s="1">
        <v>3.3715000000000002</v>
      </c>
    </row>
    <row r="1608" spans="1:8" x14ac:dyDescent="0.3">
      <c r="A1608">
        <f t="shared" si="64"/>
        <v>7</v>
      </c>
      <c r="B1608">
        <v>1022</v>
      </c>
      <c r="C1608" s="1">
        <v>20.552019817603799</v>
      </c>
      <c r="D1608" s="9">
        <v>17.165222222224006</v>
      </c>
      <c r="E1608" s="1">
        <v>2.3224300000000002</v>
      </c>
      <c r="F1608" s="1">
        <v>2.66153</v>
      </c>
      <c r="G1608" s="1">
        <v>12.7567</v>
      </c>
      <c r="H1608" s="1">
        <v>2.94001</v>
      </c>
    </row>
    <row r="1609" spans="1:8" x14ac:dyDescent="0.3">
      <c r="A1609" t="e">
        <f t="shared" si="64"/>
        <v>#REF!</v>
      </c>
      <c r="B1609">
        <v>1072</v>
      </c>
      <c r="C1609" s="1">
        <v>20.998024083803511</v>
      </c>
      <c r="D1609" s="9">
        <v>17.212444444446316</v>
      </c>
      <c r="E1609" s="1">
        <v>2.3203999999999998</v>
      </c>
      <c r="F1609" s="1">
        <v>3.2287300000000001</v>
      </c>
      <c r="G1609" s="1">
        <v>12.6462</v>
      </c>
      <c r="H1609" s="1">
        <v>2.5771899999999999</v>
      </c>
    </row>
    <row r="1610" spans="1:8" x14ac:dyDescent="0.3">
      <c r="A1610" t="e">
        <f t="shared" si="64"/>
        <v>#REF!</v>
      </c>
      <c r="B1610">
        <v>1122</v>
      </c>
      <c r="C1610" s="1">
        <v>21.393983096372182</v>
      </c>
      <c r="D1610" s="9">
        <v>17.259666666668625</v>
      </c>
      <c r="E1610" s="1">
        <v>2.3129400000000002</v>
      </c>
      <c r="F1610" s="1">
        <v>3.4363800000000002</v>
      </c>
      <c r="G1610" s="1">
        <v>12.772</v>
      </c>
      <c r="H1610" s="1">
        <v>2.6856800000000001</v>
      </c>
    </row>
    <row r="1611" spans="1:8" x14ac:dyDescent="0.3">
      <c r="A1611" t="e">
        <f t="shared" si="64"/>
        <v>#REF!</v>
      </c>
      <c r="B1611">
        <v>1172</v>
      </c>
      <c r="C1611" s="1">
        <v>21.682007175655158</v>
      </c>
      <c r="D1611" s="9">
        <v>17.306888888890935</v>
      </c>
      <c r="E1611" s="1">
        <v>2.3158400000000001</v>
      </c>
      <c r="F1611" s="1">
        <v>3.2817500000000002</v>
      </c>
      <c r="G1611" s="1">
        <v>13.0245</v>
      </c>
      <c r="H1611" s="1">
        <v>3.33026</v>
      </c>
    </row>
    <row r="1612" spans="1:8" x14ac:dyDescent="0.3">
      <c r="A1612">
        <f t="shared" si="64"/>
        <v>14</v>
      </c>
      <c r="B1612">
        <v>1222</v>
      </c>
      <c r="C1612" s="1">
        <v>22.122070551542581</v>
      </c>
      <c r="D1612" s="9">
        <v>17.354111111113244</v>
      </c>
      <c r="E1612" s="1">
        <v>2.1387700000000001</v>
      </c>
      <c r="F1612" s="1">
        <v>3.12724</v>
      </c>
      <c r="G1612" s="1">
        <v>13.1304</v>
      </c>
      <c r="H1612" s="1">
        <v>4.1973099999999999</v>
      </c>
    </row>
    <row r="1613" spans="1:8" x14ac:dyDescent="0.3">
      <c r="A1613" t="e">
        <f t="shared" si="64"/>
        <v>#REF!</v>
      </c>
      <c r="B1613">
        <v>1272</v>
      </c>
      <c r="C1613" s="1">
        <v>22.540660170534309</v>
      </c>
      <c r="D1613" s="9">
        <v>17.401333333335554</v>
      </c>
      <c r="E1613" s="1">
        <v>1.8257099999999999</v>
      </c>
      <c r="F1613" s="1">
        <v>3.1771699999999998</v>
      </c>
      <c r="G1613" s="1">
        <v>13.0589</v>
      </c>
      <c r="H1613" s="1">
        <v>5.0056900000000004</v>
      </c>
    </row>
    <row r="1614" spans="1:8" x14ac:dyDescent="0.3">
      <c r="A1614">
        <f t="shared" si="64"/>
        <v>5</v>
      </c>
      <c r="B1614">
        <v>1322</v>
      </c>
      <c r="C1614" s="1">
        <v>22.932221328688819</v>
      </c>
      <c r="D1614" s="9">
        <v>17.448555555557864</v>
      </c>
      <c r="E1614" s="1">
        <v>1.6887799999999999</v>
      </c>
      <c r="F1614" s="1">
        <v>3.4351799999999999</v>
      </c>
      <c r="G1614" s="1">
        <v>13.053000000000001</v>
      </c>
      <c r="H1614" s="1">
        <v>5.5399700000000003</v>
      </c>
    </row>
    <row r="1615" spans="1:8" x14ac:dyDescent="0.3">
      <c r="A1615" t="e">
        <f t="shared" si="64"/>
        <v>#REF!</v>
      </c>
      <c r="B1615">
        <v>1372</v>
      </c>
      <c r="C1615" s="1">
        <v>23.16091638256103</v>
      </c>
      <c r="D1615" s="9">
        <v>17.495777777780173</v>
      </c>
      <c r="E1615" s="1">
        <v>1.8704499999999999</v>
      </c>
      <c r="F1615" s="1">
        <v>3.82273</v>
      </c>
      <c r="G1615" s="1">
        <v>13.152100000000001</v>
      </c>
      <c r="H1615" s="1">
        <v>5.7935600000000003</v>
      </c>
    </row>
    <row r="1616" spans="1:8" x14ac:dyDescent="0.3">
      <c r="A1616">
        <f t="shared" si="64"/>
        <v>21</v>
      </c>
      <c r="B1616">
        <v>1422</v>
      </c>
      <c r="C1616" s="1">
        <v>23.24</v>
      </c>
      <c r="D1616" s="9">
        <v>17.543000000002483</v>
      </c>
      <c r="E1616" s="1">
        <v>2.3042500000000001</v>
      </c>
      <c r="F1616" s="1">
        <v>4.1846300000000003</v>
      </c>
      <c r="G1616" s="1">
        <v>13.1593</v>
      </c>
      <c r="H1616" s="1">
        <v>5.9807499999999996</v>
      </c>
    </row>
    <row r="1617" spans="1:8" x14ac:dyDescent="0.3">
      <c r="A1617" t="e">
        <f t="shared" si="64"/>
        <v>#REF!</v>
      </c>
      <c r="B1617">
        <v>1472</v>
      </c>
      <c r="C1617" s="1">
        <v>23.220916175525819</v>
      </c>
      <c r="D1617" s="9">
        <v>17.590222222224792</v>
      </c>
      <c r="E1617" s="1">
        <v>2.81067</v>
      </c>
      <c r="F1617" s="1">
        <v>4.45092</v>
      </c>
      <c r="G1617" s="1">
        <v>13.0686</v>
      </c>
      <c r="H1617" s="1">
        <v>6.1331899999999999</v>
      </c>
    </row>
    <row r="1618" spans="1:8" x14ac:dyDescent="0.3">
      <c r="A1618">
        <f t="shared" si="64"/>
        <v>12</v>
      </c>
      <c r="B1618">
        <v>1522</v>
      </c>
      <c r="C1618" s="1">
        <v>22.999586652595031</v>
      </c>
      <c r="D1618" s="9">
        <v>17.637444444447102</v>
      </c>
      <c r="E1618" s="1">
        <v>3.1084499999999999</v>
      </c>
      <c r="F1618" s="1">
        <v>4.6547599999999996</v>
      </c>
      <c r="G1618" s="1">
        <v>13.0922</v>
      </c>
      <c r="H1618" s="1">
        <v>6.0715000000000003</v>
      </c>
    </row>
    <row r="1619" spans="1:8" x14ac:dyDescent="0.3">
      <c r="A1619" t="e">
        <f t="shared" si="64"/>
        <v>#REF!</v>
      </c>
      <c r="B1619">
        <v>1572</v>
      </c>
      <c r="C1619" s="1">
        <v>22.713605502852531</v>
      </c>
      <c r="D1619" s="9">
        <v>17.684666666669411</v>
      </c>
      <c r="E1619" s="1">
        <v>3.2424200000000001</v>
      </c>
      <c r="F1619" s="1">
        <v>4.9444499999999998</v>
      </c>
      <c r="G1619" s="1">
        <v>13.250400000000001</v>
      </c>
      <c r="H1619" s="1">
        <v>5.7023700000000002</v>
      </c>
    </row>
    <row r="1620" spans="1:8" x14ac:dyDescent="0.3">
      <c r="A1620">
        <f t="shared" si="64"/>
        <v>3</v>
      </c>
      <c r="B1620">
        <v>1622</v>
      </c>
      <c r="C1620" s="1">
        <v>22.344545145267741</v>
      </c>
      <c r="D1620" s="9">
        <v>17.731888888891721</v>
      </c>
      <c r="E1620" s="1">
        <v>3.6142599999999998</v>
      </c>
      <c r="F1620" s="1">
        <v>5.58066</v>
      </c>
      <c r="G1620" s="1">
        <v>13.3447</v>
      </c>
      <c r="H1620" s="1">
        <v>5.0409199999999998</v>
      </c>
    </row>
    <row r="1621" spans="1:8" x14ac:dyDescent="0.3">
      <c r="A1621" t="e">
        <f t="shared" ref="A1621:A1652" si="65">A1571</f>
        <v>#REF!</v>
      </c>
      <c r="B1621">
        <v>1672</v>
      </c>
      <c r="C1621" s="1">
        <v>21.890775955586751</v>
      </c>
      <c r="D1621" s="9">
        <v>17.77911111111403</v>
      </c>
      <c r="E1621" s="1">
        <v>4.3368599999999997</v>
      </c>
      <c r="F1621" s="1">
        <v>6.5717400000000001</v>
      </c>
      <c r="G1621" s="1">
        <v>13.3483</v>
      </c>
      <c r="H1621" s="1">
        <v>4.1437900000000001</v>
      </c>
    </row>
    <row r="1622" spans="1:8" x14ac:dyDescent="0.3">
      <c r="A1622">
        <f t="shared" si="65"/>
        <v>19</v>
      </c>
      <c r="B1622">
        <v>1722</v>
      </c>
      <c r="C1622" s="1">
        <v>21.40921421212812</v>
      </c>
      <c r="D1622" s="9">
        <v>17.82633333333634</v>
      </c>
      <c r="E1622" s="1">
        <v>5.1801899999999996</v>
      </c>
      <c r="F1622" s="1">
        <v>7.64133</v>
      </c>
      <c r="G1622" s="1">
        <v>13.430199999999999</v>
      </c>
      <c r="H1622" s="1">
        <v>3.1062799999999999</v>
      </c>
    </row>
    <row r="1623" spans="1:8" x14ac:dyDescent="0.3">
      <c r="A1623" t="e">
        <f t="shared" si="65"/>
        <v>#REF!</v>
      </c>
      <c r="B1623">
        <v>1772</v>
      </c>
      <c r="C1623" s="1">
        <v>21.11661579391189</v>
      </c>
      <c r="D1623" s="9">
        <v>17.873555555558649</v>
      </c>
      <c r="E1623" s="1">
        <v>5.8125</v>
      </c>
      <c r="F1623" s="1">
        <v>8.5165799999999994</v>
      </c>
      <c r="G1623" s="1">
        <v>13.582000000000001</v>
      </c>
      <c r="H1623" s="1">
        <v>1.9996799999999999</v>
      </c>
    </row>
    <row r="1624" spans="1:8" x14ac:dyDescent="0.3">
      <c r="A1624">
        <f t="shared" si="65"/>
        <v>10</v>
      </c>
      <c r="B1624">
        <v>1822</v>
      </c>
      <c r="C1624" s="1">
        <v>20.7378973292513</v>
      </c>
      <c r="D1624" s="9">
        <v>17.920777777780959</v>
      </c>
      <c r="E1624" s="1">
        <v>5.8233199999999998</v>
      </c>
      <c r="F1624" s="1">
        <v>8.9553600000000007</v>
      </c>
      <c r="G1624" s="1">
        <v>13.5976</v>
      </c>
      <c r="H1624" s="1">
        <v>0.86505299999999996</v>
      </c>
    </row>
    <row r="1625" spans="1:8" x14ac:dyDescent="0.3">
      <c r="A1625" t="e">
        <f t="shared" si="65"/>
        <v>#REF!</v>
      </c>
      <c r="B1625">
        <v>1872</v>
      </c>
      <c r="C1625" s="1">
        <v>20.386359215234911</v>
      </c>
      <c r="D1625" s="9">
        <v>17.968000000003268</v>
      </c>
      <c r="E1625" s="1">
        <v>5.1759599999999999</v>
      </c>
      <c r="F1625" s="1">
        <v>9.0051600000000001</v>
      </c>
      <c r="G1625" s="1">
        <v>13.4763</v>
      </c>
      <c r="H1625" s="1">
        <v>-0.30458800000000003</v>
      </c>
    </row>
    <row r="1626" spans="1:8" x14ac:dyDescent="0.3">
      <c r="A1626">
        <f t="shared" si="65"/>
        <v>1</v>
      </c>
      <c r="B1626">
        <v>1922</v>
      </c>
      <c r="C1626" s="1">
        <v>19.972237863600611</v>
      </c>
      <c r="D1626" s="9">
        <v>18.015222222225578</v>
      </c>
      <c r="E1626" s="1">
        <v>4.2469599999999996</v>
      </c>
      <c r="F1626" s="1">
        <v>9.0192700000000006</v>
      </c>
      <c r="G1626" s="1">
        <v>13.446899999999999</v>
      </c>
      <c r="H1626" s="1">
        <v>-1.56368</v>
      </c>
    </row>
    <row r="1627" spans="1:8" x14ac:dyDescent="0.3">
      <c r="A1627" t="e">
        <f t="shared" si="65"/>
        <v>#REF!</v>
      </c>
      <c r="B1627">
        <v>1972</v>
      </c>
      <c r="C1627" s="1">
        <v>19.678056933317251</v>
      </c>
      <c r="D1627" s="9">
        <v>18.062444444447888</v>
      </c>
      <c r="E1627" s="1">
        <v>3.3951099999999999</v>
      </c>
      <c r="F1627" s="1">
        <v>9.0953800000000005</v>
      </c>
      <c r="G1627" s="1">
        <v>13.5565</v>
      </c>
      <c r="H1627" s="1">
        <v>-2.8780700000000001</v>
      </c>
    </row>
    <row r="1628" spans="1:8" x14ac:dyDescent="0.3">
      <c r="A1628">
        <f t="shared" si="65"/>
        <v>17</v>
      </c>
      <c r="B1628">
        <v>2022</v>
      </c>
      <c r="C1628" s="1">
        <v>19.422191542918789</v>
      </c>
      <c r="D1628" s="9">
        <v>18.109666666670197</v>
      </c>
      <c r="E1628" s="1">
        <v>2.9252199999999999</v>
      </c>
      <c r="F1628" s="1">
        <v>9.0414999999999992</v>
      </c>
      <c r="G1628" s="1">
        <v>13.6469</v>
      </c>
      <c r="H1628" s="1">
        <v>-4.1157899999999996</v>
      </c>
    </row>
    <row r="1629" spans="1:8" x14ac:dyDescent="0.3">
      <c r="A1629" t="e">
        <f t="shared" si="65"/>
        <v>#REF!</v>
      </c>
      <c r="B1629">
        <v>2072</v>
      </c>
      <c r="C1629" s="1">
        <v>19.27</v>
      </c>
      <c r="D1629" s="9">
        <v>18.156888888892507</v>
      </c>
      <c r="E1629" s="1">
        <v>2.8299599999999998</v>
      </c>
      <c r="F1629" s="1">
        <v>8.8222100000000001</v>
      </c>
      <c r="G1629" s="1">
        <v>13.6965</v>
      </c>
      <c r="H1629" s="1">
        <v>-5.1693899999999999</v>
      </c>
    </row>
    <row r="1630" spans="1:8" x14ac:dyDescent="0.3">
      <c r="A1630">
        <f t="shared" si="65"/>
        <v>8</v>
      </c>
      <c r="B1630">
        <v>2122</v>
      </c>
      <c r="C1630" s="1">
        <v>19.190000000000001</v>
      </c>
      <c r="D1630" s="9">
        <v>18.204111111114816</v>
      </c>
      <c r="E1630" s="1">
        <v>2.7748900000000001</v>
      </c>
      <c r="F1630" s="1">
        <v>8.5872499999999992</v>
      </c>
      <c r="G1630" s="1">
        <v>13.837300000000001</v>
      </c>
      <c r="H1630" s="1">
        <v>-5.9615400000000003</v>
      </c>
    </row>
    <row r="1631" spans="1:8" x14ac:dyDescent="0.3">
      <c r="A1631" t="e">
        <f t="shared" si="65"/>
        <v>#REF!</v>
      </c>
      <c r="B1631">
        <v>2172</v>
      </c>
      <c r="C1631" s="1">
        <v>19.179514728111769</v>
      </c>
      <c r="D1631" s="9">
        <v>18.251333333337126</v>
      </c>
      <c r="E1631" s="1">
        <v>2.6676099999999998</v>
      </c>
      <c r="F1631" s="1">
        <v>8.4610400000000006</v>
      </c>
      <c r="G1631" s="1">
        <v>14.0342</v>
      </c>
      <c r="H1631" s="1">
        <v>-6.36693</v>
      </c>
    </row>
    <row r="1632" spans="1:8" x14ac:dyDescent="0.3">
      <c r="A1632" t="e">
        <f t="shared" si="65"/>
        <v>#REF!</v>
      </c>
      <c r="B1632">
        <v>2222</v>
      </c>
      <c r="C1632" s="1">
        <v>19.217826919993911</v>
      </c>
      <c r="D1632" s="9">
        <v>18.298555555559435</v>
      </c>
      <c r="E1632" s="1">
        <v>2.6886899999999998</v>
      </c>
      <c r="F1632" s="1">
        <v>8.5239200000000004</v>
      </c>
      <c r="G1632" s="1">
        <v>14.071</v>
      </c>
      <c r="H1632" s="1">
        <v>-6.2148500000000002</v>
      </c>
    </row>
    <row r="1633" spans="1:8" x14ac:dyDescent="0.3">
      <c r="A1633" t="e">
        <f t="shared" si="65"/>
        <v>#REF!</v>
      </c>
      <c r="B1633">
        <v>2272</v>
      </c>
      <c r="C1633" s="1">
        <v>19.425557794592869</v>
      </c>
      <c r="D1633" s="9">
        <v>18.345777777781745</v>
      </c>
      <c r="E1633" s="1">
        <v>2.8359299999999998</v>
      </c>
      <c r="F1633" s="1">
        <v>8.6830800000000004</v>
      </c>
      <c r="G1633" s="1">
        <v>13.937799999999999</v>
      </c>
      <c r="H1633" s="1">
        <v>-5.5431699999999999</v>
      </c>
    </row>
    <row r="1634" spans="1:8" x14ac:dyDescent="0.3">
      <c r="A1634">
        <f t="shared" si="65"/>
        <v>15</v>
      </c>
      <c r="B1634">
        <v>2322</v>
      </c>
      <c r="C1634" s="1">
        <v>19.73860101083034</v>
      </c>
      <c r="D1634" s="9">
        <v>18.393000000004054</v>
      </c>
      <c r="E1634" s="1">
        <v>2.9017400000000002</v>
      </c>
      <c r="F1634" s="1">
        <v>8.6684199999999993</v>
      </c>
      <c r="G1634" s="1">
        <v>13.8498</v>
      </c>
      <c r="H1634" s="1">
        <v>-4.6122300000000003</v>
      </c>
    </row>
    <row r="1635" spans="1:8" x14ac:dyDescent="0.3">
      <c r="A1635" t="e">
        <f t="shared" si="65"/>
        <v>#REF!</v>
      </c>
      <c r="B1635">
        <v>2372</v>
      </c>
      <c r="C1635" s="1">
        <v>20.174552222813119</v>
      </c>
      <c r="D1635" s="9">
        <v>18.440222222226364</v>
      </c>
      <c r="E1635" s="1">
        <v>2.8501599999999998</v>
      </c>
      <c r="F1635" s="1">
        <v>8.4121400000000008</v>
      </c>
      <c r="G1635" s="1">
        <v>13.8429</v>
      </c>
      <c r="H1635" s="1">
        <v>-3.5812300000000001</v>
      </c>
    </row>
    <row r="1636" spans="1:8" x14ac:dyDescent="0.3">
      <c r="A1636">
        <f t="shared" si="65"/>
        <v>6</v>
      </c>
      <c r="B1636">
        <v>2422</v>
      </c>
      <c r="C1636" s="1">
        <v>20.71953244575711</v>
      </c>
      <c r="D1636" s="9">
        <v>18.487444444448673</v>
      </c>
      <c r="E1636" s="1">
        <v>2.8331900000000001</v>
      </c>
      <c r="F1636" s="1">
        <v>8.0752500000000005</v>
      </c>
      <c r="G1636" s="1">
        <v>13.7552</v>
      </c>
      <c r="H1636" s="1">
        <v>-2.4881899999999999</v>
      </c>
    </row>
    <row r="1637" spans="1:8" x14ac:dyDescent="0.3">
      <c r="A1637" t="e">
        <f t="shared" si="65"/>
        <v>#REF!</v>
      </c>
      <c r="B1637">
        <v>2472</v>
      </c>
      <c r="C1637" s="1">
        <v>21.286822282844771</v>
      </c>
      <c r="D1637" s="9">
        <v>18.534666666670983</v>
      </c>
      <c r="E1637" s="1">
        <v>2.7994699999999999</v>
      </c>
      <c r="F1637" s="1">
        <v>7.8456700000000001</v>
      </c>
      <c r="G1637" s="1">
        <v>13.6264</v>
      </c>
      <c r="H1637" s="1">
        <v>-1.34145</v>
      </c>
    </row>
    <row r="1638" spans="1:8" x14ac:dyDescent="0.3">
      <c r="A1638">
        <f t="shared" si="65"/>
        <v>22</v>
      </c>
      <c r="B1638">
        <v>2522</v>
      </c>
      <c r="C1638" s="1">
        <v>21.80331216656705</v>
      </c>
      <c r="D1638" s="9">
        <v>18.581888888893292</v>
      </c>
      <c r="E1638" s="1">
        <v>2.4786800000000002</v>
      </c>
      <c r="F1638" s="1">
        <v>7.9176299999999999</v>
      </c>
      <c r="G1638" s="1">
        <v>13.7127</v>
      </c>
      <c r="H1638" s="1">
        <v>-0.125448</v>
      </c>
    </row>
    <row r="1639" spans="1:8" x14ac:dyDescent="0.3">
      <c r="A1639" t="e">
        <f t="shared" si="65"/>
        <v>#REF!</v>
      </c>
      <c r="B1639">
        <v>2572</v>
      </c>
      <c r="C1639" s="1">
        <v>22.222742295398358</v>
      </c>
      <c r="D1639" s="9">
        <v>18.629111111115602</v>
      </c>
      <c r="E1639" s="1">
        <v>1.8437399999999999</v>
      </c>
      <c r="F1639" s="1">
        <v>8.21265</v>
      </c>
      <c r="G1639" s="1">
        <v>14.0236</v>
      </c>
      <c r="H1639" s="1">
        <v>1.1373899999999999</v>
      </c>
    </row>
    <row r="1640" spans="1:8" x14ac:dyDescent="0.3">
      <c r="A1640">
        <f t="shared" si="65"/>
        <v>13</v>
      </c>
      <c r="B1640">
        <v>2622</v>
      </c>
      <c r="C1640" s="1">
        <v>22.55442975826525</v>
      </c>
      <c r="D1640" s="9">
        <v>18.676333333337912</v>
      </c>
      <c r="E1640" s="1">
        <v>1.14097</v>
      </c>
      <c r="F1640" s="1">
        <v>8.3681099999999997</v>
      </c>
      <c r="G1640" s="1">
        <v>14.297000000000001</v>
      </c>
      <c r="H1640" s="1">
        <v>2.38253</v>
      </c>
    </row>
    <row r="1641" spans="1:8" x14ac:dyDescent="0.3">
      <c r="A1641" t="e">
        <f t="shared" si="65"/>
        <v>#REF!</v>
      </c>
      <c r="B1641">
        <v>2672</v>
      </c>
      <c r="C1641" s="1">
        <v>22.942290029091861</v>
      </c>
      <c r="D1641" s="9">
        <v>18.723555555560221</v>
      </c>
      <c r="E1641" s="1">
        <v>0.659084</v>
      </c>
      <c r="F1641" s="1">
        <v>8.2445000000000004</v>
      </c>
      <c r="G1641" s="1">
        <v>14.34</v>
      </c>
      <c r="H1641" s="1">
        <v>3.5310199999999998</v>
      </c>
    </row>
    <row r="1642" spans="1:8" x14ac:dyDescent="0.3">
      <c r="A1642">
        <f t="shared" si="65"/>
        <v>4</v>
      </c>
      <c r="B1642">
        <v>2722</v>
      </c>
      <c r="C1642" s="1">
        <v>23.409791605573972</v>
      </c>
      <c r="D1642" s="9">
        <v>18.770777777782531</v>
      </c>
      <c r="E1642" s="1">
        <v>0.70617799999999997</v>
      </c>
      <c r="F1642" s="1">
        <v>7.9615099999999996</v>
      </c>
      <c r="G1642" s="1">
        <v>14.055300000000001</v>
      </c>
      <c r="H1642" s="1">
        <v>4.4917299999999996</v>
      </c>
    </row>
    <row r="1643" spans="1:8" x14ac:dyDescent="0.3">
      <c r="A1643" t="e">
        <f t="shared" si="65"/>
        <v>#REF!</v>
      </c>
      <c r="B1643">
        <v>2772</v>
      </c>
      <c r="C1643" s="1">
        <v>23.833880730673229</v>
      </c>
      <c r="D1643" s="9">
        <v>18.81800000000484</v>
      </c>
      <c r="E1643" s="1">
        <v>1.29366</v>
      </c>
      <c r="F1643" s="1">
        <v>7.7829300000000003</v>
      </c>
      <c r="G1643" s="1">
        <v>13.5579</v>
      </c>
      <c r="H1643" s="1">
        <v>5.1968199999999998</v>
      </c>
    </row>
    <row r="1644" spans="1:8" x14ac:dyDescent="0.3">
      <c r="A1644">
        <f t="shared" si="65"/>
        <v>20</v>
      </c>
      <c r="B1644">
        <v>2822</v>
      </c>
      <c r="C1644" s="1">
        <v>24.104317520150801</v>
      </c>
      <c r="D1644" s="9">
        <v>18.86522222222715</v>
      </c>
      <c r="E1644" s="1">
        <v>2.1162399999999999</v>
      </c>
      <c r="F1644" s="1">
        <v>8.1014199999999992</v>
      </c>
      <c r="G1644" s="1">
        <v>13.1797</v>
      </c>
      <c r="H1644" s="1">
        <v>5.6090099999999996</v>
      </c>
    </row>
    <row r="1645" spans="1:8" x14ac:dyDescent="0.3">
      <c r="A1645" t="e">
        <f t="shared" si="65"/>
        <v>#REF!</v>
      </c>
      <c r="B1645">
        <v>2872</v>
      </c>
      <c r="C1645" s="1">
        <v>24.294687910366861</v>
      </c>
      <c r="D1645" s="9">
        <v>18.912444444449459</v>
      </c>
      <c r="E1645" s="1">
        <v>2.8611300000000002</v>
      </c>
      <c r="F1645" s="1">
        <v>9.0176400000000001</v>
      </c>
      <c r="G1645" s="1">
        <v>13.185600000000001</v>
      </c>
      <c r="H1645" s="1">
        <v>5.8268599999999999</v>
      </c>
    </row>
    <row r="1646" spans="1:8" x14ac:dyDescent="0.3">
      <c r="A1646">
        <f t="shared" si="65"/>
        <v>11</v>
      </c>
      <c r="B1646">
        <v>2922</v>
      </c>
      <c r="C1646" s="1">
        <v>24.21</v>
      </c>
      <c r="D1646" s="9">
        <v>18.959666666671769</v>
      </c>
      <c r="E1646" s="1">
        <v>3.2380100000000001</v>
      </c>
      <c r="F1646" s="1">
        <v>10.311999999999999</v>
      </c>
      <c r="G1646" s="1">
        <v>13.7498</v>
      </c>
      <c r="H1646" s="1">
        <v>6.0831600000000003</v>
      </c>
    </row>
    <row r="1647" spans="1:8" x14ac:dyDescent="0.3">
      <c r="A1647" t="e">
        <f t="shared" si="65"/>
        <v>#REF!</v>
      </c>
      <c r="B1647">
        <v>2972</v>
      </c>
      <c r="C1647" s="1">
        <v>24.07</v>
      </c>
      <c r="D1647" s="9">
        <v>19.006888888894078</v>
      </c>
      <c r="E1647" s="1">
        <v>3.32145</v>
      </c>
      <c r="F1647" s="1">
        <v>11.683199999999999</v>
      </c>
      <c r="G1647" s="1">
        <v>14.8094</v>
      </c>
      <c r="H1647" s="1">
        <v>6.4336500000000001</v>
      </c>
    </row>
    <row r="1648" spans="1:8" x14ac:dyDescent="0.3">
      <c r="A1648">
        <f t="shared" si="65"/>
        <v>2</v>
      </c>
      <c r="B1648">
        <v>3022</v>
      </c>
      <c r="C1648" s="1">
        <v>23.97</v>
      </c>
      <c r="D1648" s="9">
        <v>19.054111111116388</v>
      </c>
      <c r="E1648" s="1">
        <v>3.56176</v>
      </c>
      <c r="F1648" s="1">
        <v>12.762499999999999</v>
      </c>
      <c r="G1648" s="1">
        <v>16.0565</v>
      </c>
      <c r="H1648" s="1">
        <v>6.7479300000000002</v>
      </c>
    </row>
    <row r="1649" spans="1:8" x14ac:dyDescent="0.3">
      <c r="A1649" t="e">
        <f t="shared" si="65"/>
        <v>#REF!</v>
      </c>
      <c r="B1649">
        <v>3072</v>
      </c>
      <c r="C1649" s="1">
        <v>23.767982369592261</v>
      </c>
      <c r="D1649" s="9">
        <v>19.101333333338697</v>
      </c>
      <c r="E1649" s="1">
        <v>4.17469</v>
      </c>
      <c r="F1649" s="1">
        <v>13.2676</v>
      </c>
      <c r="G1649" s="1">
        <v>17.1646</v>
      </c>
      <c r="H1649" s="1">
        <v>7.0506099999999998</v>
      </c>
    </row>
    <row r="1650" spans="1:8" x14ac:dyDescent="0.3">
      <c r="A1650">
        <f t="shared" si="65"/>
        <v>18</v>
      </c>
      <c r="B1650">
        <v>3122</v>
      </c>
      <c r="C1650" s="1">
        <v>23.392185958065578</v>
      </c>
      <c r="D1650" s="9">
        <v>19.148555555561007</v>
      </c>
      <c r="E1650" s="1">
        <v>5.1011300000000004</v>
      </c>
      <c r="F1650" s="1">
        <v>13.0372</v>
      </c>
      <c r="G1650" s="1">
        <v>17.8203</v>
      </c>
      <c r="H1650" s="1">
        <v>7.52921</v>
      </c>
    </row>
    <row r="1651" spans="1:8" x14ac:dyDescent="0.3">
      <c r="A1651" t="e">
        <f t="shared" si="65"/>
        <v>#REF!</v>
      </c>
      <c r="B1651">
        <v>3172</v>
      </c>
      <c r="C1651" s="1">
        <v>22.992758871395029</v>
      </c>
      <c r="D1651" s="9">
        <v>19.195777777783317</v>
      </c>
      <c r="E1651" s="1">
        <v>6.1823600000000001</v>
      </c>
      <c r="F1651" s="1">
        <v>12.185</v>
      </c>
      <c r="G1651" s="1">
        <v>17.946100000000001</v>
      </c>
      <c r="H1651" s="1">
        <v>8.2761300000000002</v>
      </c>
    </row>
    <row r="1652" spans="1:8" x14ac:dyDescent="0.3">
      <c r="A1652">
        <f t="shared" si="65"/>
        <v>9</v>
      </c>
      <c r="B1652">
        <v>3222</v>
      </c>
      <c r="C1652" s="1">
        <v>22.621612897815389</v>
      </c>
      <c r="D1652" s="9">
        <v>19.243000000005626</v>
      </c>
      <c r="E1652" s="1">
        <v>7.1896399999999998</v>
      </c>
      <c r="F1652" s="1">
        <v>11.075200000000001</v>
      </c>
      <c r="G1652" s="1">
        <v>17.692699999999999</v>
      </c>
      <c r="H1652" s="1">
        <v>9.2807499999999994</v>
      </c>
    </row>
    <row r="1653" spans="1:8" x14ac:dyDescent="0.3">
      <c r="A1653">
        <f t="shared" ref="A1653:A1659" si="66">A1603</f>
        <v>0</v>
      </c>
      <c r="B1653">
        <v>3272</v>
      </c>
      <c r="C1653" s="1">
        <v>22.233825496401359</v>
      </c>
      <c r="D1653" s="9">
        <v>19.290222222227936</v>
      </c>
      <c r="E1653" s="1">
        <v>8.0884499999999999</v>
      </c>
      <c r="F1653" s="1">
        <v>10.066800000000001</v>
      </c>
      <c r="G1653" s="1">
        <v>17.264199999999999</v>
      </c>
      <c r="H1653" s="1">
        <v>10.4908</v>
      </c>
    </row>
    <row r="1654" spans="1:8" x14ac:dyDescent="0.3">
      <c r="A1654" t="e">
        <f t="shared" si="66"/>
        <v>#REF!</v>
      </c>
      <c r="B1654">
        <v>3322</v>
      </c>
      <c r="C1654" s="1">
        <v>21.863362879444171</v>
      </c>
      <c r="D1654" s="9">
        <v>19.337444444450245</v>
      </c>
      <c r="E1654" s="1">
        <v>9.2071299999999994</v>
      </c>
      <c r="F1654" s="1">
        <v>9.9155200000000008</v>
      </c>
      <c r="G1654" s="1">
        <v>17.046600000000002</v>
      </c>
      <c r="H1654" s="1">
        <v>11.8535</v>
      </c>
    </row>
    <row r="1655" spans="1:8" x14ac:dyDescent="0.3">
      <c r="A1655" t="e">
        <f t="shared" si="66"/>
        <v>#REF!</v>
      </c>
      <c r="B1655">
        <v>3372</v>
      </c>
      <c r="C1655" s="1">
        <v>21.56060737490505</v>
      </c>
      <c r="D1655" s="9">
        <v>19.384666666672555</v>
      </c>
      <c r="E1655" s="1">
        <v>10.8386</v>
      </c>
      <c r="F1655" s="1">
        <v>11.1683</v>
      </c>
      <c r="G1655" s="1">
        <v>17.236499999999999</v>
      </c>
      <c r="H1655" s="1">
        <v>13.2906</v>
      </c>
    </row>
    <row r="1656" spans="1:8" x14ac:dyDescent="0.3">
      <c r="A1656">
        <f t="shared" si="66"/>
        <v>16</v>
      </c>
      <c r="B1656">
        <v>3422</v>
      </c>
      <c r="C1656" s="1">
        <v>21.216096558808399</v>
      </c>
      <c r="D1656" s="9">
        <v>19.431888888894864</v>
      </c>
      <c r="E1656" s="1">
        <v>12.659599999999999</v>
      </c>
      <c r="F1656" s="1">
        <v>12.8186</v>
      </c>
      <c r="G1656" s="1">
        <v>17.569099999999999</v>
      </c>
      <c r="H1656" s="1">
        <v>14.7011</v>
      </c>
    </row>
    <row r="1657" spans="1:8" x14ac:dyDescent="0.3">
      <c r="A1657" t="e">
        <f t="shared" si="66"/>
        <v>#REF!</v>
      </c>
      <c r="B1657">
        <v>3472</v>
      </c>
      <c r="C1657" s="1">
        <v>20.704048445322389</v>
      </c>
      <c r="D1657" s="9">
        <v>19.479111111117174</v>
      </c>
      <c r="E1657" s="1">
        <v>14.5654</v>
      </c>
      <c r="F1657" s="1">
        <v>14.638500000000001</v>
      </c>
      <c r="G1657" s="1">
        <v>18.030100000000001</v>
      </c>
      <c r="H1657" s="1">
        <v>16.091799999999999</v>
      </c>
    </row>
    <row r="1658" spans="1:8" x14ac:dyDescent="0.3">
      <c r="A1658">
        <f t="shared" si="66"/>
        <v>7</v>
      </c>
      <c r="B1658">
        <v>3522</v>
      </c>
      <c r="C1658" s="1">
        <v>20.267250524499509</v>
      </c>
      <c r="D1658" s="9">
        <v>19.526333333339483</v>
      </c>
      <c r="E1658" s="1">
        <v>16.514399999999998</v>
      </c>
      <c r="F1658" s="1">
        <v>16.543099999999999</v>
      </c>
      <c r="G1658" s="1">
        <v>18.5883</v>
      </c>
      <c r="H1658" s="1">
        <v>17.469100000000001</v>
      </c>
    </row>
    <row r="1659" spans="1:8" x14ac:dyDescent="0.3">
      <c r="A1659" t="e">
        <f t="shared" si="66"/>
        <v>#REF!</v>
      </c>
      <c r="B1659">
        <v>3572</v>
      </c>
      <c r="C1659" s="1">
        <v>19.849445116615289</v>
      </c>
      <c r="D1659" s="9">
        <v>19.573555555561793</v>
      </c>
      <c r="E1659" s="1">
        <v>18.4879</v>
      </c>
      <c r="F1659" s="1">
        <v>18.494399999999999</v>
      </c>
      <c r="G1659" s="1">
        <v>19.220199999999998</v>
      </c>
      <c r="H1659" s="1">
        <v>18.8371</v>
      </c>
    </row>
    <row r="1660" spans="1:8" x14ac:dyDescent="0.3">
      <c r="A1660">
        <v>23</v>
      </c>
      <c r="B1660">
        <v>23</v>
      </c>
      <c r="C1660" s="1">
        <v>16.170000000000002</v>
      </c>
      <c r="D1660" s="9">
        <v>16.221722222222262</v>
      </c>
      <c r="E1660" s="1">
        <v>15.347200000000001</v>
      </c>
      <c r="F1660" s="1">
        <v>15.2903</v>
      </c>
      <c r="G1660" s="1">
        <v>15.9194</v>
      </c>
      <c r="H1660" s="1">
        <v>15.342700000000001</v>
      </c>
    </row>
    <row r="1661" spans="1:8" x14ac:dyDescent="0.3">
      <c r="A1661" t="e">
        <f t="shared" ref="A1661:A1692" si="67">A1611</f>
        <v>#REF!</v>
      </c>
      <c r="B1661">
        <v>73</v>
      </c>
      <c r="C1661" s="1">
        <v>16.21177535869295</v>
      </c>
      <c r="D1661" s="9">
        <v>16.268944444444571</v>
      </c>
      <c r="E1661" s="1">
        <v>13.509499999999999</v>
      </c>
      <c r="F1661" s="1">
        <v>13.332700000000001</v>
      </c>
      <c r="G1661" s="1">
        <v>15.3491</v>
      </c>
      <c r="H1661" s="1">
        <v>13.4724</v>
      </c>
    </row>
    <row r="1662" spans="1:8" x14ac:dyDescent="0.3">
      <c r="A1662">
        <f t="shared" si="67"/>
        <v>14</v>
      </c>
      <c r="B1662">
        <v>123</v>
      </c>
      <c r="C1662" s="1">
        <v>16.308509645914992</v>
      </c>
      <c r="D1662" s="9">
        <v>16.316166666666881</v>
      </c>
      <c r="E1662" s="1">
        <v>11.701700000000001</v>
      </c>
      <c r="F1662" s="1">
        <v>11.417299999999999</v>
      </c>
      <c r="G1662" s="1">
        <v>14.8437</v>
      </c>
      <c r="H1662" s="1">
        <v>11.5923</v>
      </c>
    </row>
    <row r="1663" spans="1:8" x14ac:dyDescent="0.3">
      <c r="A1663" t="e">
        <f t="shared" si="67"/>
        <v>#REF!</v>
      </c>
      <c r="B1663">
        <v>173</v>
      </c>
      <c r="C1663" s="1">
        <v>16.50264903121273</v>
      </c>
      <c r="D1663" s="9">
        <v>16.36338888888919</v>
      </c>
      <c r="E1663" s="1">
        <v>9.9387299999999996</v>
      </c>
      <c r="F1663" s="1">
        <v>9.5767500000000005</v>
      </c>
      <c r="G1663" s="1">
        <v>14.419499999999999</v>
      </c>
      <c r="H1663" s="1">
        <v>9.7020800000000005</v>
      </c>
    </row>
    <row r="1664" spans="1:8" x14ac:dyDescent="0.3">
      <c r="A1664">
        <f t="shared" si="67"/>
        <v>5</v>
      </c>
      <c r="B1664">
        <v>223</v>
      </c>
      <c r="C1664" s="1">
        <v>16.854490652011609</v>
      </c>
      <c r="D1664" s="9">
        <v>16.4106111111115</v>
      </c>
      <c r="E1664" s="1">
        <v>8.2484699999999993</v>
      </c>
      <c r="F1664" s="1">
        <v>7.8831699999999998</v>
      </c>
      <c r="G1664" s="1">
        <v>14.093</v>
      </c>
      <c r="H1664" s="1">
        <v>7.8052900000000003</v>
      </c>
    </row>
    <row r="1665" spans="1:8" x14ac:dyDescent="0.3">
      <c r="A1665" t="e">
        <f t="shared" si="67"/>
        <v>#REF!</v>
      </c>
      <c r="B1665">
        <v>273</v>
      </c>
      <c r="C1665" s="1">
        <v>16.986337073893711</v>
      </c>
      <c r="D1665" s="9">
        <v>16.457833333333809</v>
      </c>
      <c r="E1665" s="1">
        <v>6.6883499999999998</v>
      </c>
      <c r="F1665" s="1">
        <v>6.5203300000000004</v>
      </c>
      <c r="G1665" s="1">
        <v>13.8484</v>
      </c>
      <c r="H1665" s="1">
        <v>5.9289100000000001</v>
      </c>
    </row>
    <row r="1666" spans="1:8" x14ac:dyDescent="0.3">
      <c r="A1666">
        <f t="shared" si="67"/>
        <v>21</v>
      </c>
      <c r="B1666">
        <v>323</v>
      </c>
      <c r="C1666" s="1">
        <v>17.177719965340909</v>
      </c>
      <c r="D1666" s="9">
        <v>16.505055555556119</v>
      </c>
      <c r="E1666" s="1">
        <v>5.5626100000000003</v>
      </c>
      <c r="F1666" s="1">
        <v>6.2323199999999996</v>
      </c>
      <c r="G1666" s="1">
        <v>13.873900000000001</v>
      </c>
      <c r="H1666" s="1">
        <v>4.4402100000000004</v>
      </c>
    </row>
    <row r="1667" spans="1:8" x14ac:dyDescent="0.3">
      <c r="A1667" t="e">
        <f t="shared" si="67"/>
        <v>#REF!</v>
      </c>
      <c r="B1667">
        <v>373</v>
      </c>
      <c r="C1667" s="1">
        <v>17.412720111922319</v>
      </c>
      <c r="D1667" s="9">
        <v>16.552277777778428</v>
      </c>
      <c r="E1667" s="1">
        <v>4.8222899999999997</v>
      </c>
      <c r="F1667" s="1">
        <v>6.5540200000000004</v>
      </c>
      <c r="G1667" s="1">
        <v>14.052099999999999</v>
      </c>
      <c r="H1667" s="1">
        <v>3.4020299999999999</v>
      </c>
    </row>
    <row r="1668" spans="1:8" x14ac:dyDescent="0.3">
      <c r="A1668">
        <f t="shared" si="67"/>
        <v>12</v>
      </c>
      <c r="B1668">
        <v>423</v>
      </c>
      <c r="C1668" s="1">
        <v>17.61354927465727</v>
      </c>
      <c r="D1668" s="9">
        <v>16.599500000000738</v>
      </c>
      <c r="E1668" s="1">
        <v>4.3382699999999996</v>
      </c>
      <c r="F1668" s="1">
        <v>6.7404900000000003</v>
      </c>
      <c r="G1668" s="1">
        <v>14.011799999999999</v>
      </c>
      <c r="H1668" s="1">
        <v>2.72621</v>
      </c>
    </row>
    <row r="1669" spans="1:8" x14ac:dyDescent="0.3">
      <c r="A1669" t="e">
        <f t="shared" si="67"/>
        <v>#REF!</v>
      </c>
      <c r="B1669">
        <v>473</v>
      </c>
      <c r="C1669" s="1">
        <v>17.843046359259439</v>
      </c>
      <c r="D1669" s="9">
        <v>16.646722222223048</v>
      </c>
      <c r="E1669" s="1">
        <v>3.9554100000000001</v>
      </c>
      <c r="F1669" s="1">
        <v>6.5599299999999996</v>
      </c>
      <c r="G1669" s="1">
        <v>13.723699999999999</v>
      </c>
      <c r="H1669" s="1">
        <v>2.2778299999999998</v>
      </c>
    </row>
    <row r="1670" spans="1:8" x14ac:dyDescent="0.3">
      <c r="A1670">
        <f t="shared" si="67"/>
        <v>3</v>
      </c>
      <c r="B1670">
        <v>523</v>
      </c>
      <c r="C1670" s="1">
        <v>18.05</v>
      </c>
      <c r="D1670" s="9">
        <v>16.693944444445357</v>
      </c>
      <c r="E1670" s="1">
        <v>3.3569800000000001</v>
      </c>
      <c r="F1670" s="1">
        <v>5.9603200000000003</v>
      </c>
      <c r="G1670" s="1">
        <v>13.3796</v>
      </c>
      <c r="H1670" s="1">
        <v>1.72845</v>
      </c>
    </row>
    <row r="1671" spans="1:8" x14ac:dyDescent="0.3">
      <c r="A1671" t="e">
        <f t="shared" si="67"/>
        <v>#REF!</v>
      </c>
      <c r="B1671">
        <v>573</v>
      </c>
      <c r="C1671" s="1">
        <v>18.25</v>
      </c>
      <c r="D1671" s="9">
        <v>16.741166666667667</v>
      </c>
      <c r="E1671" s="1">
        <v>2.4824099999999998</v>
      </c>
      <c r="F1671" s="1">
        <v>5.0259600000000004</v>
      </c>
      <c r="G1671" s="1">
        <v>13.0467</v>
      </c>
      <c r="H1671" s="1">
        <v>1.00119</v>
      </c>
    </row>
    <row r="1672" spans="1:8" x14ac:dyDescent="0.3">
      <c r="A1672">
        <f t="shared" si="67"/>
        <v>19</v>
      </c>
      <c r="B1672">
        <v>623</v>
      </c>
      <c r="C1672" s="1">
        <v>18.45736474023342</v>
      </c>
      <c r="D1672" s="9">
        <v>16.788388888889976</v>
      </c>
      <c r="E1672" s="1">
        <v>1.5810900000000001</v>
      </c>
      <c r="F1672" s="1">
        <v>3.9922399999999998</v>
      </c>
      <c r="G1672" s="1">
        <v>12.6409</v>
      </c>
      <c r="H1672" s="1">
        <v>0.325847</v>
      </c>
    </row>
    <row r="1673" spans="1:8" x14ac:dyDescent="0.3">
      <c r="A1673" t="e">
        <f t="shared" si="67"/>
        <v>#REF!</v>
      </c>
      <c r="B1673">
        <v>673</v>
      </c>
      <c r="C1673" s="1">
        <v>18.5596698468838</v>
      </c>
      <c r="D1673" s="9">
        <v>16.835611111112286</v>
      </c>
      <c r="E1673" s="1">
        <v>0.89923600000000004</v>
      </c>
      <c r="F1673" s="1">
        <v>3.0883400000000001</v>
      </c>
      <c r="G1673" s="1">
        <v>12.2456</v>
      </c>
      <c r="H1673" s="1">
        <v>-2.4886700000000001E-2</v>
      </c>
    </row>
    <row r="1674" spans="1:8" x14ac:dyDescent="0.3">
      <c r="A1674">
        <f t="shared" si="67"/>
        <v>10</v>
      </c>
      <c r="B1674">
        <v>723</v>
      </c>
      <c r="C1674" s="1">
        <v>18.734216517552579</v>
      </c>
      <c r="D1674" s="9">
        <v>16.882833333334595</v>
      </c>
      <c r="E1674" s="1">
        <v>0.64621700000000004</v>
      </c>
      <c r="F1674" s="1">
        <v>2.51112</v>
      </c>
      <c r="G1674" s="1">
        <v>12.1282</v>
      </c>
      <c r="H1674" s="1">
        <v>0.234482</v>
      </c>
    </row>
    <row r="1675" spans="1:8" x14ac:dyDescent="0.3">
      <c r="A1675" t="e">
        <f t="shared" si="67"/>
        <v>#REF!</v>
      </c>
      <c r="B1675">
        <v>773</v>
      </c>
      <c r="C1675" s="1">
        <v>18.871499347956352</v>
      </c>
      <c r="D1675" s="9">
        <v>16.930055555556905</v>
      </c>
      <c r="E1675" s="1">
        <v>0.79582600000000003</v>
      </c>
      <c r="F1675" s="1">
        <v>2.2231100000000001</v>
      </c>
      <c r="G1675" s="1">
        <v>12.365600000000001</v>
      </c>
      <c r="H1675" s="1">
        <v>1.0815300000000001</v>
      </c>
    </row>
    <row r="1676" spans="1:8" x14ac:dyDescent="0.3">
      <c r="A1676">
        <f t="shared" si="67"/>
        <v>1</v>
      </c>
      <c r="B1676">
        <v>823</v>
      </c>
      <c r="C1676" s="1">
        <v>19.296764250673402</v>
      </c>
      <c r="D1676" s="9">
        <v>16.977277777779214</v>
      </c>
      <c r="E1676" s="1">
        <v>1.07666</v>
      </c>
      <c r="F1676" s="1">
        <v>1.9472100000000001</v>
      </c>
      <c r="G1676" s="1">
        <v>12.815099999999999</v>
      </c>
      <c r="H1676" s="1">
        <v>2.1618400000000002</v>
      </c>
    </row>
    <row r="1677" spans="1:8" x14ac:dyDescent="0.3">
      <c r="A1677" t="e">
        <f t="shared" si="67"/>
        <v>#REF!</v>
      </c>
      <c r="B1677">
        <v>873</v>
      </c>
      <c r="C1677" s="1">
        <v>19.5377439247045</v>
      </c>
      <c r="D1677" s="9">
        <v>17.024500000001524</v>
      </c>
      <c r="E1677" s="1">
        <v>1.37337</v>
      </c>
      <c r="F1677" s="1">
        <v>1.67492</v>
      </c>
      <c r="G1677" s="1">
        <v>13.238200000000001</v>
      </c>
      <c r="H1677" s="1">
        <v>3.0978400000000001</v>
      </c>
    </row>
    <row r="1678" spans="1:8" x14ac:dyDescent="0.3">
      <c r="A1678">
        <f t="shared" si="67"/>
        <v>17</v>
      </c>
      <c r="B1678">
        <v>923</v>
      </c>
      <c r="C1678" s="1">
        <v>19.80828512396695</v>
      </c>
      <c r="D1678" s="9">
        <v>17.071722222223833</v>
      </c>
      <c r="E1678" s="1">
        <v>1.7460100000000001</v>
      </c>
      <c r="F1678" s="1">
        <v>1.69032</v>
      </c>
      <c r="G1678" s="1">
        <v>13.316599999999999</v>
      </c>
      <c r="H1678" s="1">
        <v>3.51668</v>
      </c>
    </row>
    <row r="1679" spans="1:8" x14ac:dyDescent="0.3">
      <c r="A1679" t="e">
        <f t="shared" si="67"/>
        <v>#REF!</v>
      </c>
      <c r="B1679">
        <v>973</v>
      </c>
      <c r="C1679" s="1">
        <v>20.154427238185921</v>
      </c>
      <c r="D1679" s="9">
        <v>17.118944444446143</v>
      </c>
      <c r="E1679" s="1">
        <v>2.12967</v>
      </c>
      <c r="F1679" s="1">
        <v>2.0748799999999998</v>
      </c>
      <c r="G1679" s="1">
        <v>13.044700000000001</v>
      </c>
      <c r="H1679" s="1">
        <v>3.3646600000000002</v>
      </c>
    </row>
    <row r="1680" spans="1:8" x14ac:dyDescent="0.3">
      <c r="A1680">
        <f t="shared" si="67"/>
        <v>8</v>
      </c>
      <c r="B1680">
        <v>1023</v>
      </c>
      <c r="C1680" s="1">
        <v>20.561302067621199</v>
      </c>
      <c r="D1680" s="9">
        <v>17.166166666668452</v>
      </c>
      <c r="E1680" s="1">
        <v>2.32376</v>
      </c>
      <c r="F1680" s="1">
        <v>2.6742699999999999</v>
      </c>
      <c r="G1680" s="1">
        <v>12.7525</v>
      </c>
      <c r="H1680" s="1">
        <v>2.93072</v>
      </c>
    </row>
    <row r="1681" spans="1:8" x14ac:dyDescent="0.3">
      <c r="A1681" t="e">
        <f t="shared" si="67"/>
        <v>#REF!</v>
      </c>
      <c r="B1681">
        <v>1073</v>
      </c>
      <c r="C1681" s="1">
        <v>21.007265758210082</v>
      </c>
      <c r="D1681" s="9">
        <v>17.213388888890762</v>
      </c>
      <c r="E1681" s="1">
        <v>2.3196599999999998</v>
      </c>
      <c r="F1681" s="1">
        <v>3.2374399999999999</v>
      </c>
      <c r="G1681" s="1">
        <v>12.6463</v>
      </c>
      <c r="H1681" s="1">
        <v>2.57348</v>
      </c>
    </row>
    <row r="1682" spans="1:8" x14ac:dyDescent="0.3">
      <c r="A1682" t="e">
        <f t="shared" si="67"/>
        <v>#REF!</v>
      </c>
      <c r="B1682">
        <v>1123</v>
      </c>
      <c r="C1682" s="1">
        <v>21.402936289080699</v>
      </c>
      <c r="D1682" s="9">
        <v>17.260611111113072</v>
      </c>
      <c r="E1682" s="1">
        <v>2.3134800000000002</v>
      </c>
      <c r="F1682" s="1">
        <v>3.43574</v>
      </c>
      <c r="G1682" s="1">
        <v>12.7767</v>
      </c>
      <c r="H1682" s="1">
        <v>2.6942400000000002</v>
      </c>
    </row>
    <row r="1683" spans="1:8" x14ac:dyDescent="0.3">
      <c r="A1683" t="e">
        <f t="shared" si="67"/>
        <v>#REF!</v>
      </c>
      <c r="B1683">
        <v>1173</v>
      </c>
      <c r="C1683" s="1">
        <v>21.69073668313635</v>
      </c>
      <c r="D1683" s="9">
        <v>17.307833333335381</v>
      </c>
      <c r="E1683" s="1">
        <v>2.3146800000000001</v>
      </c>
      <c r="F1683" s="1">
        <v>3.2774299999999998</v>
      </c>
      <c r="G1683" s="1">
        <v>13.029</v>
      </c>
      <c r="H1683" s="1">
        <v>3.3465199999999999</v>
      </c>
    </row>
    <row r="1684" spans="1:8" x14ac:dyDescent="0.3">
      <c r="A1684">
        <f t="shared" si="67"/>
        <v>15</v>
      </c>
      <c r="B1684">
        <v>1223</v>
      </c>
      <c r="C1684" s="1">
        <v>22.13083145338982</v>
      </c>
      <c r="D1684" s="9">
        <v>17.355055555557691</v>
      </c>
      <c r="E1684" s="1">
        <v>2.13287</v>
      </c>
      <c r="F1684" s="1">
        <v>3.12615</v>
      </c>
      <c r="G1684" s="1">
        <v>13.13</v>
      </c>
      <c r="H1684" s="1">
        <v>4.2148199999999996</v>
      </c>
    </row>
    <row r="1685" spans="1:8" x14ac:dyDescent="0.3">
      <c r="A1685" t="e">
        <f t="shared" si="67"/>
        <v>#REF!</v>
      </c>
      <c r="B1685">
        <v>1273</v>
      </c>
      <c r="C1685" s="1">
        <v>22.553658212162709</v>
      </c>
      <c r="D1685" s="9">
        <v>17.40227777778</v>
      </c>
      <c r="E1685" s="1">
        <v>1.8202</v>
      </c>
      <c r="F1685" s="1">
        <v>3.1803300000000001</v>
      </c>
      <c r="G1685" s="1">
        <v>13.0573</v>
      </c>
      <c r="H1685" s="1">
        <v>5.0197200000000004</v>
      </c>
    </row>
    <row r="1686" spans="1:8" x14ac:dyDescent="0.3">
      <c r="A1686">
        <f t="shared" si="67"/>
        <v>6</v>
      </c>
      <c r="B1686">
        <v>1323</v>
      </c>
      <c r="C1686" s="1">
        <v>22.936388064801079</v>
      </c>
      <c r="D1686" s="9">
        <v>17.44950000000231</v>
      </c>
      <c r="E1686" s="1">
        <v>1.68943</v>
      </c>
      <c r="F1686" s="1">
        <v>3.44217</v>
      </c>
      <c r="G1686" s="1">
        <v>13.054500000000001</v>
      </c>
      <c r="H1686" s="1">
        <v>5.5471300000000001</v>
      </c>
    </row>
    <row r="1687" spans="1:8" x14ac:dyDescent="0.3">
      <c r="A1687" t="e">
        <f t="shared" si="67"/>
        <v>#REF!</v>
      </c>
      <c r="B1687">
        <v>1373</v>
      </c>
      <c r="C1687" s="1">
        <v>23.165120165124581</v>
      </c>
      <c r="D1687" s="9">
        <v>17.496722222224619</v>
      </c>
      <c r="E1687" s="1">
        <v>1.8769400000000001</v>
      </c>
      <c r="F1687" s="1">
        <v>3.83073</v>
      </c>
      <c r="G1687" s="1">
        <v>13.153700000000001</v>
      </c>
      <c r="H1687" s="1">
        <v>5.79725</v>
      </c>
    </row>
    <row r="1688" spans="1:8" x14ac:dyDescent="0.3">
      <c r="A1688">
        <f t="shared" si="67"/>
        <v>22</v>
      </c>
      <c r="B1688">
        <v>1423</v>
      </c>
      <c r="C1688" s="1">
        <v>23.24252282360613</v>
      </c>
      <c r="D1688" s="9">
        <v>17.543944444446929</v>
      </c>
      <c r="E1688" s="1">
        <v>2.3146100000000001</v>
      </c>
      <c r="F1688" s="1">
        <v>4.1908300000000001</v>
      </c>
      <c r="G1688" s="1">
        <v>13.1578</v>
      </c>
      <c r="H1688" s="1">
        <v>5.98468</v>
      </c>
    </row>
    <row r="1689" spans="1:8" x14ac:dyDescent="0.3">
      <c r="A1689" t="e">
        <f t="shared" si="67"/>
        <v>#REF!</v>
      </c>
      <c r="B1689">
        <v>1473</v>
      </c>
      <c r="C1689" s="1">
        <v>23.216926795993341</v>
      </c>
      <c r="D1689" s="9">
        <v>17.591166666669238</v>
      </c>
      <c r="E1689" s="1">
        <v>2.81955</v>
      </c>
      <c r="F1689" s="1">
        <v>4.4554499999999999</v>
      </c>
      <c r="G1689" s="1">
        <v>13.0672</v>
      </c>
      <c r="H1689" s="1">
        <v>6.1346699999999998</v>
      </c>
    </row>
    <row r="1690" spans="1:8" x14ac:dyDescent="0.3">
      <c r="A1690">
        <f t="shared" si="67"/>
        <v>13</v>
      </c>
      <c r="B1690">
        <v>1523</v>
      </c>
      <c r="C1690" s="1">
        <v>22.995511855621789</v>
      </c>
      <c r="D1690" s="9">
        <v>17.638388888891548</v>
      </c>
      <c r="E1690" s="1">
        <v>3.1114799999999998</v>
      </c>
      <c r="F1690" s="1">
        <v>4.6588599999999998</v>
      </c>
      <c r="G1690" s="1">
        <v>13.0947</v>
      </c>
      <c r="H1690" s="1">
        <v>6.0671200000000001</v>
      </c>
    </row>
    <row r="1691" spans="1:8" x14ac:dyDescent="0.3">
      <c r="A1691" t="e">
        <f t="shared" si="67"/>
        <v>#REF!</v>
      </c>
      <c r="B1691">
        <v>1573</v>
      </c>
      <c r="C1691" s="1">
        <v>22.70127464117191</v>
      </c>
      <c r="D1691" s="9">
        <v>17.685611111113857</v>
      </c>
      <c r="E1691" s="1">
        <v>3.2462</v>
      </c>
      <c r="F1691" s="1">
        <v>4.9529500000000004</v>
      </c>
      <c r="G1691" s="1">
        <v>13.2536</v>
      </c>
      <c r="H1691" s="1">
        <v>5.6919300000000002</v>
      </c>
    </row>
    <row r="1692" spans="1:8" x14ac:dyDescent="0.3">
      <c r="A1692">
        <f t="shared" si="67"/>
        <v>4</v>
      </c>
      <c r="B1692">
        <v>1623</v>
      </c>
      <c r="C1692" s="1">
        <v>22.334828720820308</v>
      </c>
      <c r="D1692" s="9">
        <v>17.732833333336167</v>
      </c>
      <c r="E1692" s="1">
        <v>3.6259199999999998</v>
      </c>
      <c r="F1692" s="1">
        <v>5.5978399999999997</v>
      </c>
      <c r="G1692" s="1">
        <v>13.3451</v>
      </c>
      <c r="H1692" s="1">
        <v>5.0249800000000002</v>
      </c>
    </row>
    <row r="1693" spans="1:8" x14ac:dyDescent="0.3">
      <c r="A1693" t="e">
        <f t="shared" ref="A1693:A1724" si="68">A1643</f>
        <v>#REF!</v>
      </c>
      <c r="B1693">
        <v>1673</v>
      </c>
      <c r="C1693" s="1">
        <v>21.879208009182499</v>
      </c>
      <c r="D1693" s="9">
        <v>17.780055555558476</v>
      </c>
      <c r="E1693" s="1">
        <v>4.3533900000000001</v>
      </c>
      <c r="F1693" s="1">
        <v>6.5933299999999999</v>
      </c>
      <c r="G1693" s="1">
        <v>13.348699999999999</v>
      </c>
      <c r="H1693" s="1">
        <v>4.1241000000000003</v>
      </c>
    </row>
    <row r="1694" spans="1:8" x14ac:dyDescent="0.3">
      <c r="A1694">
        <f t="shared" si="68"/>
        <v>20</v>
      </c>
      <c r="B1694">
        <v>1723</v>
      </c>
      <c r="C1694" s="1">
        <v>21.401350042073311</v>
      </c>
      <c r="D1694" s="9">
        <v>17.827277777780786</v>
      </c>
      <c r="E1694" s="1">
        <v>5.1962900000000003</v>
      </c>
      <c r="F1694" s="1">
        <v>7.6615799999999998</v>
      </c>
      <c r="G1694" s="1">
        <v>13.433199999999999</v>
      </c>
      <c r="H1694" s="1">
        <v>3.08467</v>
      </c>
    </row>
    <row r="1695" spans="1:8" x14ac:dyDescent="0.3">
      <c r="A1695" t="e">
        <f t="shared" si="68"/>
        <v>#REF!</v>
      </c>
      <c r="B1695">
        <v>1773</v>
      </c>
      <c r="C1695" s="1">
        <v>21.10869785542636</v>
      </c>
      <c r="D1695" s="9">
        <v>17.874500000003096</v>
      </c>
      <c r="E1695" s="1">
        <v>5.8200900000000004</v>
      </c>
      <c r="F1695" s="1">
        <v>8.5303699999999996</v>
      </c>
      <c r="G1695" s="1">
        <v>13.584300000000001</v>
      </c>
      <c r="H1695" s="1">
        <v>1.9771399999999999</v>
      </c>
    </row>
    <row r="1696" spans="1:8" x14ac:dyDescent="0.3">
      <c r="A1696">
        <f t="shared" si="68"/>
        <v>11</v>
      </c>
      <c r="B1696">
        <v>1823</v>
      </c>
      <c r="C1696" s="1">
        <v>20.729914221507279</v>
      </c>
      <c r="D1696" s="9">
        <v>17.921722222225405</v>
      </c>
      <c r="E1696" s="1">
        <v>5.8156999999999996</v>
      </c>
      <c r="F1696" s="1">
        <v>8.9590599999999991</v>
      </c>
      <c r="G1696" s="1">
        <v>13.595800000000001</v>
      </c>
      <c r="H1696" s="1">
        <v>0.84218000000000004</v>
      </c>
    </row>
    <row r="1697" spans="1:8" x14ac:dyDescent="0.3">
      <c r="A1697" t="e">
        <f t="shared" si="68"/>
        <v>#REF!</v>
      </c>
      <c r="B1697">
        <v>1873</v>
      </c>
      <c r="C1697" s="1">
        <v>20.37825381257877</v>
      </c>
      <c r="D1697" s="9">
        <v>17.968944444447715</v>
      </c>
      <c r="E1697" s="1">
        <v>5.1588200000000004</v>
      </c>
      <c r="F1697" s="1">
        <v>9.0046300000000006</v>
      </c>
      <c r="G1697" s="1">
        <v>13.4741</v>
      </c>
      <c r="H1697" s="1">
        <v>-0.32872699999999999</v>
      </c>
    </row>
    <row r="1698" spans="1:8" x14ac:dyDescent="0.3">
      <c r="A1698">
        <f t="shared" si="68"/>
        <v>2</v>
      </c>
      <c r="B1698">
        <v>1923</v>
      </c>
      <c r="C1698" s="1">
        <v>19.959969372379451</v>
      </c>
      <c r="D1698" s="9">
        <v>18.016166666670024</v>
      </c>
      <c r="E1698" s="1">
        <v>4.2280899999999999</v>
      </c>
      <c r="F1698" s="1">
        <v>9.0207499999999996</v>
      </c>
      <c r="G1698" s="1">
        <v>13.4482</v>
      </c>
      <c r="H1698" s="1">
        <v>-1.5898300000000001</v>
      </c>
    </row>
    <row r="1699" spans="1:8" x14ac:dyDescent="0.3">
      <c r="A1699" t="e">
        <f t="shared" si="68"/>
        <v>#REF!</v>
      </c>
      <c r="B1699">
        <v>1973</v>
      </c>
      <c r="C1699" s="1">
        <v>19.67389939590981</v>
      </c>
      <c r="D1699" s="9">
        <v>18.063388888892334</v>
      </c>
      <c r="E1699" s="1">
        <v>3.38104</v>
      </c>
      <c r="F1699" s="1">
        <v>9.0962200000000006</v>
      </c>
      <c r="G1699" s="1">
        <v>13.558999999999999</v>
      </c>
      <c r="H1699" s="1">
        <v>-2.9040300000000001</v>
      </c>
    </row>
    <row r="1700" spans="1:8" x14ac:dyDescent="0.3">
      <c r="A1700">
        <f t="shared" si="68"/>
        <v>18</v>
      </c>
      <c r="B1700">
        <v>2023</v>
      </c>
      <c r="C1700" s="1">
        <v>19.420000000000002</v>
      </c>
      <c r="D1700" s="9">
        <v>18.110611111114643</v>
      </c>
      <c r="E1700" s="1">
        <v>2.9206799999999999</v>
      </c>
      <c r="F1700" s="1">
        <v>9.0382999999999996</v>
      </c>
      <c r="G1700" s="1">
        <v>13.6479</v>
      </c>
      <c r="H1700" s="1">
        <v>-4.1389199999999997</v>
      </c>
    </row>
    <row r="1701" spans="1:8" x14ac:dyDescent="0.3">
      <c r="A1701" t="e">
        <f t="shared" si="68"/>
        <v>#REF!</v>
      </c>
      <c r="B1701">
        <v>2073</v>
      </c>
      <c r="C1701" s="1">
        <v>19.27</v>
      </c>
      <c r="D1701" s="9">
        <v>18.157833333336953</v>
      </c>
      <c r="E1701" s="1">
        <v>2.8295699999999999</v>
      </c>
      <c r="F1701" s="1">
        <v>8.8171499999999998</v>
      </c>
      <c r="G1701" s="1">
        <v>13.698</v>
      </c>
      <c r="H1701" s="1">
        <v>-5.1880600000000001</v>
      </c>
    </row>
    <row r="1702" spans="1:8" x14ac:dyDescent="0.3">
      <c r="A1702">
        <f t="shared" si="68"/>
        <v>9</v>
      </c>
      <c r="B1702">
        <v>2123</v>
      </c>
      <c r="C1702" s="1">
        <v>19.190000000000001</v>
      </c>
      <c r="D1702" s="9">
        <v>18.205055555559262</v>
      </c>
      <c r="E1702" s="1">
        <v>2.7727200000000001</v>
      </c>
      <c r="F1702" s="1">
        <v>8.5833600000000008</v>
      </c>
      <c r="G1702" s="1">
        <v>13.8414</v>
      </c>
      <c r="H1702" s="1">
        <v>-5.9740099999999998</v>
      </c>
    </row>
    <row r="1703" spans="1:8" x14ac:dyDescent="0.3">
      <c r="A1703">
        <f t="shared" si="68"/>
        <v>0</v>
      </c>
      <c r="B1703">
        <v>2173</v>
      </c>
      <c r="C1703" s="1">
        <v>19.17551578383306</v>
      </c>
      <c r="D1703" s="9">
        <v>18.252277777781572</v>
      </c>
      <c r="E1703" s="1">
        <v>2.6661800000000002</v>
      </c>
      <c r="F1703" s="1">
        <v>8.4602299999999993</v>
      </c>
      <c r="G1703" s="1">
        <v>14.0372</v>
      </c>
      <c r="H1703" s="1">
        <v>-6.3698800000000002</v>
      </c>
    </row>
    <row r="1704" spans="1:8" x14ac:dyDescent="0.3">
      <c r="A1704" t="e">
        <f t="shared" si="68"/>
        <v>#REF!</v>
      </c>
      <c r="B1704">
        <v>2223</v>
      </c>
      <c r="C1704" s="1">
        <v>19.22</v>
      </c>
      <c r="D1704" s="9">
        <v>18.299500000003881</v>
      </c>
      <c r="E1704" s="1">
        <v>2.6910400000000001</v>
      </c>
      <c r="F1704" s="1">
        <v>8.5270299999999999</v>
      </c>
      <c r="G1704" s="1">
        <v>14.0693</v>
      </c>
      <c r="H1704" s="1">
        <v>-6.2057000000000002</v>
      </c>
    </row>
    <row r="1705" spans="1:8" x14ac:dyDescent="0.3">
      <c r="A1705" t="e">
        <f t="shared" si="68"/>
        <v>#REF!</v>
      </c>
      <c r="B1705">
        <v>2273</v>
      </c>
      <c r="C1705" s="1">
        <v>19.429572004897341</v>
      </c>
      <c r="D1705" s="9">
        <v>18.346722222226191</v>
      </c>
      <c r="E1705" s="1">
        <v>2.8387199999999999</v>
      </c>
      <c r="F1705" s="1">
        <v>8.6853700000000007</v>
      </c>
      <c r="G1705" s="1">
        <v>13.934900000000001</v>
      </c>
      <c r="H1705" s="1">
        <v>-5.5262099999999998</v>
      </c>
    </row>
    <row r="1706" spans="1:8" x14ac:dyDescent="0.3">
      <c r="A1706">
        <f t="shared" si="68"/>
        <v>16</v>
      </c>
      <c r="B1706">
        <v>2323</v>
      </c>
      <c r="C1706" s="1">
        <v>19.746834442972261</v>
      </c>
      <c r="D1706" s="9">
        <v>18.393944444448501</v>
      </c>
      <c r="E1706" s="1">
        <v>2.9013900000000001</v>
      </c>
      <c r="F1706" s="1">
        <v>8.6652000000000005</v>
      </c>
      <c r="G1706" s="1">
        <v>13.849399999999999</v>
      </c>
      <c r="H1706" s="1">
        <v>-4.5924300000000002</v>
      </c>
    </row>
    <row r="1707" spans="1:8" x14ac:dyDescent="0.3">
      <c r="A1707" t="e">
        <f t="shared" si="68"/>
        <v>#REF!</v>
      </c>
      <c r="B1707">
        <v>2373</v>
      </c>
      <c r="C1707" s="1">
        <v>20.182489423679861</v>
      </c>
      <c r="D1707" s="9">
        <v>18.44116666667081</v>
      </c>
      <c r="E1707" s="1">
        <v>2.8489900000000001</v>
      </c>
      <c r="F1707" s="1">
        <v>8.4056099999999994</v>
      </c>
      <c r="G1707" s="1">
        <v>13.8424</v>
      </c>
      <c r="H1707" s="1">
        <v>-3.5598800000000002</v>
      </c>
    </row>
    <row r="1708" spans="1:8" x14ac:dyDescent="0.3">
      <c r="A1708">
        <f t="shared" si="68"/>
        <v>7</v>
      </c>
      <c r="B1708">
        <v>2423</v>
      </c>
      <c r="C1708" s="1">
        <v>20.73367195430745</v>
      </c>
      <c r="D1708" s="9">
        <v>18.48838888889312</v>
      </c>
      <c r="E1708" s="1">
        <v>2.8335400000000002</v>
      </c>
      <c r="F1708" s="1">
        <v>8.0689299999999999</v>
      </c>
      <c r="G1708" s="1">
        <v>13.7522</v>
      </c>
      <c r="H1708" s="1">
        <v>-2.46583</v>
      </c>
    </row>
    <row r="1709" spans="1:8" x14ac:dyDescent="0.3">
      <c r="A1709" t="e">
        <f t="shared" si="68"/>
        <v>#REF!</v>
      </c>
      <c r="B1709">
        <v>2473</v>
      </c>
      <c r="C1709" s="1">
        <v>21.295504105265579</v>
      </c>
      <c r="D1709" s="9">
        <v>18.535611111115429</v>
      </c>
      <c r="E1709" s="1">
        <v>2.7967399999999998</v>
      </c>
      <c r="F1709" s="1">
        <v>7.8435800000000002</v>
      </c>
      <c r="G1709" s="1">
        <v>13.6252</v>
      </c>
      <c r="H1709" s="1">
        <v>-1.31785</v>
      </c>
    </row>
    <row r="1710" spans="1:8" x14ac:dyDescent="0.3">
      <c r="A1710">
        <f t="shared" si="68"/>
        <v>23</v>
      </c>
      <c r="B1710">
        <v>2523</v>
      </c>
      <c r="C1710" s="1">
        <v>21.814589995715039</v>
      </c>
      <c r="D1710" s="9">
        <v>18.582833333337739</v>
      </c>
      <c r="E1710" s="1">
        <v>2.4683299999999999</v>
      </c>
      <c r="F1710" s="1">
        <v>7.9224899999999998</v>
      </c>
      <c r="G1710" s="1">
        <v>13.717499999999999</v>
      </c>
      <c r="H1710" s="1">
        <v>-0.10045</v>
      </c>
    </row>
    <row r="1711" spans="1:8" x14ac:dyDescent="0.3">
      <c r="A1711" t="e">
        <f t="shared" si="68"/>
        <v>#REF!</v>
      </c>
      <c r="B1711">
        <v>2573</v>
      </c>
      <c r="C1711" s="1">
        <v>22.23028094925883</v>
      </c>
      <c r="D1711" s="9">
        <v>18.630055555560048</v>
      </c>
      <c r="E1711" s="1">
        <v>1.82948</v>
      </c>
      <c r="F1711" s="1">
        <v>8.2183200000000003</v>
      </c>
      <c r="G1711" s="1">
        <v>14.0303</v>
      </c>
      <c r="H1711" s="1">
        <v>1.16269</v>
      </c>
    </row>
    <row r="1712" spans="1:8" x14ac:dyDescent="0.3">
      <c r="A1712">
        <f t="shared" si="68"/>
        <v>14</v>
      </c>
      <c r="B1712">
        <v>2623</v>
      </c>
      <c r="C1712" s="1">
        <v>22.55821811059716</v>
      </c>
      <c r="D1712" s="9">
        <v>18.677277777782358</v>
      </c>
      <c r="E1712" s="1">
        <v>1.12812</v>
      </c>
      <c r="F1712" s="1">
        <v>8.3680699999999995</v>
      </c>
      <c r="G1712" s="1">
        <v>14.3005</v>
      </c>
      <c r="H1712" s="1">
        <v>2.4067500000000002</v>
      </c>
    </row>
    <row r="1713" spans="1:8" x14ac:dyDescent="0.3">
      <c r="A1713" t="e">
        <f t="shared" si="68"/>
        <v>#REF!</v>
      </c>
      <c r="B1713">
        <v>2673</v>
      </c>
      <c r="C1713" s="1">
        <v>22.945995997554071</v>
      </c>
      <c r="D1713" s="9">
        <v>18.724500000004667</v>
      </c>
      <c r="E1713" s="1">
        <v>0.65388999999999997</v>
      </c>
      <c r="F1713" s="1">
        <v>8.2399199999999997</v>
      </c>
      <c r="G1713" s="1">
        <v>14.3378</v>
      </c>
      <c r="H1713" s="1">
        <v>3.5523799999999999</v>
      </c>
    </row>
    <row r="1714" spans="1:8" x14ac:dyDescent="0.3">
      <c r="A1714">
        <f t="shared" si="68"/>
        <v>5</v>
      </c>
      <c r="B1714">
        <v>2723</v>
      </c>
      <c r="C1714" s="1">
        <v>23.421254800509029</v>
      </c>
      <c r="D1714" s="9">
        <v>18.771722222226977</v>
      </c>
      <c r="E1714" s="1">
        <v>0.71355100000000005</v>
      </c>
      <c r="F1714" s="1">
        <v>7.9556100000000001</v>
      </c>
      <c r="G1714" s="1">
        <v>14.0464</v>
      </c>
      <c r="H1714" s="1">
        <v>4.5084900000000001</v>
      </c>
    </row>
    <row r="1715" spans="1:8" x14ac:dyDescent="0.3">
      <c r="A1715" t="e">
        <f t="shared" si="68"/>
        <v>#REF!</v>
      </c>
      <c r="B1715">
        <v>2773</v>
      </c>
      <c r="C1715" s="1">
        <v>23.837843166778949</v>
      </c>
      <c r="D1715" s="9">
        <v>18.818944444449286</v>
      </c>
      <c r="E1715" s="1">
        <v>1.30887</v>
      </c>
      <c r="F1715" s="1">
        <v>7.7831799999999998</v>
      </c>
      <c r="G1715" s="1">
        <v>13.5481</v>
      </c>
      <c r="H1715" s="1">
        <v>5.2080200000000003</v>
      </c>
    </row>
    <row r="1716" spans="1:8" x14ac:dyDescent="0.3">
      <c r="A1716">
        <f t="shared" si="68"/>
        <v>21</v>
      </c>
      <c r="B1716">
        <v>2823</v>
      </c>
      <c r="C1716" s="1">
        <v>24.108327625616571</v>
      </c>
      <c r="D1716" s="9">
        <v>18.866166666671596</v>
      </c>
      <c r="E1716" s="1">
        <v>2.1329099999999999</v>
      </c>
      <c r="F1716" s="1">
        <v>8.1145099999999992</v>
      </c>
      <c r="G1716" s="1">
        <v>13.1754</v>
      </c>
      <c r="H1716" s="1">
        <v>5.6145199999999997</v>
      </c>
    </row>
    <row r="1717" spans="1:8" x14ac:dyDescent="0.3">
      <c r="A1717" t="e">
        <f t="shared" si="68"/>
        <v>#REF!</v>
      </c>
      <c r="B1717">
        <v>2873</v>
      </c>
      <c r="C1717" s="1">
        <v>24.29870373270688</v>
      </c>
      <c r="D1717" s="9">
        <v>18.913388888893905</v>
      </c>
      <c r="E1717" s="1">
        <v>2.8731399999999998</v>
      </c>
      <c r="F1717" s="1">
        <v>9.0406200000000005</v>
      </c>
      <c r="G1717" s="1">
        <v>13.190899999999999</v>
      </c>
      <c r="H1717" s="1">
        <v>5.8308600000000004</v>
      </c>
    </row>
    <row r="1718" spans="1:8" x14ac:dyDescent="0.3">
      <c r="A1718">
        <f t="shared" si="68"/>
        <v>12</v>
      </c>
      <c r="B1718">
        <v>2923</v>
      </c>
      <c r="C1718" s="1">
        <v>24.209648476195429</v>
      </c>
      <c r="D1718" s="9">
        <v>18.960611111116215</v>
      </c>
      <c r="E1718" s="1">
        <v>3.2411400000000001</v>
      </c>
      <c r="F1718" s="1">
        <v>10.3399</v>
      </c>
      <c r="G1718" s="1">
        <v>13.766999999999999</v>
      </c>
      <c r="H1718" s="1">
        <v>6.0896400000000002</v>
      </c>
    </row>
    <row r="1719" spans="1:8" x14ac:dyDescent="0.3">
      <c r="A1719" t="e">
        <f t="shared" si="68"/>
        <v>#REF!</v>
      </c>
      <c r="B1719">
        <v>2973</v>
      </c>
      <c r="C1719" s="1">
        <v>24.07</v>
      </c>
      <c r="D1719" s="9">
        <v>19.007833333338525</v>
      </c>
      <c r="E1719" s="1">
        <v>3.3232300000000001</v>
      </c>
      <c r="F1719" s="1">
        <v>11.7088</v>
      </c>
      <c r="G1719" s="1">
        <v>14.833600000000001</v>
      </c>
      <c r="H1719" s="1">
        <v>6.4407100000000002</v>
      </c>
    </row>
    <row r="1720" spans="1:8" x14ac:dyDescent="0.3">
      <c r="A1720">
        <f t="shared" si="68"/>
        <v>3</v>
      </c>
      <c r="B1720">
        <v>3023</v>
      </c>
      <c r="C1720" s="1">
        <v>23.97</v>
      </c>
      <c r="D1720" s="9">
        <v>19.055055555560834</v>
      </c>
      <c r="E1720" s="1">
        <v>3.5704500000000001</v>
      </c>
      <c r="F1720" s="1">
        <v>12.7788</v>
      </c>
      <c r="G1720" s="1">
        <v>16.081099999999999</v>
      </c>
      <c r="H1720" s="1">
        <v>6.7534900000000002</v>
      </c>
    </row>
    <row r="1721" spans="1:8" x14ac:dyDescent="0.3">
      <c r="A1721" t="e">
        <f t="shared" si="68"/>
        <v>#REF!</v>
      </c>
      <c r="B1721">
        <v>3073</v>
      </c>
      <c r="C1721" s="1">
        <v>23.759682965360781</v>
      </c>
      <c r="D1721" s="9">
        <v>19.102277777783144</v>
      </c>
      <c r="E1721" s="1">
        <v>4.1904199999999996</v>
      </c>
      <c r="F1721" s="1">
        <v>13.2706</v>
      </c>
      <c r="G1721" s="1">
        <v>17.1831</v>
      </c>
      <c r="H1721" s="1">
        <v>7.0578500000000002</v>
      </c>
    </row>
    <row r="1722" spans="1:8" x14ac:dyDescent="0.3">
      <c r="A1722">
        <f t="shared" si="68"/>
        <v>19</v>
      </c>
      <c r="B1722">
        <v>3123</v>
      </c>
      <c r="C1722" s="1">
        <v>23.386090430924931</v>
      </c>
      <c r="D1722" s="9">
        <v>19.149500000005453</v>
      </c>
      <c r="E1722" s="1">
        <v>5.12202</v>
      </c>
      <c r="F1722" s="1">
        <v>13.0251</v>
      </c>
      <c r="G1722" s="1">
        <v>17.8276</v>
      </c>
      <c r="H1722" s="1">
        <v>7.5415099999999997</v>
      </c>
    </row>
    <row r="1723" spans="1:8" x14ac:dyDescent="0.3">
      <c r="A1723" t="e">
        <f t="shared" si="68"/>
        <v>#REF!</v>
      </c>
      <c r="B1723">
        <v>3173</v>
      </c>
      <c r="C1723" s="1">
        <v>22.984543665871129</v>
      </c>
      <c r="D1723" s="9">
        <v>19.196722222227763</v>
      </c>
      <c r="E1723" s="1">
        <v>6.2039400000000002</v>
      </c>
      <c r="F1723" s="1">
        <v>12.164099999999999</v>
      </c>
      <c r="G1723" s="1">
        <v>17.944199999999999</v>
      </c>
      <c r="H1723" s="1">
        <v>8.2937600000000007</v>
      </c>
    </row>
    <row r="1724" spans="1:8" x14ac:dyDescent="0.3">
      <c r="A1724">
        <f t="shared" si="68"/>
        <v>10</v>
      </c>
      <c r="B1724">
        <v>3223</v>
      </c>
      <c r="C1724" s="1">
        <v>22.616599842552159</v>
      </c>
      <c r="D1724" s="9">
        <v>19.243944444450072</v>
      </c>
      <c r="E1724" s="1">
        <v>7.2081</v>
      </c>
      <c r="F1724" s="1">
        <v>11.0528</v>
      </c>
      <c r="G1724" s="1">
        <v>17.684999999999999</v>
      </c>
      <c r="H1724" s="1">
        <v>9.3032199999999996</v>
      </c>
    </row>
    <row r="1725" spans="1:8" x14ac:dyDescent="0.3">
      <c r="A1725" t="e">
        <f t="shared" ref="A1725:A1731" si="69">A1675</f>
        <v>#REF!</v>
      </c>
      <c r="B1725">
        <v>3273</v>
      </c>
      <c r="C1725" s="1">
        <v>22.225190551643411</v>
      </c>
      <c r="D1725" s="9">
        <v>19.291166666672382</v>
      </c>
      <c r="E1725" s="1">
        <v>8.10684</v>
      </c>
      <c r="F1725" s="1">
        <v>10.0509</v>
      </c>
      <c r="G1725" s="1">
        <v>17.255800000000001</v>
      </c>
      <c r="H1725" s="1">
        <v>10.5166</v>
      </c>
    </row>
    <row r="1726" spans="1:8" x14ac:dyDescent="0.3">
      <c r="A1726">
        <f t="shared" si="69"/>
        <v>1</v>
      </c>
      <c r="B1726">
        <v>3323</v>
      </c>
      <c r="C1726" s="1">
        <v>21.858187522976539</v>
      </c>
      <c r="D1726" s="9">
        <v>19.338388888894691</v>
      </c>
      <c r="E1726" s="1">
        <v>9.2359200000000001</v>
      </c>
      <c r="F1726" s="1">
        <v>9.9313800000000008</v>
      </c>
      <c r="G1726" s="1">
        <v>17.048300000000001</v>
      </c>
      <c r="H1726" s="1">
        <v>11.882199999999999</v>
      </c>
    </row>
    <row r="1727" spans="1:8" x14ac:dyDescent="0.3">
      <c r="A1727" t="e">
        <f t="shared" si="69"/>
        <v>#REF!</v>
      </c>
      <c r="B1727">
        <v>3373</v>
      </c>
      <c r="C1727" s="1">
        <v>21.556388321660599</v>
      </c>
      <c r="D1727" s="9">
        <v>19.385611111117001</v>
      </c>
      <c r="E1727" s="1">
        <v>10.873699999999999</v>
      </c>
      <c r="F1727" s="1">
        <v>11.198600000000001</v>
      </c>
      <c r="G1727" s="1">
        <v>17.241700000000002</v>
      </c>
      <c r="H1727" s="1">
        <v>13.319000000000001</v>
      </c>
    </row>
    <row r="1728" spans="1:8" x14ac:dyDescent="0.3">
      <c r="A1728">
        <f t="shared" si="69"/>
        <v>17</v>
      </c>
      <c r="B1728">
        <v>3423</v>
      </c>
      <c r="C1728" s="1">
        <v>21.2075363807567</v>
      </c>
      <c r="D1728" s="9">
        <v>19.43283333333931</v>
      </c>
      <c r="E1728" s="1">
        <v>12.697100000000001</v>
      </c>
      <c r="F1728" s="1">
        <v>12.8537</v>
      </c>
      <c r="G1728" s="1">
        <v>17.577200000000001</v>
      </c>
      <c r="H1728" s="1">
        <v>14.729100000000001</v>
      </c>
    </row>
    <row r="1729" spans="1:8" x14ac:dyDescent="0.3">
      <c r="A1729" t="e">
        <f t="shared" si="69"/>
        <v>#REF!</v>
      </c>
      <c r="B1729">
        <v>3473</v>
      </c>
      <c r="C1729" s="1">
        <v>20.69172766139198</v>
      </c>
      <c r="D1729" s="9">
        <v>19.48005555556162</v>
      </c>
      <c r="E1729" s="1">
        <v>14.603999999999999</v>
      </c>
      <c r="F1729" s="1">
        <v>14.676</v>
      </c>
      <c r="G1729" s="1">
        <v>18.040400000000002</v>
      </c>
      <c r="H1729" s="1">
        <v>16.119399999999999</v>
      </c>
    </row>
    <row r="1730" spans="1:8" x14ac:dyDescent="0.3">
      <c r="A1730">
        <f t="shared" si="69"/>
        <v>8</v>
      </c>
      <c r="B1730">
        <v>3523</v>
      </c>
      <c r="C1730" s="1">
        <v>20.263329032764059</v>
      </c>
      <c r="D1730" s="9">
        <v>19.527277777783929</v>
      </c>
      <c r="E1730" s="1">
        <v>16.553699999999999</v>
      </c>
      <c r="F1730" s="1">
        <v>16.581700000000001</v>
      </c>
      <c r="G1730" s="1">
        <v>18.600300000000001</v>
      </c>
      <c r="H1730" s="1">
        <v>17.496600000000001</v>
      </c>
    </row>
    <row r="1731" spans="1:8" x14ac:dyDescent="0.3">
      <c r="A1731" t="e">
        <f t="shared" si="69"/>
        <v>#REF!</v>
      </c>
      <c r="B1731">
        <v>3573</v>
      </c>
      <c r="C1731" s="1">
        <v>19.841835635201448</v>
      </c>
      <c r="D1731" s="9">
        <v>19.574500000006239</v>
      </c>
      <c r="E1731" s="1">
        <v>18.5275</v>
      </c>
      <c r="F1731" s="1">
        <v>18.5337</v>
      </c>
      <c r="G1731" s="1">
        <v>19.233499999999999</v>
      </c>
      <c r="H1731" s="1">
        <v>18.8644</v>
      </c>
    </row>
    <row r="1732" spans="1:8" x14ac:dyDescent="0.3">
      <c r="A1732">
        <v>24</v>
      </c>
      <c r="B1732">
        <v>24</v>
      </c>
      <c r="C1732" s="1">
        <v>16.170000000000002</v>
      </c>
      <c r="D1732" s="9">
        <v>16.222666666666708</v>
      </c>
      <c r="E1732" s="1">
        <v>15.3102</v>
      </c>
      <c r="F1732" s="1">
        <v>15.2508</v>
      </c>
      <c r="G1732" s="1">
        <v>15.907500000000001</v>
      </c>
      <c r="H1732" s="1">
        <v>15.305400000000001</v>
      </c>
    </row>
    <row r="1733" spans="1:8" x14ac:dyDescent="0.3">
      <c r="A1733" t="e">
        <f t="shared" ref="A1733:A1764" si="70">A1683</f>
        <v>#REF!</v>
      </c>
      <c r="B1733">
        <v>74</v>
      </c>
      <c r="C1733" s="1">
        <v>16.219188284611882</v>
      </c>
      <c r="D1733" s="9">
        <v>16.269888888889017</v>
      </c>
      <c r="E1733" s="1">
        <v>13.473000000000001</v>
      </c>
      <c r="F1733" s="1">
        <v>13.293900000000001</v>
      </c>
      <c r="G1733" s="1">
        <v>15.3383</v>
      </c>
      <c r="H1733" s="1">
        <v>13.434900000000001</v>
      </c>
    </row>
    <row r="1734" spans="1:8" x14ac:dyDescent="0.3">
      <c r="A1734">
        <f t="shared" si="70"/>
        <v>15</v>
      </c>
      <c r="B1734">
        <v>124</v>
      </c>
      <c r="C1734" s="1">
        <v>16.31582565919506</v>
      </c>
      <c r="D1734" s="9">
        <v>16.317111111111327</v>
      </c>
      <c r="E1734" s="1">
        <v>11.666</v>
      </c>
      <c r="F1734" s="1">
        <v>11.3796</v>
      </c>
      <c r="G1734" s="1">
        <v>14.834300000000001</v>
      </c>
      <c r="H1734" s="1">
        <v>11.554600000000001</v>
      </c>
    </row>
    <row r="1735" spans="1:8" x14ac:dyDescent="0.3">
      <c r="A1735" t="e">
        <f t="shared" si="70"/>
        <v>#REF!</v>
      </c>
      <c r="B1735">
        <v>174</v>
      </c>
      <c r="C1735" s="1">
        <v>16.51390091590341</v>
      </c>
      <c r="D1735" s="9">
        <v>16.364333333333636</v>
      </c>
      <c r="E1735" s="1">
        <v>9.9040900000000001</v>
      </c>
      <c r="F1735" s="1">
        <v>9.5410799999999991</v>
      </c>
      <c r="G1735" s="1">
        <v>14.412000000000001</v>
      </c>
      <c r="H1735" s="1">
        <v>9.66418</v>
      </c>
    </row>
    <row r="1736" spans="1:8" x14ac:dyDescent="0.3">
      <c r="A1736">
        <f t="shared" si="70"/>
        <v>6</v>
      </c>
      <c r="B1736">
        <v>224</v>
      </c>
      <c r="C1736" s="1">
        <v>16.858339144557078</v>
      </c>
      <c r="D1736" s="9">
        <v>16.411555555555946</v>
      </c>
      <c r="E1736" s="1">
        <v>8.2157199999999992</v>
      </c>
      <c r="F1736" s="1">
        <v>7.8517099999999997</v>
      </c>
      <c r="G1736" s="1">
        <v>14.0875</v>
      </c>
      <c r="H1736" s="1">
        <v>7.7673699999999997</v>
      </c>
    </row>
    <row r="1737" spans="1:8" x14ac:dyDescent="0.3">
      <c r="A1737" t="e">
        <f t="shared" si="70"/>
        <v>#REF!</v>
      </c>
      <c r="B1737">
        <v>274</v>
      </c>
      <c r="C1737" s="1">
        <v>16.990118783836259</v>
      </c>
      <c r="D1737" s="9">
        <v>16.458777777778256</v>
      </c>
      <c r="E1737" s="1">
        <v>6.65991</v>
      </c>
      <c r="F1737" s="1">
        <v>6.5005600000000001</v>
      </c>
      <c r="G1737" s="1">
        <v>13.8445</v>
      </c>
      <c r="H1737" s="1">
        <v>5.8930600000000002</v>
      </c>
    </row>
    <row r="1738" spans="1:8" x14ac:dyDescent="0.3">
      <c r="A1738">
        <f t="shared" si="70"/>
        <v>22</v>
      </c>
      <c r="B1738">
        <v>324</v>
      </c>
      <c r="C1738" s="1">
        <v>17.183190466754478</v>
      </c>
      <c r="D1738" s="9">
        <v>16.506000000000565</v>
      </c>
      <c r="E1738" s="1">
        <v>5.5450299999999997</v>
      </c>
      <c r="F1738" s="1">
        <v>6.2368499999999996</v>
      </c>
      <c r="G1738" s="1">
        <v>13.877800000000001</v>
      </c>
      <c r="H1738" s="1">
        <v>4.4158999999999997</v>
      </c>
    </row>
    <row r="1739" spans="1:8" x14ac:dyDescent="0.3">
      <c r="A1739" t="e">
        <f t="shared" si="70"/>
        <v>#REF!</v>
      </c>
      <c r="B1739">
        <v>374</v>
      </c>
      <c r="C1739" s="1">
        <v>17.41663896040788</v>
      </c>
      <c r="D1739" s="9">
        <v>16.553222222222875</v>
      </c>
      <c r="E1739" s="1">
        <v>4.8101399999999996</v>
      </c>
      <c r="F1739" s="1">
        <v>6.5604699999999996</v>
      </c>
      <c r="G1739" s="1">
        <v>14.0542</v>
      </c>
      <c r="H1739" s="1">
        <v>3.3848400000000001</v>
      </c>
    </row>
    <row r="1740" spans="1:8" x14ac:dyDescent="0.3">
      <c r="A1740">
        <f t="shared" si="70"/>
        <v>13</v>
      </c>
      <c r="B1740">
        <v>424</v>
      </c>
      <c r="C1740" s="1">
        <v>17.62949963712926</v>
      </c>
      <c r="D1740" s="9">
        <v>16.600444444445184</v>
      </c>
      <c r="E1740" s="1">
        <v>4.3306300000000002</v>
      </c>
      <c r="F1740" s="1">
        <v>6.7407000000000004</v>
      </c>
      <c r="G1740" s="1">
        <v>14.007899999999999</v>
      </c>
      <c r="H1740" s="1">
        <v>2.7160500000000001</v>
      </c>
    </row>
    <row r="1741" spans="1:8" x14ac:dyDescent="0.3">
      <c r="A1741" t="e">
        <f t="shared" si="70"/>
        <v>#REF!</v>
      </c>
      <c r="B1741">
        <v>474</v>
      </c>
      <c r="C1741" s="1">
        <v>17.834773829023341</v>
      </c>
      <c r="D1741" s="9">
        <v>16.647666666667494</v>
      </c>
      <c r="E1741" s="1">
        <v>3.9466000000000001</v>
      </c>
      <c r="F1741" s="1">
        <v>6.5521700000000003</v>
      </c>
      <c r="G1741" s="1">
        <v>13.716699999999999</v>
      </c>
      <c r="H1741" s="1">
        <v>2.2689300000000001</v>
      </c>
    </row>
    <row r="1742" spans="1:8" x14ac:dyDescent="0.3">
      <c r="A1742">
        <f t="shared" si="70"/>
        <v>4</v>
      </c>
      <c r="B1742">
        <v>524</v>
      </c>
      <c r="C1742" s="1">
        <v>18.05</v>
      </c>
      <c r="D1742" s="9">
        <v>16.694888888889803</v>
      </c>
      <c r="E1742" s="1">
        <v>3.3414799999999998</v>
      </c>
      <c r="F1742" s="1">
        <v>5.9442000000000004</v>
      </c>
      <c r="G1742" s="1">
        <v>13.373100000000001</v>
      </c>
      <c r="H1742" s="1">
        <v>1.7150000000000001</v>
      </c>
    </row>
    <row r="1743" spans="1:8" x14ac:dyDescent="0.3">
      <c r="A1743" t="e">
        <f t="shared" si="70"/>
        <v>#REF!</v>
      </c>
      <c r="B1743">
        <v>574</v>
      </c>
      <c r="C1743" s="1">
        <v>18.251367820039501</v>
      </c>
      <c r="D1743" s="9">
        <v>16.742111111112113</v>
      </c>
      <c r="E1743" s="1">
        <v>2.4637500000000001</v>
      </c>
      <c r="F1743" s="1">
        <v>5.0054299999999996</v>
      </c>
      <c r="G1743" s="1">
        <v>13.0395</v>
      </c>
      <c r="H1743" s="1">
        <v>0.98633800000000005</v>
      </c>
    </row>
    <row r="1744" spans="1:8" x14ac:dyDescent="0.3">
      <c r="A1744">
        <f t="shared" si="70"/>
        <v>20</v>
      </c>
      <c r="B1744">
        <v>624</v>
      </c>
      <c r="C1744" s="1">
        <v>18.461496438426231</v>
      </c>
      <c r="D1744" s="9">
        <v>16.789333333334422</v>
      </c>
      <c r="E1744" s="1">
        <v>1.56457</v>
      </c>
      <c r="F1744" s="1">
        <v>3.9721899999999999</v>
      </c>
      <c r="G1744" s="1">
        <v>12.632</v>
      </c>
      <c r="H1744" s="1">
        <v>0.314668</v>
      </c>
    </row>
    <row r="1745" spans="1:8" x14ac:dyDescent="0.3">
      <c r="A1745" t="e">
        <f t="shared" si="70"/>
        <v>#REF!</v>
      </c>
      <c r="B1745">
        <v>674</v>
      </c>
      <c r="C1745" s="1">
        <v>18.56361343543719</v>
      </c>
      <c r="D1745" s="9">
        <v>16.836555555556732</v>
      </c>
      <c r="E1745" s="1">
        <v>0.88934199999999997</v>
      </c>
      <c r="F1745" s="1">
        <v>3.073</v>
      </c>
      <c r="G1745" s="1">
        <v>12.239699999999999</v>
      </c>
      <c r="H1745" s="1">
        <v>-2.6552300000000001E-2</v>
      </c>
    </row>
    <row r="1746" spans="1:8" x14ac:dyDescent="0.3">
      <c r="A1746">
        <f t="shared" si="70"/>
        <v>11</v>
      </c>
      <c r="B1746">
        <v>724</v>
      </c>
      <c r="C1746" s="1">
        <v>18.738114925053122</v>
      </c>
      <c r="D1746" s="9">
        <v>16.883777777779041</v>
      </c>
      <c r="E1746" s="1">
        <v>0.64610999999999996</v>
      </c>
      <c r="F1746" s="1">
        <v>2.5034000000000001</v>
      </c>
      <c r="G1746" s="1">
        <v>12.129899999999999</v>
      </c>
      <c r="H1746" s="1">
        <v>0.24673900000000001</v>
      </c>
    </row>
    <row r="1747" spans="1:8" x14ac:dyDescent="0.3">
      <c r="A1747" t="e">
        <f t="shared" si="70"/>
        <v>#REF!</v>
      </c>
      <c r="B1747">
        <v>774</v>
      </c>
      <c r="C1747" s="1">
        <v>18.879331704203238</v>
      </c>
      <c r="D1747" s="9">
        <v>16.931000000001351</v>
      </c>
      <c r="E1747" s="1">
        <v>0.80105800000000005</v>
      </c>
      <c r="F1747" s="1">
        <v>2.2183600000000001</v>
      </c>
      <c r="G1747" s="1">
        <v>12.372999999999999</v>
      </c>
      <c r="H1747" s="1">
        <v>1.1020799999999999</v>
      </c>
    </row>
    <row r="1748" spans="1:8" x14ac:dyDescent="0.3">
      <c r="A1748">
        <f t="shared" si="70"/>
        <v>2</v>
      </c>
      <c r="B1748">
        <v>824</v>
      </c>
      <c r="C1748" s="1">
        <v>19.30074406576373</v>
      </c>
      <c r="D1748" s="9">
        <v>16.978222222223661</v>
      </c>
      <c r="E1748" s="1">
        <v>1.0822799999999999</v>
      </c>
      <c r="F1748" s="1">
        <v>1.94085</v>
      </c>
      <c r="G1748" s="1">
        <v>12.8249</v>
      </c>
      <c r="H1748" s="1">
        <v>2.1832500000000001</v>
      </c>
    </row>
    <row r="1749" spans="1:8" x14ac:dyDescent="0.3">
      <c r="A1749" t="e">
        <f t="shared" si="70"/>
        <v>#REF!</v>
      </c>
      <c r="B1749">
        <v>874</v>
      </c>
      <c r="C1749" s="1">
        <v>19.542977879268289</v>
      </c>
      <c r="D1749" s="9">
        <v>17.02544444444597</v>
      </c>
      <c r="E1749" s="1">
        <v>1.37988</v>
      </c>
      <c r="F1749" s="1">
        <v>1.67147</v>
      </c>
      <c r="G1749" s="1">
        <v>13.244199999999999</v>
      </c>
      <c r="H1749" s="1">
        <v>3.1124399999999999</v>
      </c>
    </row>
    <row r="1750" spans="1:8" x14ac:dyDescent="0.3">
      <c r="A1750">
        <f t="shared" si="70"/>
        <v>18</v>
      </c>
      <c r="B1750">
        <v>924</v>
      </c>
      <c r="C1750" s="1">
        <v>19.81256469419818</v>
      </c>
      <c r="D1750" s="9">
        <v>17.07266666666828</v>
      </c>
      <c r="E1750" s="1">
        <v>1.7542199999999999</v>
      </c>
      <c r="F1750" s="1">
        <v>1.6948300000000001</v>
      </c>
      <c r="G1750" s="1">
        <v>13.313599999999999</v>
      </c>
      <c r="H1750" s="1">
        <v>3.5183900000000001</v>
      </c>
    </row>
    <row r="1751" spans="1:8" x14ac:dyDescent="0.3">
      <c r="A1751" t="e">
        <f t="shared" si="70"/>
        <v>#REF!</v>
      </c>
      <c r="B1751">
        <v>974</v>
      </c>
      <c r="C1751" s="1">
        <v>20.163406028901768</v>
      </c>
      <c r="D1751" s="9">
        <v>17.119888888890589</v>
      </c>
      <c r="E1751" s="1">
        <v>2.1360399999999999</v>
      </c>
      <c r="F1751" s="1">
        <v>2.08534</v>
      </c>
      <c r="G1751" s="1">
        <v>13.038</v>
      </c>
      <c r="H1751" s="1">
        <v>3.35771</v>
      </c>
    </row>
    <row r="1752" spans="1:8" x14ac:dyDescent="0.3">
      <c r="A1752">
        <f t="shared" si="70"/>
        <v>9</v>
      </c>
      <c r="B1752">
        <v>1024</v>
      </c>
      <c r="C1752" s="1">
        <v>20.57087713186937</v>
      </c>
      <c r="D1752" s="9">
        <v>17.167111111112899</v>
      </c>
      <c r="E1752" s="1">
        <v>2.3250099999999998</v>
      </c>
      <c r="F1752" s="1">
        <v>2.6869999999999998</v>
      </c>
      <c r="G1752" s="1">
        <v>12.7483</v>
      </c>
      <c r="H1752" s="1">
        <v>2.9214600000000002</v>
      </c>
    </row>
    <row r="1753" spans="1:8" x14ac:dyDescent="0.3">
      <c r="A1753">
        <f t="shared" si="70"/>
        <v>0</v>
      </c>
      <c r="B1753">
        <v>1074</v>
      </c>
      <c r="C1753" s="1">
        <v>21.016492791575811</v>
      </c>
      <c r="D1753" s="9">
        <v>17.214333333335208</v>
      </c>
      <c r="E1753" s="1">
        <v>2.3189199999999999</v>
      </c>
      <c r="F1753" s="1">
        <v>3.2460100000000001</v>
      </c>
      <c r="G1753" s="1">
        <v>12.6465</v>
      </c>
      <c r="H1753" s="1">
        <v>2.56996</v>
      </c>
    </row>
    <row r="1754" spans="1:8" x14ac:dyDescent="0.3">
      <c r="A1754" t="e">
        <f t="shared" si="70"/>
        <v>#REF!</v>
      </c>
      <c r="B1754">
        <v>1124</v>
      </c>
      <c r="C1754" s="1">
        <v>21.411883949294779</v>
      </c>
      <c r="D1754" s="9">
        <v>17.261555555557518</v>
      </c>
      <c r="E1754" s="1">
        <v>2.3140299999999998</v>
      </c>
      <c r="F1754" s="1">
        <v>3.4349400000000001</v>
      </c>
      <c r="G1754" s="1">
        <v>12.781499999999999</v>
      </c>
      <c r="H1754" s="1">
        <v>2.70302</v>
      </c>
    </row>
    <row r="1755" spans="1:8" x14ac:dyDescent="0.3">
      <c r="A1755" t="e">
        <f t="shared" si="70"/>
        <v>#REF!</v>
      </c>
      <c r="B1755">
        <v>1174</v>
      </c>
      <c r="C1755" s="1">
        <v>21.699466190617539</v>
      </c>
      <c r="D1755" s="9">
        <v>17.308777777779827</v>
      </c>
      <c r="E1755" s="1">
        <v>2.3134399999999999</v>
      </c>
      <c r="F1755" s="1">
        <v>3.27311</v>
      </c>
      <c r="G1755" s="1">
        <v>13.033300000000001</v>
      </c>
      <c r="H1755" s="1">
        <v>3.36286</v>
      </c>
    </row>
    <row r="1756" spans="1:8" x14ac:dyDescent="0.3">
      <c r="A1756">
        <f t="shared" si="70"/>
        <v>16</v>
      </c>
      <c r="B1756">
        <v>1224</v>
      </c>
      <c r="C1756" s="1">
        <v>22.13959235523706</v>
      </c>
      <c r="D1756" s="9">
        <v>17.356000000002137</v>
      </c>
      <c r="E1756" s="1">
        <v>2.1269200000000001</v>
      </c>
      <c r="F1756" s="1">
        <v>3.12514</v>
      </c>
      <c r="G1756" s="1">
        <v>13.1295</v>
      </c>
      <c r="H1756" s="1">
        <v>4.2322899999999999</v>
      </c>
    </row>
    <row r="1757" spans="1:8" x14ac:dyDescent="0.3">
      <c r="A1757" t="e">
        <f t="shared" si="70"/>
        <v>#REF!</v>
      </c>
      <c r="B1757">
        <v>1274</v>
      </c>
      <c r="C1757" s="1">
        <v>22.566656253791098</v>
      </c>
      <c r="D1757" s="9">
        <v>17.403222222224446</v>
      </c>
      <c r="E1757" s="1">
        <v>1.81477</v>
      </c>
      <c r="F1757" s="1">
        <v>3.1835800000000001</v>
      </c>
      <c r="G1757" s="1">
        <v>13.0558</v>
      </c>
      <c r="H1757" s="1">
        <v>5.0336299999999996</v>
      </c>
    </row>
    <row r="1758" spans="1:8" x14ac:dyDescent="0.3">
      <c r="A1758">
        <f t="shared" si="70"/>
        <v>7</v>
      </c>
      <c r="B1758">
        <v>1324</v>
      </c>
      <c r="C1758" s="1">
        <v>22.94055422358749</v>
      </c>
      <c r="D1758" s="9">
        <v>17.450444444446756</v>
      </c>
      <c r="E1758" s="1">
        <v>1.69021</v>
      </c>
      <c r="F1758" s="1">
        <v>3.4491999999999998</v>
      </c>
      <c r="G1758" s="1">
        <v>13.056100000000001</v>
      </c>
      <c r="H1758" s="1">
        <v>5.5541799999999997</v>
      </c>
    </row>
    <row r="1759" spans="1:8" x14ac:dyDescent="0.3">
      <c r="A1759" t="e">
        <f t="shared" si="70"/>
        <v>#REF!</v>
      </c>
      <c r="B1759">
        <v>1374</v>
      </c>
      <c r="C1759" s="1">
        <v>23.169323947688131</v>
      </c>
      <c r="D1759" s="9">
        <v>17.497666666669065</v>
      </c>
      <c r="E1759" s="1">
        <v>1.8835299999999999</v>
      </c>
      <c r="F1759" s="1">
        <v>3.8387099999999998</v>
      </c>
      <c r="G1759" s="1">
        <v>13.1554</v>
      </c>
      <c r="H1759" s="1">
        <v>5.8009199999999996</v>
      </c>
    </row>
    <row r="1760" spans="1:8" x14ac:dyDescent="0.3">
      <c r="A1760">
        <f t="shared" si="70"/>
        <v>23</v>
      </c>
      <c r="B1760">
        <v>1424</v>
      </c>
      <c r="C1760" s="1">
        <v>23.24659846755787</v>
      </c>
      <c r="D1760" s="9">
        <v>17.544888888891375</v>
      </c>
      <c r="E1760" s="1">
        <v>2.3249900000000001</v>
      </c>
      <c r="F1760" s="1">
        <v>4.1969900000000004</v>
      </c>
      <c r="G1760" s="1">
        <v>13.1562</v>
      </c>
      <c r="H1760" s="1">
        <v>5.9885900000000003</v>
      </c>
    </row>
    <row r="1761" spans="1:8" x14ac:dyDescent="0.3">
      <c r="A1761" t="e">
        <f t="shared" si="70"/>
        <v>#REF!</v>
      </c>
      <c r="B1761">
        <v>1474</v>
      </c>
      <c r="C1761" s="1">
        <v>23.212937694219391</v>
      </c>
      <c r="D1761" s="9">
        <v>17.592111111113685</v>
      </c>
      <c r="E1761" s="1">
        <v>2.8283299999999998</v>
      </c>
      <c r="F1761" s="1">
        <v>4.4599599999999997</v>
      </c>
      <c r="G1761" s="1">
        <v>13.065899999999999</v>
      </c>
      <c r="H1761" s="1">
        <v>6.13605</v>
      </c>
    </row>
    <row r="1762" spans="1:8" x14ac:dyDescent="0.3">
      <c r="A1762">
        <f t="shared" si="70"/>
        <v>14</v>
      </c>
      <c r="B1762">
        <v>1524</v>
      </c>
      <c r="C1762" s="1">
        <v>22.99143705864855</v>
      </c>
      <c r="D1762" s="9">
        <v>17.639333333335994</v>
      </c>
      <c r="E1762" s="1">
        <v>3.1144500000000002</v>
      </c>
      <c r="F1762" s="1">
        <v>4.6629800000000001</v>
      </c>
      <c r="G1762" s="1">
        <v>13.097200000000001</v>
      </c>
      <c r="H1762" s="1">
        <v>6.0626100000000003</v>
      </c>
    </row>
    <row r="1763" spans="1:8" x14ac:dyDescent="0.3">
      <c r="A1763" t="e">
        <f t="shared" si="70"/>
        <v>#REF!</v>
      </c>
      <c r="B1763">
        <v>1574</v>
      </c>
      <c r="C1763" s="1">
        <v>22.692659598853862</v>
      </c>
      <c r="D1763" s="9">
        <v>17.686555555558304</v>
      </c>
      <c r="E1763" s="1">
        <v>3.2500800000000001</v>
      </c>
      <c r="F1763" s="1">
        <v>4.9615999999999998</v>
      </c>
      <c r="G1763" s="1">
        <v>13.2567</v>
      </c>
      <c r="H1763" s="1">
        <v>5.6813700000000003</v>
      </c>
    </row>
    <row r="1764" spans="1:8" x14ac:dyDescent="0.3">
      <c r="A1764">
        <f t="shared" si="70"/>
        <v>5</v>
      </c>
      <c r="B1764">
        <v>1624</v>
      </c>
      <c r="C1764" s="1">
        <v>22.322863706522121</v>
      </c>
      <c r="D1764" s="9">
        <v>17.733777777780613</v>
      </c>
      <c r="E1764" s="1">
        <v>3.6377199999999998</v>
      </c>
      <c r="F1764" s="1">
        <v>5.6151499999999999</v>
      </c>
      <c r="G1764" s="1">
        <v>13.345499999999999</v>
      </c>
      <c r="H1764" s="1">
        <v>5.0089499999999996</v>
      </c>
    </row>
    <row r="1765" spans="1:8" x14ac:dyDescent="0.3">
      <c r="A1765" t="e">
        <f t="shared" ref="A1765:A1796" si="71">A1715</f>
        <v>#REF!</v>
      </c>
      <c r="B1765">
        <v>1674</v>
      </c>
      <c r="C1765" s="1">
        <v>21.87123708710623</v>
      </c>
      <c r="D1765" s="9">
        <v>17.781000000002923</v>
      </c>
      <c r="E1765" s="1">
        <v>4.3699700000000004</v>
      </c>
      <c r="F1765" s="1">
        <v>6.6149399999999998</v>
      </c>
      <c r="G1765" s="1">
        <v>13.349</v>
      </c>
      <c r="H1765" s="1">
        <v>4.1043500000000002</v>
      </c>
    </row>
    <row r="1766" spans="1:8" x14ac:dyDescent="0.3">
      <c r="A1766">
        <f t="shared" si="71"/>
        <v>21</v>
      </c>
      <c r="B1766">
        <v>1724</v>
      </c>
      <c r="C1766" s="1">
        <v>21.393485872018491</v>
      </c>
      <c r="D1766" s="9">
        <v>17.828222222225232</v>
      </c>
      <c r="E1766" s="1">
        <v>5.2122999999999999</v>
      </c>
      <c r="F1766" s="1">
        <v>7.6817599999999997</v>
      </c>
      <c r="G1766" s="1">
        <v>13.436199999999999</v>
      </c>
      <c r="H1766" s="1">
        <v>3.06304</v>
      </c>
    </row>
    <row r="1767" spans="1:8" x14ac:dyDescent="0.3">
      <c r="A1767" t="e">
        <f t="shared" si="71"/>
        <v>#REF!</v>
      </c>
      <c r="B1767">
        <v>1774</v>
      </c>
      <c r="C1767" s="1">
        <v>21.100779916940819</v>
      </c>
      <c r="D1767" s="9">
        <v>17.875444444447542</v>
      </c>
      <c r="E1767" s="1">
        <v>5.8274299999999997</v>
      </c>
      <c r="F1767" s="1">
        <v>8.5439699999999998</v>
      </c>
      <c r="G1767" s="1">
        <v>13.586499999999999</v>
      </c>
      <c r="H1767" s="1">
        <v>1.95459</v>
      </c>
    </row>
    <row r="1768" spans="1:8" x14ac:dyDescent="0.3">
      <c r="A1768">
        <f t="shared" si="71"/>
        <v>12</v>
      </c>
      <c r="B1768">
        <v>1824</v>
      </c>
      <c r="C1768" s="1">
        <v>20.721931113763269</v>
      </c>
      <c r="D1768" s="9">
        <v>17.922666666669851</v>
      </c>
      <c r="E1768" s="1">
        <v>5.8078099999999999</v>
      </c>
      <c r="F1768" s="1">
        <v>8.9626000000000001</v>
      </c>
      <c r="G1768" s="1">
        <v>13.5939</v>
      </c>
      <c r="H1768" s="1">
        <v>0.81929300000000005</v>
      </c>
    </row>
    <row r="1769" spans="1:8" x14ac:dyDescent="0.3">
      <c r="A1769" t="e">
        <f t="shared" si="71"/>
        <v>#REF!</v>
      </c>
      <c r="B1769">
        <v>1874</v>
      </c>
      <c r="C1769" s="1">
        <v>20.370148409922631</v>
      </c>
      <c r="D1769" s="9">
        <v>17.969888888892161</v>
      </c>
      <c r="E1769" s="1">
        <v>5.1415800000000003</v>
      </c>
      <c r="F1769" s="1">
        <v>9.0040899999999997</v>
      </c>
      <c r="G1769" s="1">
        <v>13.4719</v>
      </c>
      <c r="H1769" s="1">
        <v>-0.35290300000000002</v>
      </c>
    </row>
    <row r="1770" spans="1:8" x14ac:dyDescent="0.3">
      <c r="A1770">
        <f t="shared" si="71"/>
        <v>3</v>
      </c>
      <c r="B1770">
        <v>1924</v>
      </c>
      <c r="C1770" s="1">
        <v>19.951780169025149</v>
      </c>
      <c r="D1770" s="9">
        <v>18.01711111111447</v>
      </c>
      <c r="E1770" s="1">
        <v>4.2092700000000001</v>
      </c>
      <c r="F1770" s="1">
        <v>9.0222499999999997</v>
      </c>
      <c r="G1770" s="1">
        <v>13.4496</v>
      </c>
      <c r="H1770" s="1">
        <v>-1.61602</v>
      </c>
    </row>
    <row r="1771" spans="1:8" x14ac:dyDescent="0.3">
      <c r="A1771" t="e">
        <f t="shared" si="71"/>
        <v>#REF!</v>
      </c>
      <c r="B1771">
        <v>1974</v>
      </c>
      <c r="C1771" s="1">
        <v>19.669484053780049</v>
      </c>
      <c r="D1771" s="9">
        <v>18.06433333333678</v>
      </c>
      <c r="E1771" s="1">
        <v>3.36713</v>
      </c>
      <c r="F1771" s="1">
        <v>9.0970099999999992</v>
      </c>
      <c r="G1771" s="1">
        <v>13.561500000000001</v>
      </c>
      <c r="H1771" s="1">
        <v>-2.9299499999999998</v>
      </c>
    </row>
    <row r="1772" spans="1:8" x14ac:dyDescent="0.3">
      <c r="A1772">
        <f t="shared" si="71"/>
        <v>19</v>
      </c>
      <c r="B1772">
        <v>2024</v>
      </c>
      <c r="C1772" s="1">
        <v>19.420000000000002</v>
      </c>
      <c r="D1772" s="9">
        <v>18.111555555559089</v>
      </c>
      <c r="E1772" s="1">
        <v>2.91629</v>
      </c>
      <c r="F1772" s="1">
        <v>9.0350199999999994</v>
      </c>
      <c r="G1772" s="1">
        <v>13.648899999999999</v>
      </c>
      <c r="H1772" s="1">
        <v>-4.1619900000000003</v>
      </c>
    </row>
    <row r="1773" spans="1:8" x14ac:dyDescent="0.3">
      <c r="A1773" t="e">
        <f t="shared" si="71"/>
        <v>#REF!</v>
      </c>
      <c r="B1773">
        <v>2074</v>
      </c>
      <c r="C1773" s="1">
        <v>19.27</v>
      </c>
      <c r="D1773" s="9">
        <v>18.158777777781399</v>
      </c>
      <c r="E1773" s="1">
        <v>2.82918</v>
      </c>
      <c r="F1773" s="1">
        <v>8.8120700000000003</v>
      </c>
      <c r="G1773" s="1">
        <v>13.6996</v>
      </c>
      <c r="H1773" s="1">
        <v>-5.20662</v>
      </c>
    </row>
    <row r="1774" spans="1:8" x14ac:dyDescent="0.3">
      <c r="A1774">
        <f t="shared" si="71"/>
        <v>10</v>
      </c>
      <c r="B1774">
        <v>2124</v>
      </c>
      <c r="C1774" s="1">
        <v>19.190000000000001</v>
      </c>
      <c r="D1774" s="9">
        <v>18.206000000003709</v>
      </c>
      <c r="E1774" s="1">
        <v>2.7705199999999999</v>
      </c>
      <c r="F1774" s="1">
        <v>8.5795100000000009</v>
      </c>
      <c r="G1774" s="1">
        <v>13.845499999999999</v>
      </c>
      <c r="H1774" s="1">
        <v>-5.9863299999999997</v>
      </c>
    </row>
    <row r="1775" spans="1:8" x14ac:dyDescent="0.3">
      <c r="A1775" t="e">
        <f t="shared" si="71"/>
        <v>#REF!</v>
      </c>
      <c r="B1775">
        <v>2174</v>
      </c>
      <c r="C1775" s="1">
        <v>19.17151683955435</v>
      </c>
      <c r="D1775" s="9">
        <v>18.253222222226018</v>
      </c>
      <c r="E1775" s="1">
        <v>2.6648000000000001</v>
      </c>
      <c r="F1775" s="1">
        <v>8.4594900000000006</v>
      </c>
      <c r="G1775" s="1">
        <v>14.040100000000001</v>
      </c>
      <c r="H1775" s="1">
        <v>-6.3725899999999998</v>
      </c>
    </row>
    <row r="1776" spans="1:8" x14ac:dyDescent="0.3">
      <c r="A1776">
        <f t="shared" si="71"/>
        <v>1</v>
      </c>
      <c r="B1776">
        <v>2224</v>
      </c>
      <c r="C1776" s="1">
        <v>19.22</v>
      </c>
      <c r="D1776" s="9">
        <v>18.300444444448328</v>
      </c>
      <c r="E1776" s="1">
        <v>2.6934499999999999</v>
      </c>
      <c r="F1776" s="1">
        <v>8.5301799999999997</v>
      </c>
      <c r="G1776" s="1">
        <v>14.067600000000001</v>
      </c>
      <c r="H1776" s="1">
        <v>-6.1963400000000002</v>
      </c>
    </row>
    <row r="1777" spans="1:8" x14ac:dyDescent="0.3">
      <c r="A1777" t="e">
        <f t="shared" si="71"/>
        <v>#REF!</v>
      </c>
      <c r="B1777">
        <v>2274</v>
      </c>
      <c r="C1777" s="1">
        <v>19.43358378395726</v>
      </c>
      <c r="D1777" s="9">
        <v>18.347666666670637</v>
      </c>
      <c r="E1777" s="1">
        <v>2.8414799999999998</v>
      </c>
      <c r="F1777" s="1">
        <v>8.6875800000000005</v>
      </c>
      <c r="G1777" s="1">
        <v>13.932</v>
      </c>
      <c r="H1777" s="1">
        <v>-5.5091599999999996</v>
      </c>
    </row>
    <row r="1778" spans="1:8" x14ac:dyDescent="0.3">
      <c r="A1778">
        <f t="shared" si="71"/>
        <v>17</v>
      </c>
      <c r="B1778">
        <v>2324</v>
      </c>
      <c r="C1778" s="1">
        <v>19.75506415057075</v>
      </c>
      <c r="D1778" s="9">
        <v>18.394888888892947</v>
      </c>
      <c r="E1778" s="1">
        <v>2.9009900000000002</v>
      </c>
      <c r="F1778" s="1">
        <v>8.66188</v>
      </c>
      <c r="G1778" s="1">
        <v>13.849</v>
      </c>
      <c r="H1778" s="1">
        <v>-4.5725800000000003</v>
      </c>
    </row>
    <row r="1779" spans="1:8" x14ac:dyDescent="0.3">
      <c r="A1779" t="e">
        <f t="shared" si="71"/>
        <v>#REF!</v>
      </c>
      <c r="B1779">
        <v>2374</v>
      </c>
      <c r="C1779" s="1">
        <v>20.190639662654831</v>
      </c>
      <c r="D1779" s="9">
        <v>18.442111111115256</v>
      </c>
      <c r="E1779" s="1">
        <v>2.8478500000000002</v>
      </c>
      <c r="F1779" s="1">
        <v>8.3990500000000008</v>
      </c>
      <c r="G1779" s="1">
        <v>13.842000000000001</v>
      </c>
      <c r="H1779" s="1">
        <v>-3.5385</v>
      </c>
    </row>
    <row r="1780" spans="1:8" x14ac:dyDescent="0.3">
      <c r="A1780">
        <f t="shared" si="71"/>
        <v>8</v>
      </c>
      <c r="B1780">
        <v>2424</v>
      </c>
      <c r="C1780" s="1">
        <v>20.745164049661192</v>
      </c>
      <c r="D1780" s="9">
        <v>18.489333333337566</v>
      </c>
      <c r="E1780" s="1">
        <v>2.8338800000000002</v>
      </c>
      <c r="F1780" s="1">
        <v>8.0626499999999997</v>
      </c>
      <c r="G1780" s="1">
        <v>13.7492</v>
      </c>
      <c r="H1780" s="1">
        <v>-2.4434499999999999</v>
      </c>
    </row>
    <row r="1781" spans="1:8" x14ac:dyDescent="0.3">
      <c r="A1781" t="e">
        <f t="shared" si="71"/>
        <v>#REF!</v>
      </c>
      <c r="B1781">
        <v>2474</v>
      </c>
      <c r="C1781" s="1">
        <v>21.303127625349742</v>
      </c>
      <c r="D1781" s="9">
        <v>18.536555555559875</v>
      </c>
      <c r="E1781" s="1">
        <v>2.7938900000000002</v>
      </c>
      <c r="F1781" s="1">
        <v>7.8416100000000002</v>
      </c>
      <c r="G1781" s="1">
        <v>13.6241</v>
      </c>
      <c r="H1781" s="1">
        <v>-1.29423</v>
      </c>
    </row>
    <row r="1782" spans="1:8" x14ac:dyDescent="0.3">
      <c r="A1782">
        <f t="shared" si="71"/>
        <v>24</v>
      </c>
      <c r="B1782">
        <v>2524</v>
      </c>
      <c r="C1782" s="1">
        <v>21.82586624117636</v>
      </c>
      <c r="D1782" s="9">
        <v>18.583777777782185</v>
      </c>
      <c r="E1782" s="1">
        <v>2.4578500000000001</v>
      </c>
      <c r="F1782" s="1">
        <v>7.9274399999999998</v>
      </c>
      <c r="G1782" s="1">
        <v>13.7224</v>
      </c>
      <c r="H1782" s="1">
        <v>-7.5432600000000002E-2</v>
      </c>
    </row>
    <row r="1783" spans="1:8" x14ac:dyDescent="0.3">
      <c r="A1783" t="e">
        <f t="shared" si="71"/>
        <v>#REF!</v>
      </c>
      <c r="B1783">
        <v>2574</v>
      </c>
      <c r="C1783" s="1">
        <v>22.237817141823619</v>
      </c>
      <c r="D1783" s="9">
        <v>18.631000000004494</v>
      </c>
      <c r="E1783" s="1">
        <v>1.8151900000000001</v>
      </c>
      <c r="F1783" s="1">
        <v>8.2239299999999993</v>
      </c>
      <c r="G1783" s="1">
        <v>14.037000000000001</v>
      </c>
      <c r="H1783" s="1">
        <v>1.18798</v>
      </c>
    </row>
    <row r="1784" spans="1:8" x14ac:dyDescent="0.3">
      <c r="A1784">
        <f t="shared" si="71"/>
        <v>15</v>
      </c>
      <c r="B1784">
        <v>2624</v>
      </c>
      <c r="C1784" s="1">
        <v>22.56400815798337</v>
      </c>
      <c r="D1784" s="9">
        <v>18.678222222226804</v>
      </c>
      <c r="E1784" s="1">
        <v>1.1153500000000001</v>
      </c>
      <c r="F1784" s="1">
        <v>8.3679100000000002</v>
      </c>
      <c r="G1784" s="1">
        <v>14.303900000000001</v>
      </c>
      <c r="H1784" s="1">
        <v>2.43093</v>
      </c>
    </row>
    <row r="1785" spans="1:8" x14ac:dyDescent="0.3">
      <c r="A1785" t="e">
        <f t="shared" si="71"/>
        <v>#REF!</v>
      </c>
      <c r="B1785">
        <v>2674</v>
      </c>
      <c r="C1785" s="1">
        <v>22.949701966016281</v>
      </c>
      <c r="D1785" s="9">
        <v>18.725444444449113</v>
      </c>
      <c r="E1785" s="1">
        <v>0.64891500000000002</v>
      </c>
      <c r="F1785" s="1">
        <v>8.2352799999999995</v>
      </c>
      <c r="G1785" s="1">
        <v>14.3354</v>
      </c>
      <c r="H1785" s="1">
        <v>3.5736500000000002</v>
      </c>
    </row>
    <row r="1786" spans="1:8" x14ac:dyDescent="0.3">
      <c r="A1786">
        <f t="shared" si="71"/>
        <v>6</v>
      </c>
      <c r="B1786">
        <v>2724</v>
      </c>
      <c r="C1786" s="1">
        <v>23.43271870259202</v>
      </c>
      <c r="D1786" s="9">
        <v>18.772666666671423</v>
      </c>
      <c r="E1786" s="1">
        <v>0.72114299999999998</v>
      </c>
      <c r="F1786" s="1">
        <v>7.9497600000000004</v>
      </c>
      <c r="G1786" s="1">
        <v>14.0374</v>
      </c>
      <c r="H1786" s="1">
        <v>4.5251400000000004</v>
      </c>
    </row>
    <row r="1787" spans="1:8" x14ac:dyDescent="0.3">
      <c r="A1787" t="e">
        <f t="shared" si="71"/>
        <v>#REF!</v>
      </c>
      <c r="B1787">
        <v>2774</v>
      </c>
      <c r="C1787" s="1">
        <v>23.841809855546789</v>
      </c>
      <c r="D1787" s="9">
        <v>18.819888888893733</v>
      </c>
      <c r="E1787" s="1">
        <v>1.3241799999999999</v>
      </c>
      <c r="F1787" s="1">
        <v>7.7836299999999996</v>
      </c>
      <c r="G1787" s="1">
        <v>13.5383</v>
      </c>
      <c r="H1787" s="1">
        <v>5.2191000000000001</v>
      </c>
    </row>
    <row r="1788" spans="1:8" x14ac:dyDescent="0.3">
      <c r="A1788">
        <f t="shared" si="71"/>
        <v>22</v>
      </c>
      <c r="B1788">
        <v>2824</v>
      </c>
      <c r="C1788" s="1">
        <v>24.11</v>
      </c>
      <c r="D1788" s="9">
        <v>18.867111111116042</v>
      </c>
      <c r="E1788" s="1">
        <v>2.1495600000000001</v>
      </c>
      <c r="F1788" s="1">
        <v>8.1278400000000008</v>
      </c>
      <c r="G1788" s="1">
        <v>13.1713</v>
      </c>
      <c r="H1788" s="1">
        <v>5.6199399999999997</v>
      </c>
    </row>
    <row r="1789" spans="1:8" x14ac:dyDescent="0.3">
      <c r="A1789" t="e">
        <f t="shared" si="71"/>
        <v>#REF!</v>
      </c>
      <c r="B1789">
        <v>2874</v>
      </c>
      <c r="C1789" s="1">
        <v>24.3</v>
      </c>
      <c r="D1789" s="9">
        <v>18.914333333338352</v>
      </c>
      <c r="E1789" s="1">
        <v>2.8849900000000002</v>
      </c>
      <c r="F1789" s="1">
        <v>9.0637500000000006</v>
      </c>
      <c r="G1789" s="1">
        <v>13.1965</v>
      </c>
      <c r="H1789" s="1">
        <v>5.8348899999999997</v>
      </c>
    </row>
    <row r="1790" spans="1:8" x14ac:dyDescent="0.3">
      <c r="A1790">
        <f t="shared" si="71"/>
        <v>13</v>
      </c>
      <c r="B1790">
        <v>2924</v>
      </c>
      <c r="C1790" s="1">
        <v>24.205637936497101</v>
      </c>
      <c r="D1790" s="9">
        <v>18.961555555560661</v>
      </c>
      <c r="E1790" s="1">
        <v>3.2441499999999999</v>
      </c>
      <c r="F1790" s="1">
        <v>10.367800000000001</v>
      </c>
      <c r="G1790" s="1">
        <v>13.7845</v>
      </c>
      <c r="H1790" s="1">
        <v>6.0961600000000002</v>
      </c>
    </row>
    <row r="1791" spans="1:8" x14ac:dyDescent="0.3">
      <c r="A1791" t="e">
        <f t="shared" si="71"/>
        <v>#REF!</v>
      </c>
      <c r="B1791">
        <v>2974</v>
      </c>
      <c r="C1791" s="1">
        <v>24.07</v>
      </c>
      <c r="D1791" s="9">
        <v>19.008777777782971</v>
      </c>
      <c r="E1791" s="1">
        <v>3.3250700000000002</v>
      </c>
      <c r="F1791" s="1">
        <v>11.734400000000001</v>
      </c>
      <c r="G1791" s="1">
        <v>14.857900000000001</v>
      </c>
      <c r="H1791" s="1">
        <v>6.4477500000000001</v>
      </c>
    </row>
    <row r="1792" spans="1:8" x14ac:dyDescent="0.3">
      <c r="A1792">
        <f t="shared" si="71"/>
        <v>4</v>
      </c>
      <c r="B1792">
        <v>3024</v>
      </c>
      <c r="C1792" s="1">
        <v>23.969090049623709</v>
      </c>
      <c r="D1792" s="9">
        <v>19.05600000000528</v>
      </c>
      <c r="E1792" s="1">
        <v>3.57931</v>
      </c>
      <c r="F1792" s="1">
        <v>12.795</v>
      </c>
      <c r="G1792" s="1">
        <v>16.105699999999999</v>
      </c>
      <c r="H1792" s="1">
        <v>6.7590599999999998</v>
      </c>
    </row>
    <row r="1793" spans="1:8" x14ac:dyDescent="0.3">
      <c r="A1793" t="e">
        <f t="shared" si="71"/>
        <v>#REF!</v>
      </c>
      <c r="B1793">
        <v>3074</v>
      </c>
      <c r="C1793" s="1">
        <v>23.755378353830441</v>
      </c>
      <c r="D1793" s="9">
        <v>19.10322222222759</v>
      </c>
      <c r="E1793" s="1">
        <v>4.20627</v>
      </c>
      <c r="F1793" s="1">
        <v>13.273400000000001</v>
      </c>
      <c r="G1793" s="1">
        <v>17.2014</v>
      </c>
      <c r="H1793" s="1">
        <v>7.0651700000000002</v>
      </c>
    </row>
    <row r="1794" spans="1:8" x14ac:dyDescent="0.3">
      <c r="A1794">
        <f t="shared" si="71"/>
        <v>20</v>
      </c>
      <c r="B1794">
        <v>3124</v>
      </c>
      <c r="C1794" s="1">
        <v>23.37781375831285</v>
      </c>
      <c r="D1794" s="9">
        <v>19.150444444449899</v>
      </c>
      <c r="E1794" s="1">
        <v>5.1429799999999997</v>
      </c>
      <c r="F1794" s="1">
        <v>13.012700000000001</v>
      </c>
      <c r="G1794" s="1">
        <v>17.834599999999998</v>
      </c>
      <c r="H1794" s="1">
        <v>7.5539300000000003</v>
      </c>
    </row>
    <row r="1795" spans="1:8" x14ac:dyDescent="0.3">
      <c r="A1795" t="e">
        <f t="shared" si="71"/>
        <v>#REF!</v>
      </c>
      <c r="B1795">
        <v>3174</v>
      </c>
      <c r="C1795" s="1">
        <v>22.976332136482039</v>
      </c>
      <c r="D1795" s="9">
        <v>19.197666666672209</v>
      </c>
      <c r="E1795" s="1">
        <v>6.2254800000000001</v>
      </c>
      <c r="F1795" s="1">
        <v>12.1431</v>
      </c>
      <c r="G1795" s="1">
        <v>17.9422</v>
      </c>
      <c r="H1795" s="1">
        <v>8.3115000000000006</v>
      </c>
    </row>
    <row r="1796" spans="1:8" x14ac:dyDescent="0.3">
      <c r="A1796">
        <f t="shared" si="71"/>
        <v>11</v>
      </c>
      <c r="B1796">
        <v>3224</v>
      </c>
      <c r="C1796" s="1">
        <v>22.612390007535591</v>
      </c>
      <c r="D1796" s="9">
        <v>19.244888888894518</v>
      </c>
      <c r="E1796" s="1">
        <v>7.2264999999999997</v>
      </c>
      <c r="F1796" s="1">
        <v>11.0304</v>
      </c>
      <c r="G1796" s="1">
        <v>17.677199999999999</v>
      </c>
      <c r="H1796" s="1">
        <v>9.3257700000000003</v>
      </c>
    </row>
    <row r="1797" spans="1:8" x14ac:dyDescent="0.3">
      <c r="A1797" t="e">
        <f t="shared" ref="A1797:A1803" si="72">A1747</f>
        <v>#REF!</v>
      </c>
      <c r="B1797">
        <v>3274</v>
      </c>
      <c r="C1797" s="1">
        <v>22.21484476170367</v>
      </c>
      <c r="D1797" s="9">
        <v>19.292111111116828</v>
      </c>
      <c r="E1797" s="1">
        <v>8.1252899999999997</v>
      </c>
      <c r="F1797" s="1">
        <v>10.035299999999999</v>
      </c>
      <c r="G1797" s="1">
        <v>17.247499999999999</v>
      </c>
      <c r="H1797" s="1">
        <v>10.5425</v>
      </c>
    </row>
    <row r="1798" spans="1:8" x14ac:dyDescent="0.3">
      <c r="A1798">
        <f t="shared" si="72"/>
        <v>2</v>
      </c>
      <c r="B1798">
        <v>3324</v>
      </c>
      <c r="C1798" s="1">
        <v>21.84963810305468</v>
      </c>
      <c r="D1798" s="9">
        <v>19.339333333339138</v>
      </c>
      <c r="E1798" s="1">
        <v>9.2649799999999995</v>
      </c>
      <c r="F1798" s="1">
        <v>9.9479699999999998</v>
      </c>
      <c r="G1798" s="1">
        <v>17.0502</v>
      </c>
      <c r="H1798" s="1">
        <v>11.911</v>
      </c>
    </row>
    <row r="1799" spans="1:8" x14ac:dyDescent="0.3">
      <c r="A1799" t="e">
        <f t="shared" si="72"/>
        <v>#REF!</v>
      </c>
      <c r="B1799">
        <v>3374</v>
      </c>
      <c r="C1799" s="1">
        <v>21.552169268416151</v>
      </c>
      <c r="D1799" s="9">
        <v>19.386555555561447</v>
      </c>
      <c r="E1799" s="1">
        <v>10.908799999999999</v>
      </c>
      <c r="F1799" s="1">
        <v>11.229100000000001</v>
      </c>
      <c r="G1799" s="1">
        <v>17.247</v>
      </c>
      <c r="H1799" s="1">
        <v>13.3475</v>
      </c>
    </row>
    <row r="1800" spans="1:8" x14ac:dyDescent="0.3">
      <c r="A1800">
        <f t="shared" si="72"/>
        <v>18</v>
      </c>
      <c r="B1800">
        <v>3424</v>
      </c>
      <c r="C1800" s="1">
        <v>21.198978188249139</v>
      </c>
      <c r="D1800" s="9">
        <v>19.433777777783757</v>
      </c>
      <c r="E1800" s="1">
        <v>12.7346</v>
      </c>
      <c r="F1800" s="1">
        <v>12.8889</v>
      </c>
      <c r="G1800" s="1">
        <v>17.5853</v>
      </c>
      <c r="H1800" s="1">
        <v>14.757</v>
      </c>
    </row>
    <row r="1801" spans="1:8" x14ac:dyDescent="0.3">
      <c r="A1801" t="e">
        <f t="shared" si="72"/>
        <v>#REF!</v>
      </c>
      <c r="B1801">
        <v>3474</v>
      </c>
      <c r="C1801" s="1">
        <v>20.67980257384</v>
      </c>
      <c r="D1801" s="9">
        <v>19.481000000006066</v>
      </c>
      <c r="E1801" s="1">
        <v>14.6427</v>
      </c>
      <c r="F1801" s="1">
        <v>14.7134</v>
      </c>
      <c r="G1801" s="1">
        <v>18.050699999999999</v>
      </c>
      <c r="H1801" s="1">
        <v>16.147099999999998</v>
      </c>
    </row>
    <row r="1802" spans="1:8" x14ac:dyDescent="0.3">
      <c r="A1802">
        <f t="shared" si="72"/>
        <v>9</v>
      </c>
      <c r="B1802">
        <v>3524</v>
      </c>
      <c r="C1802" s="1">
        <v>20.258818510625812</v>
      </c>
      <c r="D1802" s="9">
        <v>19.528222222228376</v>
      </c>
      <c r="E1802" s="1">
        <v>16.5929</v>
      </c>
      <c r="F1802" s="1">
        <v>16.6204</v>
      </c>
      <c r="G1802" s="1">
        <v>18.612300000000001</v>
      </c>
      <c r="H1802" s="1">
        <v>17.524000000000001</v>
      </c>
    </row>
    <row r="1803" spans="1:8" x14ac:dyDescent="0.3">
      <c r="A1803">
        <f t="shared" si="72"/>
        <v>0</v>
      </c>
      <c r="B1803">
        <v>3574</v>
      </c>
      <c r="C1803" s="1">
        <v>19.8313285410619</v>
      </c>
      <c r="D1803" s="9">
        <v>19.575444444450685</v>
      </c>
      <c r="E1803" s="1">
        <v>18.5672</v>
      </c>
      <c r="F1803" s="1">
        <v>18.5731</v>
      </c>
      <c r="G1803" s="1">
        <v>19.2468</v>
      </c>
      <c r="H1803" s="1">
        <v>18.8917</v>
      </c>
    </row>
    <row r="1804" spans="1:8" x14ac:dyDescent="0.3">
      <c r="A1804">
        <v>25</v>
      </c>
      <c r="B1804">
        <v>25</v>
      </c>
      <c r="C1804" s="1">
        <v>16.170000000000002</v>
      </c>
      <c r="D1804" s="9">
        <v>16.223611111111154</v>
      </c>
      <c r="E1804" s="1">
        <v>15.273199999999999</v>
      </c>
      <c r="F1804" s="1">
        <v>15.211399999999999</v>
      </c>
      <c r="G1804" s="1">
        <v>15.8955</v>
      </c>
      <c r="H1804" s="1">
        <v>15.268000000000001</v>
      </c>
    </row>
    <row r="1805" spans="1:8" x14ac:dyDescent="0.3">
      <c r="A1805" t="e">
        <f t="shared" ref="A1805:A1836" si="73">A1755</f>
        <v>#REF!</v>
      </c>
      <c r="B1805">
        <v>75</v>
      </c>
      <c r="C1805" s="1">
        <v>16.22</v>
      </c>
      <c r="D1805" s="9">
        <v>16.270833333333464</v>
      </c>
      <c r="E1805" s="1">
        <v>13.4366</v>
      </c>
      <c r="F1805" s="1">
        <v>13.255100000000001</v>
      </c>
      <c r="G1805" s="1">
        <v>15.327500000000001</v>
      </c>
      <c r="H1805" s="1">
        <v>13.397399999999999</v>
      </c>
    </row>
    <row r="1806" spans="1:8" x14ac:dyDescent="0.3">
      <c r="A1806">
        <f t="shared" si="73"/>
        <v>16</v>
      </c>
      <c r="B1806">
        <v>125</v>
      </c>
      <c r="C1806" s="1">
        <v>16.32314598187488</v>
      </c>
      <c r="D1806" s="9">
        <v>16.318055555555773</v>
      </c>
      <c r="E1806" s="1">
        <v>11.6302</v>
      </c>
      <c r="F1806" s="1">
        <v>11.341900000000001</v>
      </c>
      <c r="G1806" s="1">
        <v>14.824999999999999</v>
      </c>
      <c r="H1806" s="1">
        <v>11.5169</v>
      </c>
    </row>
    <row r="1807" spans="1:8" x14ac:dyDescent="0.3">
      <c r="A1807" t="e">
        <f t="shared" si="73"/>
        <v>#REF!</v>
      </c>
      <c r="B1807">
        <v>175</v>
      </c>
      <c r="C1807" s="1">
        <v>16.52689862953855</v>
      </c>
      <c r="D1807" s="9">
        <v>16.365277777778083</v>
      </c>
      <c r="E1807" s="1">
        <v>9.8694699999999997</v>
      </c>
      <c r="F1807" s="1">
        <v>9.5054800000000004</v>
      </c>
      <c r="G1807" s="1">
        <v>14.404500000000001</v>
      </c>
      <c r="H1807" s="1">
        <v>9.6262799999999995</v>
      </c>
    </row>
    <row r="1808" spans="1:8" x14ac:dyDescent="0.3">
      <c r="A1808">
        <f t="shared" si="73"/>
        <v>7</v>
      </c>
      <c r="B1808">
        <v>225</v>
      </c>
      <c r="C1808" s="1">
        <v>16.86</v>
      </c>
      <c r="D1808" s="9">
        <v>16.412500000000392</v>
      </c>
      <c r="E1808" s="1">
        <v>8.1830200000000008</v>
      </c>
      <c r="F1808" s="1">
        <v>7.8203800000000001</v>
      </c>
      <c r="G1808" s="1">
        <v>14.082100000000001</v>
      </c>
      <c r="H1808" s="1">
        <v>7.7294600000000004</v>
      </c>
    </row>
    <row r="1809" spans="1:8" x14ac:dyDescent="0.3">
      <c r="A1809" t="e">
        <f t="shared" si="73"/>
        <v>#REF!</v>
      </c>
      <c r="B1809">
        <v>275</v>
      </c>
      <c r="C1809" s="1">
        <v>16.993925958075401</v>
      </c>
      <c r="D1809" s="9">
        <v>16.459722222222702</v>
      </c>
      <c r="E1809" s="1">
        <v>6.6317000000000004</v>
      </c>
      <c r="F1809" s="1">
        <v>6.4813599999999996</v>
      </c>
      <c r="G1809" s="1">
        <v>13.8408</v>
      </c>
      <c r="H1809" s="1">
        <v>5.8574200000000003</v>
      </c>
    </row>
    <row r="1810" spans="1:8" x14ac:dyDescent="0.3">
      <c r="A1810">
        <f t="shared" si="73"/>
        <v>23</v>
      </c>
      <c r="B1810">
        <v>325</v>
      </c>
      <c r="C1810" s="1">
        <v>17.19096128964577</v>
      </c>
      <c r="D1810" s="9">
        <v>16.506944444445011</v>
      </c>
      <c r="E1810" s="1">
        <v>5.5275699999999999</v>
      </c>
      <c r="F1810" s="1">
        <v>6.2415500000000002</v>
      </c>
      <c r="G1810" s="1">
        <v>13.8817</v>
      </c>
      <c r="H1810" s="1">
        <v>4.3917400000000004</v>
      </c>
    </row>
    <row r="1811" spans="1:8" x14ac:dyDescent="0.3">
      <c r="A1811" t="e">
        <f t="shared" si="73"/>
        <v>#REF!</v>
      </c>
      <c r="B1811">
        <v>375</v>
      </c>
      <c r="C1811" s="1">
        <v>17.420560164342159</v>
      </c>
      <c r="D1811" s="9">
        <v>16.554166666667321</v>
      </c>
      <c r="E1811" s="1">
        <v>4.7980900000000002</v>
      </c>
      <c r="F1811" s="1">
        <v>6.5668499999999996</v>
      </c>
      <c r="G1811" s="1">
        <v>14.0563</v>
      </c>
      <c r="H1811" s="1">
        <v>3.3677999999999999</v>
      </c>
    </row>
    <row r="1812" spans="1:8" x14ac:dyDescent="0.3">
      <c r="A1812">
        <f t="shared" si="73"/>
        <v>14</v>
      </c>
      <c r="B1812">
        <v>425</v>
      </c>
      <c r="C1812" s="1">
        <v>17.64544999960124</v>
      </c>
      <c r="D1812" s="9">
        <v>16.60138888888963</v>
      </c>
      <c r="E1812" s="1">
        <v>4.3230199999999996</v>
      </c>
      <c r="F1812" s="1">
        <v>6.7407599999999999</v>
      </c>
      <c r="G1812" s="1">
        <v>14.0039</v>
      </c>
      <c r="H1812" s="1">
        <v>2.7059799999999998</v>
      </c>
    </row>
    <row r="1813" spans="1:8" x14ac:dyDescent="0.3">
      <c r="A1813" t="e">
        <f t="shared" si="73"/>
        <v>#REF!</v>
      </c>
      <c r="B1813">
        <v>475</v>
      </c>
      <c r="C1813" s="1">
        <v>17.829999999999998</v>
      </c>
      <c r="D1813" s="9">
        <v>16.64861111111194</v>
      </c>
      <c r="E1813" s="1">
        <v>3.9377</v>
      </c>
      <c r="F1813" s="1">
        <v>6.5442400000000003</v>
      </c>
      <c r="G1813" s="1">
        <v>13.7097</v>
      </c>
      <c r="H1813" s="1">
        <v>2.2599900000000002</v>
      </c>
    </row>
    <row r="1814" spans="1:8" x14ac:dyDescent="0.3">
      <c r="A1814">
        <f t="shared" si="73"/>
        <v>5</v>
      </c>
      <c r="B1814">
        <v>525</v>
      </c>
      <c r="C1814" s="1">
        <v>18.051352314824619</v>
      </c>
      <c r="D1814" s="9">
        <v>16.695833333334249</v>
      </c>
      <c r="E1814" s="1">
        <v>3.3258700000000001</v>
      </c>
      <c r="F1814" s="1">
        <v>5.9279500000000001</v>
      </c>
      <c r="G1814" s="1">
        <v>13.3666</v>
      </c>
      <c r="H1814" s="1">
        <v>1.70147</v>
      </c>
    </row>
    <row r="1815" spans="1:8" x14ac:dyDescent="0.3">
      <c r="A1815" t="e">
        <f t="shared" si="73"/>
        <v>#REF!</v>
      </c>
      <c r="B1815">
        <v>575</v>
      </c>
      <c r="C1815" s="1">
        <v>18.259953721988499</v>
      </c>
      <c r="D1815" s="9">
        <v>16.743055555556559</v>
      </c>
      <c r="E1815" s="1">
        <v>2.4450799999999999</v>
      </c>
      <c r="F1815" s="1">
        <v>4.9848699999999999</v>
      </c>
      <c r="G1815" s="1">
        <v>13.032400000000001</v>
      </c>
      <c r="H1815" s="1">
        <v>0.97150800000000004</v>
      </c>
    </row>
    <row r="1816" spans="1:8" x14ac:dyDescent="0.3">
      <c r="A1816">
        <f t="shared" si="73"/>
        <v>21</v>
      </c>
      <c r="B1816">
        <v>625</v>
      </c>
      <c r="C1816" s="1">
        <v>18.46562101720362</v>
      </c>
      <c r="D1816" s="9">
        <v>16.790277777778869</v>
      </c>
      <c r="E1816" s="1">
        <v>1.54813</v>
      </c>
      <c r="F1816" s="1">
        <v>3.9521999999999999</v>
      </c>
      <c r="G1816" s="1">
        <v>12.623200000000001</v>
      </c>
      <c r="H1816" s="1">
        <v>0.30362</v>
      </c>
    </row>
    <row r="1817" spans="1:8" x14ac:dyDescent="0.3">
      <c r="A1817" t="e">
        <f t="shared" si="73"/>
        <v>#REF!</v>
      </c>
      <c r="B1817">
        <v>675</v>
      </c>
      <c r="C1817" s="1">
        <v>18.56755668420098</v>
      </c>
      <c r="D1817" s="9">
        <v>16.837500000001178</v>
      </c>
      <c r="E1817" s="1">
        <v>0.87962399999999996</v>
      </c>
      <c r="F1817" s="1">
        <v>3.0577999999999999</v>
      </c>
      <c r="G1817" s="1">
        <v>12.2338</v>
      </c>
      <c r="H1817" s="1">
        <v>-2.7966700000000001E-2</v>
      </c>
    </row>
    <row r="1818" spans="1:8" x14ac:dyDescent="0.3">
      <c r="A1818">
        <f t="shared" si="73"/>
        <v>12</v>
      </c>
      <c r="B1818">
        <v>725</v>
      </c>
      <c r="C1818" s="1">
        <v>18.742017981900879</v>
      </c>
      <c r="D1818" s="9">
        <v>16.884722222223488</v>
      </c>
      <c r="E1818" s="1">
        <v>0.64616600000000002</v>
      </c>
      <c r="F1818" s="1">
        <v>2.4958100000000001</v>
      </c>
      <c r="G1818" s="1">
        <v>12.1317</v>
      </c>
      <c r="H1818" s="1">
        <v>0.25923400000000002</v>
      </c>
    </row>
    <row r="1819" spans="1:8" x14ac:dyDescent="0.3">
      <c r="A1819" t="e">
        <f t="shared" si="73"/>
        <v>#REF!</v>
      </c>
      <c r="B1819">
        <v>775</v>
      </c>
      <c r="C1819" s="1">
        <v>18.887164060450129</v>
      </c>
      <c r="D1819" s="9">
        <v>16.931944444445797</v>
      </c>
      <c r="E1819" s="1">
        <v>0.80633699999999997</v>
      </c>
      <c r="F1819" s="1">
        <v>2.2136100000000001</v>
      </c>
      <c r="G1819" s="1">
        <v>12.380599999999999</v>
      </c>
      <c r="H1819" s="1">
        <v>1.12273</v>
      </c>
    </row>
    <row r="1820" spans="1:8" x14ac:dyDescent="0.3">
      <c r="A1820">
        <f t="shared" si="73"/>
        <v>3</v>
      </c>
      <c r="B1820">
        <v>825</v>
      </c>
      <c r="C1820" s="1">
        <v>19.304728780398399</v>
      </c>
      <c r="D1820" s="9">
        <v>16.979166666668107</v>
      </c>
      <c r="E1820" s="1">
        <v>1.0879000000000001</v>
      </c>
      <c r="F1820" s="1">
        <v>1.93449</v>
      </c>
      <c r="G1820" s="1">
        <v>12.8347</v>
      </c>
      <c r="H1820" s="1">
        <v>2.2046100000000002</v>
      </c>
    </row>
    <row r="1821" spans="1:8" x14ac:dyDescent="0.3">
      <c r="A1821" t="e">
        <f t="shared" si="73"/>
        <v>#REF!</v>
      </c>
      <c r="B1821">
        <v>875</v>
      </c>
      <c r="C1821" s="1">
        <v>19.54708495905242</v>
      </c>
      <c r="D1821" s="9">
        <v>17.026388888890416</v>
      </c>
      <c r="E1821" s="1">
        <v>1.3864300000000001</v>
      </c>
      <c r="F1821" s="1">
        <v>1.66814</v>
      </c>
      <c r="G1821" s="1">
        <v>13.25</v>
      </c>
      <c r="H1821" s="1">
        <v>3.12683</v>
      </c>
    </row>
    <row r="1822" spans="1:8" x14ac:dyDescent="0.3">
      <c r="A1822">
        <f t="shared" si="73"/>
        <v>19</v>
      </c>
      <c r="B1822">
        <v>925</v>
      </c>
      <c r="C1822" s="1">
        <v>19.816845534441509</v>
      </c>
      <c r="D1822" s="9">
        <v>17.073611111112726</v>
      </c>
      <c r="E1822" s="1">
        <v>1.76244</v>
      </c>
      <c r="F1822" s="1">
        <v>1.6994800000000001</v>
      </c>
      <c r="G1822" s="1">
        <v>13.310499999999999</v>
      </c>
      <c r="H1822" s="1">
        <v>3.51986</v>
      </c>
    </row>
    <row r="1823" spans="1:8" x14ac:dyDescent="0.3">
      <c r="A1823" t="e">
        <f t="shared" si="73"/>
        <v>#REF!</v>
      </c>
      <c r="B1823">
        <v>975</v>
      </c>
      <c r="C1823" s="1">
        <v>20.172378944157071</v>
      </c>
      <c r="D1823" s="9">
        <v>17.120833333335035</v>
      </c>
      <c r="E1823" s="1">
        <v>2.1423399999999999</v>
      </c>
      <c r="F1823" s="1">
        <v>2.0958800000000002</v>
      </c>
      <c r="G1823" s="1">
        <v>13.0312</v>
      </c>
      <c r="H1823" s="1">
        <v>3.3506499999999999</v>
      </c>
    </row>
    <row r="1824" spans="1:8" x14ac:dyDescent="0.3">
      <c r="A1824">
        <f t="shared" si="73"/>
        <v>10</v>
      </c>
      <c r="B1824">
        <v>1025</v>
      </c>
      <c r="C1824" s="1">
        <v>20.584810918515231</v>
      </c>
      <c r="D1824" s="9">
        <v>17.168055555557345</v>
      </c>
      <c r="E1824" s="1">
        <v>2.3261799999999999</v>
      </c>
      <c r="F1824" s="1">
        <v>2.6997100000000001</v>
      </c>
      <c r="G1824" s="1">
        <v>12.744199999999999</v>
      </c>
      <c r="H1824" s="1">
        <v>2.9122300000000001</v>
      </c>
    </row>
    <row r="1825" spans="1:8" x14ac:dyDescent="0.3">
      <c r="A1825" t="e">
        <f t="shared" si="73"/>
        <v>#REF!</v>
      </c>
      <c r="B1825">
        <v>1075</v>
      </c>
      <c r="C1825" s="1">
        <v>21.025713673184299</v>
      </c>
      <c r="D1825" s="9">
        <v>17.215277777779654</v>
      </c>
      <c r="E1825" s="1">
        <v>2.31819</v>
      </c>
      <c r="F1825" s="1">
        <v>3.25441</v>
      </c>
      <c r="G1825" s="1">
        <v>12.646800000000001</v>
      </c>
      <c r="H1825" s="1">
        <v>2.56663</v>
      </c>
    </row>
    <row r="1826" spans="1:8" x14ac:dyDescent="0.3">
      <c r="A1826">
        <f t="shared" si="73"/>
        <v>1</v>
      </c>
      <c r="B1826">
        <v>1125</v>
      </c>
      <c r="C1826" s="1">
        <v>21.420810926620259</v>
      </c>
      <c r="D1826" s="9">
        <v>17.262500000001964</v>
      </c>
      <c r="E1826" s="1">
        <v>2.3145899999999999</v>
      </c>
      <c r="F1826" s="1">
        <v>3.4340000000000002</v>
      </c>
      <c r="G1826" s="1">
        <v>12.786300000000001</v>
      </c>
      <c r="H1826" s="1">
        <v>2.7120199999999999</v>
      </c>
    </row>
    <row r="1827" spans="1:8" x14ac:dyDescent="0.3">
      <c r="A1827" t="e">
        <f t="shared" si="73"/>
        <v>#REF!</v>
      </c>
      <c r="B1827">
        <v>1175</v>
      </c>
      <c r="C1827" s="1">
        <v>21.708202966296071</v>
      </c>
      <c r="D1827" s="9">
        <v>17.309722222224273</v>
      </c>
      <c r="E1827" s="1">
        <v>2.3121200000000002</v>
      </c>
      <c r="F1827" s="1">
        <v>3.2688100000000002</v>
      </c>
      <c r="G1827" s="1">
        <v>13.037599999999999</v>
      </c>
      <c r="H1827" s="1">
        <v>3.3792900000000001</v>
      </c>
    </row>
    <row r="1828" spans="1:8" x14ac:dyDescent="0.3">
      <c r="A1828">
        <f t="shared" si="73"/>
        <v>17</v>
      </c>
      <c r="B1828">
        <v>1225</v>
      </c>
      <c r="C1828" s="1">
        <v>22.15251283913247</v>
      </c>
      <c r="D1828" s="9">
        <v>17.356944444446583</v>
      </c>
      <c r="E1828" s="1">
        <v>2.1209099999999999</v>
      </c>
      <c r="F1828" s="1">
        <v>3.1242200000000002</v>
      </c>
      <c r="G1828" s="1">
        <v>13.1289</v>
      </c>
      <c r="H1828" s="1">
        <v>4.2497400000000001</v>
      </c>
    </row>
    <row r="1829" spans="1:8" x14ac:dyDescent="0.3">
      <c r="A1829" t="e">
        <f t="shared" si="73"/>
        <v>#REF!</v>
      </c>
      <c r="B1829">
        <v>1275</v>
      </c>
      <c r="C1829" s="1">
        <v>22.579637551091029</v>
      </c>
      <c r="D1829" s="9">
        <v>17.404166666668893</v>
      </c>
      <c r="E1829" s="1">
        <v>1.80942</v>
      </c>
      <c r="F1829" s="1">
        <v>3.1869100000000001</v>
      </c>
      <c r="G1829" s="1">
        <v>13.0543</v>
      </c>
      <c r="H1829" s="1">
        <v>5.0474300000000003</v>
      </c>
    </row>
    <row r="1830" spans="1:8" x14ac:dyDescent="0.3">
      <c r="A1830">
        <f t="shared" si="73"/>
        <v>8</v>
      </c>
      <c r="B1830">
        <v>1325</v>
      </c>
      <c r="C1830" s="1">
        <v>22.944716623793951</v>
      </c>
      <c r="D1830" s="9">
        <v>17.451388888891202</v>
      </c>
      <c r="E1830" s="1">
        <v>1.69113</v>
      </c>
      <c r="F1830" s="1">
        <v>3.4562900000000001</v>
      </c>
      <c r="G1830" s="1">
        <v>13.0578</v>
      </c>
      <c r="H1830" s="1">
        <v>5.5611100000000002</v>
      </c>
    </row>
    <row r="1831" spans="1:8" x14ac:dyDescent="0.3">
      <c r="A1831" t="e">
        <f t="shared" si="73"/>
        <v>#REF!</v>
      </c>
      <c r="B1831">
        <v>1375</v>
      </c>
      <c r="C1831" s="1">
        <v>23.17351953362552</v>
      </c>
      <c r="D1831" s="9">
        <v>17.498611111113512</v>
      </c>
      <c r="E1831" s="1">
        <v>1.89022</v>
      </c>
      <c r="F1831" s="1">
        <v>3.8466900000000002</v>
      </c>
      <c r="G1831" s="1">
        <v>13.157</v>
      </c>
      <c r="H1831" s="1">
        <v>5.80457</v>
      </c>
    </row>
    <row r="1832" spans="1:8" x14ac:dyDescent="0.3">
      <c r="A1832">
        <f t="shared" si="73"/>
        <v>24</v>
      </c>
      <c r="B1832">
        <v>1425</v>
      </c>
      <c r="C1832" s="1">
        <v>23.250673107444879</v>
      </c>
      <c r="D1832" s="9">
        <v>17.545833333335821</v>
      </c>
      <c r="E1832" s="1">
        <v>2.33541</v>
      </c>
      <c r="F1832" s="1">
        <v>4.2031099999999997</v>
      </c>
      <c r="G1832" s="1">
        <v>13.1547</v>
      </c>
      <c r="H1832" s="1">
        <v>5.9924900000000001</v>
      </c>
    </row>
    <row r="1833" spans="1:8" x14ac:dyDescent="0.3">
      <c r="A1833" t="e">
        <f t="shared" si="73"/>
        <v>#REF!</v>
      </c>
      <c r="B1833">
        <v>1475</v>
      </c>
      <c r="C1833" s="1">
        <v>23.208946722719968</v>
      </c>
      <c r="D1833" s="9">
        <v>17.593055555558131</v>
      </c>
      <c r="E1833" s="1">
        <v>2.8370299999999999</v>
      </c>
      <c r="F1833" s="1">
        <v>4.4644399999999997</v>
      </c>
      <c r="G1833" s="1">
        <v>13.0647</v>
      </c>
      <c r="H1833" s="1">
        <v>6.1373499999999996</v>
      </c>
    </row>
    <row r="1834" spans="1:8" x14ac:dyDescent="0.3">
      <c r="A1834">
        <f t="shared" si="73"/>
        <v>15</v>
      </c>
      <c r="B1834">
        <v>1525</v>
      </c>
      <c r="C1834" s="1">
        <v>22.987365953897172</v>
      </c>
      <c r="D1834" s="9">
        <v>17.64027777778044</v>
      </c>
      <c r="E1834" s="1">
        <v>3.11734</v>
      </c>
      <c r="F1834" s="1">
        <v>4.6671500000000004</v>
      </c>
      <c r="G1834" s="1">
        <v>13.0997</v>
      </c>
      <c r="H1834" s="1">
        <v>6.0579799999999997</v>
      </c>
    </row>
    <row r="1835" spans="1:8" x14ac:dyDescent="0.3">
      <c r="A1835" t="e">
        <f t="shared" si="73"/>
        <v>#REF!</v>
      </c>
      <c r="B1835">
        <v>1575</v>
      </c>
      <c r="C1835" s="1">
        <v>22.68447294310273</v>
      </c>
      <c r="D1835" s="9">
        <v>17.68750000000275</v>
      </c>
      <c r="E1835" s="1">
        <v>3.25407</v>
      </c>
      <c r="F1835" s="1">
        <v>4.9703900000000001</v>
      </c>
      <c r="G1835" s="1">
        <v>13.2598</v>
      </c>
      <c r="H1835" s="1">
        <v>5.6707000000000001</v>
      </c>
    </row>
    <row r="1836" spans="1:8" x14ac:dyDescent="0.3">
      <c r="A1836">
        <f t="shared" si="73"/>
        <v>6</v>
      </c>
      <c r="B1836">
        <v>1625</v>
      </c>
      <c r="C1836" s="1">
        <v>22.31089869222393</v>
      </c>
      <c r="D1836" s="9">
        <v>17.734722222225059</v>
      </c>
      <c r="E1836" s="1">
        <v>3.64967</v>
      </c>
      <c r="F1836" s="1">
        <v>5.6326099999999997</v>
      </c>
      <c r="G1836" s="1">
        <v>13.3459</v>
      </c>
      <c r="H1836" s="1">
        <v>4.99282</v>
      </c>
    </row>
    <row r="1837" spans="1:8" x14ac:dyDescent="0.3">
      <c r="A1837" t="e">
        <f t="shared" ref="A1837:A1868" si="74">A1787</f>
        <v>#REF!</v>
      </c>
      <c r="B1837">
        <v>1675</v>
      </c>
      <c r="C1837" s="1">
        <v>21.86326616502997</v>
      </c>
      <c r="D1837" s="9">
        <v>17.781944444447369</v>
      </c>
      <c r="E1837" s="1">
        <v>4.38659</v>
      </c>
      <c r="F1837" s="1">
        <v>6.63659</v>
      </c>
      <c r="G1837" s="1">
        <v>13.349399999999999</v>
      </c>
      <c r="H1837" s="1">
        <v>4.0845500000000001</v>
      </c>
    </row>
    <row r="1838" spans="1:8" x14ac:dyDescent="0.3">
      <c r="A1838">
        <f t="shared" si="74"/>
        <v>22</v>
      </c>
      <c r="B1838">
        <v>1725</v>
      </c>
      <c r="C1838" s="1">
        <v>21.385621701963679</v>
      </c>
      <c r="D1838" s="9">
        <v>17.829166666669678</v>
      </c>
      <c r="E1838" s="1">
        <v>5.2282200000000003</v>
      </c>
      <c r="F1838" s="1">
        <v>7.7018599999999999</v>
      </c>
      <c r="G1838" s="1">
        <v>13.439299999999999</v>
      </c>
      <c r="H1838" s="1">
        <v>3.0413800000000002</v>
      </c>
    </row>
    <row r="1839" spans="1:8" x14ac:dyDescent="0.3">
      <c r="A1839" t="e">
        <f t="shared" si="74"/>
        <v>#REF!</v>
      </c>
      <c r="B1839">
        <v>1775</v>
      </c>
      <c r="C1839" s="1">
        <v>21.092855416291869</v>
      </c>
      <c r="D1839" s="9">
        <v>17.876388888891988</v>
      </c>
      <c r="E1839" s="1">
        <v>5.8345099999999999</v>
      </c>
      <c r="F1839" s="1">
        <v>8.5573899999999998</v>
      </c>
      <c r="G1839" s="1">
        <v>13.588699999999999</v>
      </c>
      <c r="H1839" s="1">
        <v>1.9320299999999999</v>
      </c>
    </row>
    <row r="1840" spans="1:8" x14ac:dyDescent="0.3">
      <c r="A1840">
        <f t="shared" si="74"/>
        <v>13</v>
      </c>
      <c r="B1840">
        <v>1825</v>
      </c>
      <c r="C1840" s="1">
        <v>20.71697009664037</v>
      </c>
      <c r="D1840" s="9">
        <v>17.923611111114298</v>
      </c>
      <c r="E1840" s="1">
        <v>5.7996600000000003</v>
      </c>
      <c r="F1840" s="1">
        <v>8.9659899999999997</v>
      </c>
      <c r="G1840" s="1">
        <v>13.592000000000001</v>
      </c>
      <c r="H1840" s="1">
        <v>0.79639199999999999</v>
      </c>
    </row>
    <row r="1841" spans="1:8" x14ac:dyDescent="0.3">
      <c r="A1841" t="e">
        <f t="shared" si="74"/>
        <v>#REF!</v>
      </c>
      <c r="B1841">
        <v>1875</v>
      </c>
      <c r="C1841" s="1">
        <v>20.362032577731242</v>
      </c>
      <c r="D1841" s="9">
        <v>17.970833333336607</v>
      </c>
      <c r="E1841" s="1">
        <v>5.1242299999999998</v>
      </c>
      <c r="F1841" s="1">
        <v>9.0035500000000006</v>
      </c>
      <c r="G1841" s="1">
        <v>13.4697</v>
      </c>
      <c r="H1841" s="1">
        <v>-0.37711699999999998</v>
      </c>
    </row>
    <row r="1842" spans="1:8" x14ac:dyDescent="0.3">
      <c r="A1842">
        <f t="shared" si="74"/>
        <v>4</v>
      </c>
      <c r="B1842">
        <v>1925</v>
      </c>
      <c r="C1842" s="1">
        <v>19.94359096567085</v>
      </c>
      <c r="D1842" s="9">
        <v>18.018055555558917</v>
      </c>
      <c r="E1842" s="1">
        <v>4.19048</v>
      </c>
      <c r="F1842" s="1">
        <v>9.02379</v>
      </c>
      <c r="G1842" s="1">
        <v>13.451000000000001</v>
      </c>
      <c r="H1842" s="1">
        <v>-1.64222</v>
      </c>
    </row>
    <row r="1843" spans="1:8" x14ac:dyDescent="0.3">
      <c r="A1843" t="e">
        <f t="shared" si="74"/>
        <v>#REF!</v>
      </c>
      <c r="B1843">
        <v>1975</v>
      </c>
      <c r="C1843" s="1">
        <v>19.66117440295158</v>
      </c>
      <c r="D1843" s="9">
        <v>18.065277777781226</v>
      </c>
      <c r="E1843" s="1">
        <v>3.35338</v>
      </c>
      <c r="F1843" s="1">
        <v>9.0977399999999999</v>
      </c>
      <c r="G1843" s="1">
        <v>13.564</v>
      </c>
      <c r="H1843" s="1">
        <v>-2.9558399999999998</v>
      </c>
    </row>
    <row r="1844" spans="1:8" x14ac:dyDescent="0.3">
      <c r="A1844">
        <f t="shared" si="74"/>
        <v>20</v>
      </c>
      <c r="B1844">
        <v>2025</v>
      </c>
      <c r="C1844" s="1">
        <v>19.419963404964729</v>
      </c>
      <c r="D1844" s="9">
        <v>18.112500000003536</v>
      </c>
      <c r="E1844" s="1">
        <v>2.9120599999999999</v>
      </c>
      <c r="F1844" s="1">
        <v>9.0316799999999997</v>
      </c>
      <c r="G1844" s="1">
        <v>13.649800000000001</v>
      </c>
      <c r="H1844" s="1">
        <v>-4.1849699999999999</v>
      </c>
    </row>
    <row r="1845" spans="1:8" x14ac:dyDescent="0.3">
      <c r="A1845" t="e">
        <f t="shared" si="74"/>
        <v>#REF!</v>
      </c>
      <c r="B1845">
        <v>2075</v>
      </c>
      <c r="C1845" s="1">
        <v>19.27</v>
      </c>
      <c r="D1845" s="9">
        <v>18.159722222225845</v>
      </c>
      <c r="E1845" s="1">
        <v>2.8288099999999998</v>
      </c>
      <c r="F1845" s="1">
        <v>8.8070000000000004</v>
      </c>
      <c r="G1845" s="1">
        <v>13.7012</v>
      </c>
      <c r="H1845" s="1">
        <v>-5.2250800000000002</v>
      </c>
    </row>
    <row r="1846" spans="1:8" x14ac:dyDescent="0.3">
      <c r="A1846">
        <f t="shared" si="74"/>
        <v>11</v>
      </c>
      <c r="B1846">
        <v>2125</v>
      </c>
      <c r="C1846" s="1">
        <v>19.190000000000001</v>
      </c>
      <c r="D1846" s="9">
        <v>18.206944444448155</v>
      </c>
      <c r="E1846" s="1">
        <v>2.7683</v>
      </c>
      <c r="F1846" s="1">
        <v>8.5757100000000008</v>
      </c>
      <c r="G1846" s="1">
        <v>13.849600000000001</v>
      </c>
      <c r="H1846" s="1">
        <v>-5.9984999999999999</v>
      </c>
    </row>
    <row r="1847" spans="1:8" x14ac:dyDescent="0.3">
      <c r="A1847" t="e">
        <f t="shared" si="74"/>
        <v>#REF!</v>
      </c>
      <c r="B1847">
        <v>2175</v>
      </c>
      <c r="C1847" s="1">
        <v>19.170000000000002</v>
      </c>
      <c r="D1847" s="9">
        <v>18.254166666670464</v>
      </c>
      <c r="E1847" s="1">
        <v>2.6634799999999998</v>
      </c>
      <c r="F1847" s="1">
        <v>8.4588400000000004</v>
      </c>
      <c r="G1847" s="1">
        <v>14.042999999999999</v>
      </c>
      <c r="H1847" s="1">
        <v>-6.3750799999999996</v>
      </c>
    </row>
    <row r="1848" spans="1:8" x14ac:dyDescent="0.3">
      <c r="A1848">
        <f t="shared" si="74"/>
        <v>2</v>
      </c>
      <c r="B1848">
        <v>2225</v>
      </c>
      <c r="C1848" s="1">
        <v>19.22</v>
      </c>
      <c r="D1848" s="9">
        <v>18.301388888892774</v>
      </c>
      <c r="E1848" s="1">
        <v>2.69591</v>
      </c>
      <c r="F1848" s="1">
        <v>8.5333600000000001</v>
      </c>
      <c r="G1848" s="1">
        <v>14.065799999999999</v>
      </c>
      <c r="H1848" s="1">
        <v>-6.1867700000000001</v>
      </c>
    </row>
    <row r="1849" spans="1:8" x14ac:dyDescent="0.3">
      <c r="A1849" t="e">
        <f t="shared" si="74"/>
        <v>#REF!</v>
      </c>
      <c r="B1849">
        <v>2275</v>
      </c>
      <c r="C1849" s="1">
        <v>19.437595272861479</v>
      </c>
      <c r="D1849" s="9">
        <v>18.348611111115083</v>
      </c>
      <c r="E1849" s="1">
        <v>2.8441999999999998</v>
      </c>
      <c r="F1849" s="1">
        <v>8.6897099999999998</v>
      </c>
      <c r="G1849" s="1">
        <v>13.9291</v>
      </c>
      <c r="H1849" s="1">
        <v>-5.4920099999999996</v>
      </c>
    </row>
    <row r="1850" spans="1:8" x14ac:dyDescent="0.3">
      <c r="A1850">
        <f t="shared" si="74"/>
        <v>18</v>
      </c>
      <c r="B1850">
        <v>2325</v>
      </c>
      <c r="C1850" s="1">
        <v>19.763298771944299</v>
      </c>
      <c r="D1850" s="9">
        <v>18.395833333337393</v>
      </c>
      <c r="E1850" s="1">
        <v>2.9005399999999999</v>
      </c>
      <c r="F1850" s="1">
        <v>8.6584699999999994</v>
      </c>
      <c r="G1850" s="1">
        <v>13.848599999999999</v>
      </c>
      <c r="H1850" s="1">
        <v>-4.5526999999999997</v>
      </c>
    </row>
    <row r="1851" spans="1:8" x14ac:dyDescent="0.3">
      <c r="A1851" t="e">
        <f t="shared" si="74"/>
        <v>#REF!</v>
      </c>
      <c r="B1851">
        <v>2375</v>
      </c>
      <c r="C1851" s="1">
        <v>20.202540363209401</v>
      </c>
      <c r="D1851" s="9">
        <v>18.443055555559702</v>
      </c>
      <c r="E1851" s="1">
        <v>2.84673</v>
      </c>
      <c r="F1851" s="1">
        <v>8.3924699999999994</v>
      </c>
      <c r="G1851" s="1">
        <v>13.8414</v>
      </c>
      <c r="H1851" s="1">
        <v>-3.5171000000000001</v>
      </c>
    </row>
    <row r="1852" spans="1:8" x14ac:dyDescent="0.3">
      <c r="A1852">
        <f t="shared" si="74"/>
        <v>9</v>
      </c>
      <c r="B1852">
        <v>2425</v>
      </c>
      <c r="C1852" s="1">
        <v>20.75665614501494</v>
      </c>
      <c r="D1852" s="9">
        <v>18.490277777782012</v>
      </c>
      <c r="E1852" s="1">
        <v>2.8342200000000002</v>
      </c>
      <c r="F1852" s="1">
        <v>8.0564199999999992</v>
      </c>
      <c r="G1852" s="1">
        <v>13.7462</v>
      </c>
      <c r="H1852" s="1">
        <v>-2.4210500000000001</v>
      </c>
    </row>
    <row r="1853" spans="1:8" x14ac:dyDescent="0.3">
      <c r="A1853">
        <f t="shared" si="74"/>
        <v>0</v>
      </c>
      <c r="B1853">
        <v>2475</v>
      </c>
      <c r="C1853" s="1">
        <v>21.31112301110894</v>
      </c>
      <c r="D1853" s="9">
        <v>18.537500000004322</v>
      </c>
      <c r="E1853" s="1">
        <v>2.7909099999999998</v>
      </c>
      <c r="F1853" s="1">
        <v>7.8397699999999997</v>
      </c>
      <c r="G1853" s="1">
        <v>13.623100000000001</v>
      </c>
      <c r="H1853" s="1">
        <v>-1.27057</v>
      </c>
    </row>
    <row r="1854" spans="1:8" x14ac:dyDescent="0.3">
      <c r="A1854">
        <f t="shared" si="74"/>
        <v>25</v>
      </c>
      <c r="B1854">
        <v>2525</v>
      </c>
      <c r="C1854" s="1">
        <v>21.837142486637671</v>
      </c>
      <c r="D1854" s="9">
        <v>18.584722222226631</v>
      </c>
      <c r="E1854" s="1">
        <v>2.4472499999999999</v>
      </c>
      <c r="F1854" s="1">
        <v>7.93248</v>
      </c>
      <c r="G1854" s="1">
        <v>13.727399999999999</v>
      </c>
      <c r="H1854" s="1">
        <v>-5.0396999999999997E-2</v>
      </c>
    </row>
    <row r="1855" spans="1:8" x14ac:dyDescent="0.3">
      <c r="A1855" t="e">
        <f t="shared" si="74"/>
        <v>#REF!</v>
      </c>
      <c r="B1855">
        <v>2575</v>
      </c>
      <c r="C1855" s="1">
        <v>22.245353334388419</v>
      </c>
      <c r="D1855" s="9">
        <v>18.631944444448941</v>
      </c>
      <c r="E1855" s="1">
        <v>1.80088</v>
      </c>
      <c r="F1855" s="1">
        <v>8.2294699999999992</v>
      </c>
      <c r="G1855" s="1">
        <v>14.043699999999999</v>
      </c>
      <c r="H1855" s="1">
        <v>1.2132700000000001</v>
      </c>
    </row>
    <row r="1856" spans="1:8" x14ac:dyDescent="0.3">
      <c r="A1856">
        <f t="shared" si="74"/>
        <v>16</v>
      </c>
      <c r="B1856">
        <v>2625</v>
      </c>
      <c r="C1856" s="1">
        <v>22.571575860542389</v>
      </c>
      <c r="D1856" s="9">
        <v>18.67916666667125</v>
      </c>
      <c r="E1856" s="1">
        <v>1.10267</v>
      </c>
      <c r="F1856" s="1">
        <v>8.3676399999999997</v>
      </c>
      <c r="G1856" s="1">
        <v>14.3072</v>
      </c>
      <c r="H1856" s="1">
        <v>2.4550700000000001</v>
      </c>
    </row>
    <row r="1857" spans="1:8" x14ac:dyDescent="0.3">
      <c r="A1857" t="e">
        <f t="shared" si="74"/>
        <v>#REF!</v>
      </c>
      <c r="B1857">
        <v>2675</v>
      </c>
      <c r="C1857" s="1">
        <v>22.95341841134837</v>
      </c>
      <c r="D1857" s="9">
        <v>18.72638888889356</v>
      </c>
      <c r="E1857" s="1">
        <v>0.64416099999999998</v>
      </c>
      <c r="F1857" s="1">
        <v>8.2305799999999998</v>
      </c>
      <c r="G1857" s="1">
        <v>14.3329</v>
      </c>
      <c r="H1857" s="1">
        <v>3.5948500000000001</v>
      </c>
    </row>
    <row r="1858" spans="1:8" x14ac:dyDescent="0.3">
      <c r="A1858">
        <f t="shared" si="74"/>
        <v>7</v>
      </c>
      <c r="B1858">
        <v>2725</v>
      </c>
      <c r="C1858" s="1">
        <v>23.444181853609361</v>
      </c>
      <c r="D1858" s="9">
        <v>18.773611111115869</v>
      </c>
      <c r="E1858" s="1">
        <v>0.72895299999999996</v>
      </c>
      <c r="F1858" s="1">
        <v>7.9439500000000001</v>
      </c>
      <c r="G1858" s="1">
        <v>14.0283</v>
      </c>
      <c r="H1858" s="1">
        <v>4.54169</v>
      </c>
    </row>
    <row r="1859" spans="1:8" x14ac:dyDescent="0.3">
      <c r="A1859" t="e">
        <f t="shared" si="74"/>
        <v>#REF!</v>
      </c>
      <c r="B1859">
        <v>2775</v>
      </c>
      <c r="C1859" s="1">
        <v>23.8457816242151</v>
      </c>
      <c r="D1859" s="9">
        <v>18.820833333338179</v>
      </c>
      <c r="E1859" s="1">
        <v>1.3395699999999999</v>
      </c>
      <c r="F1859" s="1">
        <v>7.7842900000000004</v>
      </c>
      <c r="G1859" s="1">
        <v>13.528499999999999</v>
      </c>
      <c r="H1859" s="1">
        <v>5.2300599999999999</v>
      </c>
    </row>
    <row r="1860" spans="1:8" x14ac:dyDescent="0.3">
      <c r="A1860">
        <f t="shared" si="74"/>
        <v>23</v>
      </c>
      <c r="B1860">
        <v>2825</v>
      </c>
      <c r="C1860" s="1">
        <v>24.11</v>
      </c>
      <c r="D1860" s="9">
        <v>18.868055555560488</v>
      </c>
      <c r="E1860" s="1">
        <v>2.1661600000000001</v>
      </c>
      <c r="F1860" s="1">
        <v>8.1414100000000005</v>
      </c>
      <c r="G1860" s="1">
        <v>13.167299999999999</v>
      </c>
      <c r="H1860" s="1">
        <v>5.6252899999999997</v>
      </c>
    </row>
    <row r="1861" spans="1:8" x14ac:dyDescent="0.3">
      <c r="A1861" t="e">
        <f t="shared" si="74"/>
        <v>#REF!</v>
      </c>
      <c r="B1861">
        <v>2875</v>
      </c>
      <c r="C1861" s="1">
        <v>24.3</v>
      </c>
      <c r="D1861" s="9">
        <v>18.915277777782798</v>
      </c>
      <c r="E1861" s="1">
        <v>2.89669</v>
      </c>
      <c r="F1861" s="1">
        <v>9.0870300000000004</v>
      </c>
      <c r="G1861" s="1">
        <v>13.202199999999999</v>
      </c>
      <c r="H1861" s="1">
        <v>5.8389300000000004</v>
      </c>
    </row>
    <row r="1862" spans="1:8" x14ac:dyDescent="0.3">
      <c r="A1862">
        <f t="shared" si="74"/>
        <v>14</v>
      </c>
      <c r="B1862">
        <v>2925</v>
      </c>
      <c r="C1862" s="1">
        <v>24.20162739679877</v>
      </c>
      <c r="D1862" s="9">
        <v>18.962500000005107</v>
      </c>
      <c r="E1862" s="1">
        <v>3.2470500000000002</v>
      </c>
      <c r="F1862" s="1">
        <v>10.3957</v>
      </c>
      <c r="G1862" s="1">
        <v>13.802199999999999</v>
      </c>
      <c r="H1862" s="1">
        <v>6.1027300000000002</v>
      </c>
    </row>
    <row r="1863" spans="1:8" x14ac:dyDescent="0.3">
      <c r="A1863" t="e">
        <f t="shared" si="74"/>
        <v>#REF!</v>
      </c>
      <c r="B1863">
        <v>2975</v>
      </c>
      <c r="C1863" s="1">
        <v>24.07</v>
      </c>
      <c r="D1863" s="9">
        <v>19.009722222227417</v>
      </c>
      <c r="E1863" s="1">
        <v>3.3269899999999999</v>
      </c>
      <c r="F1863" s="1">
        <v>11.7598</v>
      </c>
      <c r="G1863" s="1">
        <v>14.882199999999999</v>
      </c>
      <c r="H1863" s="1">
        <v>6.4547800000000004</v>
      </c>
    </row>
    <row r="1864" spans="1:8" x14ac:dyDescent="0.3">
      <c r="A1864">
        <f t="shared" si="74"/>
        <v>5</v>
      </c>
      <c r="B1864">
        <v>3025</v>
      </c>
      <c r="C1864" s="1">
        <v>23.964888210058341</v>
      </c>
      <c r="D1864" s="9">
        <v>19.056944444449726</v>
      </c>
      <c r="E1864" s="1">
        <v>3.5883099999999999</v>
      </c>
      <c r="F1864" s="1">
        <v>12.8109</v>
      </c>
      <c r="G1864" s="1">
        <v>16.130199999999999</v>
      </c>
      <c r="H1864" s="1">
        <v>6.7646100000000002</v>
      </c>
    </row>
    <row r="1865" spans="1:8" x14ac:dyDescent="0.3">
      <c r="A1865" t="e">
        <f t="shared" si="74"/>
        <v>#REF!</v>
      </c>
      <c r="B1865">
        <v>3075</v>
      </c>
      <c r="C1865" s="1">
        <v>23.751073742300111</v>
      </c>
      <c r="D1865" s="9">
        <v>19.104166666672036</v>
      </c>
      <c r="E1865" s="1">
        <v>4.2222600000000003</v>
      </c>
      <c r="F1865" s="1">
        <v>13.2758</v>
      </c>
      <c r="G1865" s="1">
        <v>17.2195</v>
      </c>
      <c r="H1865" s="1">
        <v>7.0725600000000002</v>
      </c>
    </row>
    <row r="1866" spans="1:8" x14ac:dyDescent="0.3">
      <c r="A1866">
        <f t="shared" si="74"/>
        <v>21</v>
      </c>
      <c r="B1866">
        <v>3125</v>
      </c>
      <c r="C1866" s="1">
        <v>23.369538489466841</v>
      </c>
      <c r="D1866" s="9">
        <v>19.151388888894346</v>
      </c>
      <c r="E1866" s="1">
        <v>5.1639900000000001</v>
      </c>
      <c r="F1866" s="1">
        <v>13</v>
      </c>
      <c r="G1866" s="1">
        <v>17.8415</v>
      </c>
      <c r="H1866" s="1">
        <v>7.5664499999999997</v>
      </c>
    </row>
    <row r="1867" spans="1:8" x14ac:dyDescent="0.3">
      <c r="A1867" t="e">
        <f t="shared" si="74"/>
        <v>#REF!</v>
      </c>
      <c r="B1867">
        <v>3175</v>
      </c>
      <c r="C1867" s="1">
        <v>22.96812515644552</v>
      </c>
      <c r="D1867" s="9">
        <v>19.198611111116655</v>
      </c>
      <c r="E1867" s="1">
        <v>6.2469900000000003</v>
      </c>
      <c r="F1867" s="1">
        <v>12.122</v>
      </c>
      <c r="G1867" s="1">
        <v>17.940000000000001</v>
      </c>
      <c r="H1867" s="1">
        <v>8.3293300000000006</v>
      </c>
    </row>
    <row r="1868" spans="1:8" x14ac:dyDescent="0.3">
      <c r="A1868">
        <f t="shared" si="74"/>
        <v>12</v>
      </c>
      <c r="B1868">
        <v>3225</v>
      </c>
      <c r="C1868" s="1">
        <v>22.606348847717999</v>
      </c>
      <c r="D1868" s="9">
        <v>19.245833333338965</v>
      </c>
      <c r="E1868" s="1">
        <v>7.2448600000000001</v>
      </c>
      <c r="F1868" s="1">
        <v>11.008100000000001</v>
      </c>
      <c r="G1868" s="1">
        <v>17.6694</v>
      </c>
      <c r="H1868" s="1">
        <v>9.3483999999999998</v>
      </c>
    </row>
    <row r="1869" spans="1:8" x14ac:dyDescent="0.3">
      <c r="A1869" t="e">
        <f t="shared" ref="A1869:A1875" si="75">A1819</f>
        <v>#REF!</v>
      </c>
      <c r="B1869">
        <v>3275</v>
      </c>
      <c r="C1869" s="1">
        <v>22.20192080197473</v>
      </c>
      <c r="D1869" s="9">
        <v>19.293055555561274</v>
      </c>
      <c r="E1869" s="1">
        <v>8.1438199999999998</v>
      </c>
      <c r="F1869" s="1">
        <v>10.0199</v>
      </c>
      <c r="G1869" s="1">
        <v>17.2392</v>
      </c>
      <c r="H1869" s="1">
        <v>10.5684</v>
      </c>
    </row>
    <row r="1870" spans="1:8" x14ac:dyDescent="0.3">
      <c r="A1870">
        <f t="shared" si="75"/>
        <v>3</v>
      </c>
      <c r="B1870">
        <v>3325</v>
      </c>
      <c r="C1870" s="1">
        <v>21.841088683132821</v>
      </c>
      <c r="D1870" s="9">
        <v>19.340277777783584</v>
      </c>
      <c r="E1870" s="1">
        <v>9.2943099999999994</v>
      </c>
      <c r="F1870" s="1">
        <v>9.9652700000000003</v>
      </c>
      <c r="G1870" s="1">
        <v>17.052199999999999</v>
      </c>
      <c r="H1870" s="1">
        <v>11.9398</v>
      </c>
    </row>
    <row r="1871" spans="1:8" x14ac:dyDescent="0.3">
      <c r="A1871" t="e">
        <f t="shared" si="75"/>
        <v>#REF!</v>
      </c>
      <c r="B1871">
        <v>3375</v>
      </c>
      <c r="C1871" s="1">
        <v>21.54589495741514</v>
      </c>
      <c r="D1871" s="9">
        <v>19.387500000005893</v>
      </c>
      <c r="E1871" s="1">
        <v>10.944100000000001</v>
      </c>
      <c r="F1871" s="1">
        <v>11.2597</v>
      </c>
      <c r="G1871" s="1">
        <v>17.252300000000002</v>
      </c>
      <c r="H1871" s="1">
        <v>13.3759</v>
      </c>
    </row>
    <row r="1872" spans="1:8" x14ac:dyDescent="0.3">
      <c r="A1872">
        <f t="shared" si="75"/>
        <v>19</v>
      </c>
      <c r="B1872">
        <v>3425</v>
      </c>
      <c r="C1872" s="1">
        <v>21.190434611737139</v>
      </c>
      <c r="D1872" s="9">
        <v>19.434722222228203</v>
      </c>
      <c r="E1872" s="1">
        <v>12.7722</v>
      </c>
      <c r="F1872" s="1">
        <v>12.924200000000001</v>
      </c>
      <c r="G1872" s="1">
        <v>17.593499999999999</v>
      </c>
      <c r="H1872" s="1">
        <v>14.785</v>
      </c>
    </row>
    <row r="1873" spans="1:8" x14ac:dyDescent="0.3">
      <c r="A1873" t="e">
        <f t="shared" si="75"/>
        <v>#REF!</v>
      </c>
      <c r="B1873">
        <v>3475</v>
      </c>
      <c r="C1873" s="1">
        <v>20.67570149033374</v>
      </c>
      <c r="D1873" s="9">
        <v>19.481944444450512</v>
      </c>
      <c r="E1873" s="1">
        <v>14.6814</v>
      </c>
      <c r="F1873" s="1">
        <v>14.7509</v>
      </c>
      <c r="G1873" s="1">
        <v>18.0611</v>
      </c>
      <c r="H1873" s="1">
        <v>16.174700000000001</v>
      </c>
    </row>
    <row r="1874" spans="1:8" x14ac:dyDescent="0.3">
      <c r="A1874">
        <f t="shared" si="75"/>
        <v>10</v>
      </c>
      <c r="B1874">
        <v>3525</v>
      </c>
      <c r="C1874" s="1">
        <v>20.250998220884071</v>
      </c>
      <c r="D1874" s="9">
        <v>19.529166666672822</v>
      </c>
      <c r="E1874" s="1">
        <v>16.632200000000001</v>
      </c>
      <c r="F1874" s="1">
        <v>16.659099999999999</v>
      </c>
      <c r="G1874" s="1">
        <v>18.624300000000002</v>
      </c>
      <c r="H1874" s="1">
        <v>17.551400000000001</v>
      </c>
    </row>
    <row r="1875" spans="1:8" x14ac:dyDescent="0.3">
      <c r="A1875" t="e">
        <f t="shared" si="75"/>
        <v>#REF!</v>
      </c>
      <c r="B1875">
        <v>3575</v>
      </c>
      <c r="C1875" s="1">
        <v>19.819900230851839</v>
      </c>
      <c r="D1875" s="9">
        <v>19.576388888895131</v>
      </c>
      <c r="E1875" s="1">
        <v>18.6068</v>
      </c>
      <c r="F1875" s="1">
        <v>18.612400000000001</v>
      </c>
      <c r="G1875" s="1">
        <v>19.260100000000001</v>
      </c>
      <c r="H1875" s="1">
        <v>18.918900000000001</v>
      </c>
    </row>
    <row r="1876" spans="1:8" x14ac:dyDescent="0.3">
      <c r="A1876">
        <v>26</v>
      </c>
      <c r="B1876">
        <v>26</v>
      </c>
      <c r="C1876" s="1">
        <v>16.170000000000002</v>
      </c>
      <c r="D1876" s="9">
        <v>16.2245555555556</v>
      </c>
      <c r="E1876" s="1">
        <v>15.2362</v>
      </c>
      <c r="F1876" s="1">
        <v>15.172000000000001</v>
      </c>
      <c r="G1876" s="1">
        <v>15.883599999999999</v>
      </c>
      <c r="H1876" s="1">
        <v>15.230700000000001</v>
      </c>
    </row>
    <row r="1877" spans="1:8" x14ac:dyDescent="0.3">
      <c r="A1877" t="e">
        <f t="shared" ref="A1877:A1908" si="76">A1827</f>
        <v>#REF!</v>
      </c>
      <c r="B1877">
        <v>76</v>
      </c>
      <c r="C1877" s="1">
        <v>16.22</v>
      </c>
      <c r="D1877" s="9">
        <v>16.27177777777791</v>
      </c>
      <c r="E1877" s="1">
        <v>13.4001</v>
      </c>
      <c r="F1877" s="1">
        <v>13.2164</v>
      </c>
      <c r="G1877" s="1">
        <v>15.316800000000001</v>
      </c>
      <c r="H1877" s="1">
        <v>13.3599</v>
      </c>
    </row>
    <row r="1878" spans="1:8" x14ac:dyDescent="0.3">
      <c r="A1878">
        <f t="shared" si="76"/>
        <v>17</v>
      </c>
      <c r="B1878">
        <v>126</v>
      </c>
      <c r="C1878" s="1">
        <v>16.330233066118328</v>
      </c>
      <c r="D1878" s="9">
        <v>16.319000000000219</v>
      </c>
      <c r="E1878" s="1">
        <v>11.5945</v>
      </c>
      <c r="F1878" s="1">
        <v>11.3043</v>
      </c>
      <c r="G1878" s="1">
        <v>14.8157</v>
      </c>
      <c r="H1878" s="1">
        <v>11.479200000000001</v>
      </c>
    </row>
    <row r="1879" spans="1:8" x14ac:dyDescent="0.3">
      <c r="A1879" t="e">
        <f t="shared" si="76"/>
        <v>#REF!</v>
      </c>
      <c r="B1879">
        <v>176</v>
      </c>
      <c r="C1879" s="1">
        <v>16.54196278400639</v>
      </c>
      <c r="D1879" s="9">
        <v>16.366222222222529</v>
      </c>
      <c r="E1879" s="1">
        <v>9.8348899999999997</v>
      </c>
      <c r="F1879" s="1">
        <v>9.4699299999999997</v>
      </c>
      <c r="G1879" s="1">
        <v>14.3971</v>
      </c>
      <c r="H1879" s="1">
        <v>9.5883800000000008</v>
      </c>
    </row>
    <row r="1880" spans="1:8" x14ac:dyDescent="0.3">
      <c r="A1880">
        <f t="shared" si="76"/>
        <v>8</v>
      </c>
      <c r="B1880">
        <v>226</v>
      </c>
      <c r="C1880" s="1">
        <v>16.86</v>
      </c>
      <c r="D1880" s="9">
        <v>16.413444444444838</v>
      </c>
      <c r="E1880" s="1">
        <v>8.1503700000000006</v>
      </c>
      <c r="F1880" s="1">
        <v>7.7891700000000004</v>
      </c>
      <c r="G1880" s="1">
        <v>14.076599999999999</v>
      </c>
      <c r="H1880" s="1">
        <v>7.6915500000000003</v>
      </c>
    </row>
    <row r="1881" spans="1:8" x14ac:dyDescent="0.3">
      <c r="A1881" t="e">
        <f t="shared" si="76"/>
        <v>#REF!</v>
      </c>
      <c r="B1881">
        <v>276</v>
      </c>
      <c r="C1881" s="1">
        <v>16.997733132314529</v>
      </c>
      <c r="D1881" s="9">
        <v>16.460666666667148</v>
      </c>
      <c r="E1881" s="1">
        <v>6.60372</v>
      </c>
      <c r="F1881" s="1">
        <v>6.4627499999999998</v>
      </c>
      <c r="G1881" s="1">
        <v>13.837199999999999</v>
      </c>
      <c r="H1881" s="1">
        <v>5.8219900000000004</v>
      </c>
    </row>
    <row r="1882" spans="1:8" x14ac:dyDescent="0.3">
      <c r="A1882">
        <f t="shared" si="76"/>
        <v>24</v>
      </c>
      <c r="B1882">
        <v>326</v>
      </c>
      <c r="C1882" s="1">
        <v>17.198732112537058</v>
      </c>
      <c r="D1882" s="9">
        <v>16.507888888889457</v>
      </c>
      <c r="E1882" s="1">
        <v>5.5102500000000001</v>
      </c>
      <c r="F1882" s="1">
        <v>6.24641</v>
      </c>
      <c r="G1882" s="1">
        <v>13.8857</v>
      </c>
      <c r="H1882" s="1">
        <v>4.36775</v>
      </c>
    </row>
    <row r="1883" spans="1:8" x14ac:dyDescent="0.3">
      <c r="A1883" t="e">
        <f t="shared" si="76"/>
        <v>#REF!</v>
      </c>
      <c r="B1883">
        <v>376</v>
      </c>
      <c r="C1883" s="1">
        <v>17.42449556087271</v>
      </c>
      <c r="D1883" s="9">
        <v>16.555111111111767</v>
      </c>
      <c r="E1883" s="1">
        <v>4.7861500000000001</v>
      </c>
      <c r="F1883" s="1">
        <v>6.5731599999999997</v>
      </c>
      <c r="G1883" s="1">
        <v>14.058199999999999</v>
      </c>
      <c r="H1883" s="1">
        <v>3.3509099999999998</v>
      </c>
    </row>
    <row r="1884" spans="1:8" x14ac:dyDescent="0.3">
      <c r="A1884">
        <f t="shared" si="76"/>
        <v>15</v>
      </c>
      <c r="B1884">
        <v>426</v>
      </c>
      <c r="C1884" s="1">
        <v>17.658568859547469</v>
      </c>
      <c r="D1884" s="9">
        <v>16.602333333334077</v>
      </c>
      <c r="E1884" s="1">
        <v>4.3154599999999999</v>
      </c>
      <c r="F1884" s="1">
        <v>6.7406699999999997</v>
      </c>
      <c r="G1884" s="1">
        <v>13.9998</v>
      </c>
      <c r="H1884" s="1">
        <v>2.6959900000000001</v>
      </c>
    </row>
    <row r="1885" spans="1:8" x14ac:dyDescent="0.3">
      <c r="A1885" t="e">
        <f t="shared" si="76"/>
        <v>#REF!</v>
      </c>
      <c r="B1885">
        <v>476</v>
      </c>
      <c r="C1885" s="1">
        <v>17.829999999999998</v>
      </c>
      <c r="D1885" s="9">
        <v>16.649555555556386</v>
      </c>
      <c r="E1885" s="1">
        <v>3.9287100000000001</v>
      </c>
      <c r="F1885" s="1">
        <v>6.5361399999999996</v>
      </c>
      <c r="G1885" s="1">
        <v>13.7027</v>
      </c>
      <c r="H1885" s="1">
        <v>2.2509899999999998</v>
      </c>
    </row>
    <row r="1886" spans="1:8" x14ac:dyDescent="0.3">
      <c r="A1886">
        <f t="shared" si="76"/>
        <v>6</v>
      </c>
      <c r="B1886">
        <v>526</v>
      </c>
      <c r="C1886" s="1">
        <v>18.055586104701629</v>
      </c>
      <c r="D1886" s="9">
        <v>16.696777777778696</v>
      </c>
      <c r="E1886" s="1">
        <v>3.3101400000000001</v>
      </c>
      <c r="F1886" s="1">
        <v>5.9115599999999997</v>
      </c>
      <c r="G1886" s="1">
        <v>13.360099999999999</v>
      </c>
      <c r="H1886" s="1">
        <v>1.68787</v>
      </c>
    </row>
    <row r="1887" spans="1:8" x14ac:dyDescent="0.3">
      <c r="A1887" t="e">
        <f t="shared" si="76"/>
        <v>#REF!</v>
      </c>
      <c r="B1887">
        <v>576</v>
      </c>
      <c r="C1887" s="1">
        <v>18.2685396239375</v>
      </c>
      <c r="D1887" s="9">
        <v>16.744000000001005</v>
      </c>
      <c r="E1887" s="1">
        <v>2.4264100000000002</v>
      </c>
      <c r="F1887" s="1">
        <v>4.96427</v>
      </c>
      <c r="G1887" s="1">
        <v>13.0252</v>
      </c>
      <c r="H1887" s="1">
        <v>0.95670200000000005</v>
      </c>
    </row>
    <row r="1888" spans="1:8" x14ac:dyDescent="0.3">
      <c r="A1888">
        <f t="shared" si="76"/>
        <v>22</v>
      </c>
      <c r="B1888">
        <v>626</v>
      </c>
      <c r="C1888" s="1">
        <v>18.46974559598101</v>
      </c>
      <c r="D1888" s="9">
        <v>16.791222222223315</v>
      </c>
      <c r="E1888" s="1">
        <v>1.53179</v>
      </c>
      <c r="F1888" s="1">
        <v>3.9322699999999999</v>
      </c>
      <c r="G1888" s="1">
        <v>12.6143</v>
      </c>
      <c r="H1888" s="1">
        <v>0.29270699999999999</v>
      </c>
    </row>
    <row r="1889" spans="1:8" x14ac:dyDescent="0.3">
      <c r="A1889" t="e">
        <f t="shared" si="76"/>
        <v>#REF!</v>
      </c>
      <c r="B1889">
        <v>676</v>
      </c>
      <c r="C1889" s="1">
        <v>18.571494704992439</v>
      </c>
      <c r="D1889" s="9">
        <v>16.838444444445624</v>
      </c>
      <c r="E1889" s="1">
        <v>0.87008600000000003</v>
      </c>
      <c r="F1889" s="1">
        <v>3.0427399999999998</v>
      </c>
      <c r="G1889" s="1">
        <v>12.2281</v>
      </c>
      <c r="H1889" s="1">
        <v>-2.9127699999999999E-2</v>
      </c>
    </row>
    <row r="1890" spans="1:8" x14ac:dyDescent="0.3">
      <c r="A1890">
        <f t="shared" si="76"/>
        <v>13</v>
      </c>
      <c r="B1890">
        <v>726</v>
      </c>
      <c r="C1890" s="1">
        <v>18.745925391913229</v>
      </c>
      <c r="D1890" s="9">
        <v>16.885666666667934</v>
      </c>
      <c r="E1890" s="1">
        <v>0.64638300000000004</v>
      </c>
      <c r="F1890" s="1">
        <v>2.4883299999999999</v>
      </c>
      <c r="G1890" s="1">
        <v>12.133699999999999</v>
      </c>
      <c r="H1890" s="1">
        <v>0.27196500000000001</v>
      </c>
    </row>
    <row r="1891" spans="1:8" x14ac:dyDescent="0.3">
      <c r="A1891" t="e">
        <f t="shared" si="76"/>
        <v>#REF!</v>
      </c>
      <c r="B1891">
        <v>776</v>
      </c>
      <c r="C1891" s="1">
        <v>18.897495681804841</v>
      </c>
      <c r="D1891" s="9">
        <v>16.932888888890243</v>
      </c>
      <c r="E1891" s="1">
        <v>0.81166199999999999</v>
      </c>
      <c r="F1891" s="1">
        <v>2.20886</v>
      </c>
      <c r="G1891" s="1">
        <v>12.388199999999999</v>
      </c>
      <c r="H1891" s="1">
        <v>1.1434599999999999</v>
      </c>
    </row>
    <row r="1892" spans="1:8" x14ac:dyDescent="0.3">
      <c r="A1892">
        <f t="shared" si="76"/>
        <v>4</v>
      </c>
      <c r="B1892">
        <v>826</v>
      </c>
      <c r="C1892" s="1">
        <v>19.30871349503305</v>
      </c>
      <c r="D1892" s="9">
        <v>16.980111111112553</v>
      </c>
      <c r="E1892" s="1">
        <v>1.0935299999999999</v>
      </c>
      <c r="F1892" s="1">
        <v>1.9281299999999999</v>
      </c>
      <c r="G1892" s="1">
        <v>12.8444</v>
      </c>
      <c r="H1892" s="1">
        <v>2.2259000000000002</v>
      </c>
    </row>
    <row r="1893" spans="1:8" x14ac:dyDescent="0.3">
      <c r="A1893" t="e">
        <f t="shared" si="76"/>
        <v>#REF!</v>
      </c>
      <c r="B1893">
        <v>876</v>
      </c>
      <c r="C1893" s="1">
        <v>19.552388030228869</v>
      </c>
      <c r="D1893" s="9">
        <v>17.027333333334862</v>
      </c>
      <c r="E1893" s="1">
        <v>1.3930100000000001</v>
      </c>
      <c r="F1893" s="1">
        <v>1.6649400000000001</v>
      </c>
      <c r="G1893" s="1">
        <v>13.255599999999999</v>
      </c>
      <c r="H1893" s="1">
        <v>3.141</v>
      </c>
    </row>
    <row r="1894" spans="1:8" x14ac:dyDescent="0.3">
      <c r="A1894">
        <f t="shared" si="76"/>
        <v>20</v>
      </c>
      <c r="B1894">
        <v>926</v>
      </c>
      <c r="C1894" s="1">
        <v>19.821129988146978</v>
      </c>
      <c r="D1894" s="9">
        <v>17.074555555557172</v>
      </c>
      <c r="E1894" s="1">
        <v>1.77067</v>
      </c>
      <c r="F1894" s="1">
        <v>1.7042900000000001</v>
      </c>
      <c r="G1894" s="1">
        <v>13.3072</v>
      </c>
      <c r="H1894" s="1">
        <v>3.5211000000000001</v>
      </c>
    </row>
    <row r="1895" spans="1:8" x14ac:dyDescent="0.3">
      <c r="A1895" t="e">
        <f t="shared" si="76"/>
        <v>#REF!</v>
      </c>
      <c r="B1895">
        <v>976</v>
      </c>
      <c r="C1895" s="1">
        <v>20.181358110940351</v>
      </c>
      <c r="D1895" s="9">
        <v>17.121777777779482</v>
      </c>
      <c r="E1895" s="1">
        <v>2.1485599999999998</v>
      </c>
      <c r="F1895" s="1">
        <v>2.1065100000000001</v>
      </c>
      <c r="G1895" s="1">
        <v>13.0244</v>
      </c>
      <c r="H1895" s="1">
        <v>3.3434900000000001</v>
      </c>
    </row>
    <row r="1896" spans="1:8" x14ac:dyDescent="0.3">
      <c r="A1896">
        <f t="shared" si="76"/>
        <v>11</v>
      </c>
      <c r="B1896">
        <v>1026</v>
      </c>
      <c r="C1896" s="1">
        <v>20.598744705161089</v>
      </c>
      <c r="D1896" s="9">
        <v>17.169000000001791</v>
      </c>
      <c r="E1896" s="1">
        <v>2.3272699999999999</v>
      </c>
      <c r="F1896" s="1">
        <v>2.7124100000000002</v>
      </c>
      <c r="G1896" s="1">
        <v>12.7402</v>
      </c>
      <c r="H1896" s="1">
        <v>2.9030399999999998</v>
      </c>
    </row>
    <row r="1897" spans="1:8" x14ac:dyDescent="0.3">
      <c r="A1897" t="e">
        <f t="shared" si="76"/>
        <v>#REF!</v>
      </c>
      <c r="B1897">
        <v>1076</v>
      </c>
      <c r="C1897" s="1">
        <v>21.034936853661019</v>
      </c>
      <c r="D1897" s="9">
        <v>17.216222222224101</v>
      </c>
      <c r="E1897" s="1">
        <v>2.3174600000000001</v>
      </c>
      <c r="F1897" s="1">
        <v>3.2626599999999999</v>
      </c>
      <c r="G1897" s="1">
        <v>12.6472</v>
      </c>
      <c r="H1897" s="1">
        <v>2.56352</v>
      </c>
    </row>
    <row r="1898" spans="1:8" x14ac:dyDescent="0.3">
      <c r="A1898">
        <f t="shared" si="76"/>
        <v>2</v>
      </c>
      <c r="B1898">
        <v>1126</v>
      </c>
      <c r="C1898" s="1">
        <v>21.429737903945739</v>
      </c>
      <c r="D1898" s="9">
        <v>17.26344444444641</v>
      </c>
      <c r="E1898" s="1">
        <v>2.31515</v>
      </c>
      <c r="F1898" s="1">
        <v>3.4329200000000002</v>
      </c>
      <c r="G1898" s="1">
        <v>12.7911</v>
      </c>
      <c r="H1898" s="1">
        <v>2.7212299999999998</v>
      </c>
    </row>
    <row r="1899" spans="1:8" x14ac:dyDescent="0.3">
      <c r="A1899" t="e">
        <f t="shared" si="76"/>
        <v>#REF!</v>
      </c>
      <c r="B1899">
        <v>1176</v>
      </c>
      <c r="C1899" s="1">
        <v>21.716940215373199</v>
      </c>
      <c r="D1899" s="9">
        <v>17.31066666666872</v>
      </c>
      <c r="E1899" s="1">
        <v>2.3107099999999998</v>
      </c>
      <c r="F1899" s="1">
        <v>3.26451</v>
      </c>
      <c r="G1899" s="1">
        <v>13.0419</v>
      </c>
      <c r="H1899" s="1">
        <v>3.3957999999999999</v>
      </c>
    </row>
    <row r="1900" spans="1:8" x14ac:dyDescent="0.3">
      <c r="A1900">
        <f t="shared" si="76"/>
        <v>18</v>
      </c>
      <c r="B1900">
        <v>1226</v>
      </c>
      <c r="C1900" s="1">
        <v>22.165636313528569</v>
      </c>
      <c r="D1900" s="9">
        <v>17.357888888891029</v>
      </c>
      <c r="E1900" s="1">
        <v>2.1148500000000001</v>
      </c>
      <c r="F1900" s="1">
        <v>3.1233900000000001</v>
      </c>
      <c r="G1900" s="1">
        <v>13.128299999999999</v>
      </c>
      <c r="H1900" s="1">
        <v>4.2671599999999996</v>
      </c>
    </row>
    <row r="1901" spans="1:8" x14ac:dyDescent="0.3">
      <c r="A1901" t="e">
        <f t="shared" si="76"/>
        <v>#REF!</v>
      </c>
      <c r="B1901">
        <v>1276</v>
      </c>
      <c r="C1901" s="1">
        <v>22.592613049025761</v>
      </c>
      <c r="D1901" s="9">
        <v>17.405111111113339</v>
      </c>
      <c r="E1901" s="1">
        <v>1.8041400000000001</v>
      </c>
      <c r="F1901" s="1">
        <v>3.1903199999999998</v>
      </c>
      <c r="G1901" s="1">
        <v>13.0528</v>
      </c>
      <c r="H1901" s="1">
        <v>5.0611100000000002</v>
      </c>
    </row>
    <row r="1902" spans="1:8" x14ac:dyDescent="0.3">
      <c r="A1902">
        <f t="shared" si="76"/>
        <v>9</v>
      </c>
      <c r="B1902">
        <v>1326</v>
      </c>
      <c r="C1902" s="1">
        <v>22.948879024000401</v>
      </c>
      <c r="D1902" s="9">
        <v>17.452333333335648</v>
      </c>
      <c r="E1902" s="1">
        <v>1.69217</v>
      </c>
      <c r="F1902" s="1">
        <v>3.4634200000000002</v>
      </c>
      <c r="G1902" s="1">
        <v>13.0594</v>
      </c>
      <c r="H1902" s="1">
        <v>5.5679299999999996</v>
      </c>
    </row>
    <row r="1903" spans="1:8" x14ac:dyDescent="0.3">
      <c r="A1903">
        <f t="shared" si="76"/>
        <v>0</v>
      </c>
      <c r="B1903">
        <v>1376</v>
      </c>
      <c r="C1903" s="1">
        <v>23.177713548765919</v>
      </c>
      <c r="D1903" s="9">
        <v>17.499555555557958</v>
      </c>
      <c r="E1903" s="1">
        <v>1.8970100000000001</v>
      </c>
      <c r="F1903" s="1">
        <v>3.8546399999999998</v>
      </c>
      <c r="G1903" s="1">
        <v>13.1586</v>
      </c>
      <c r="H1903" s="1">
        <v>5.8082000000000003</v>
      </c>
    </row>
    <row r="1904" spans="1:8" x14ac:dyDescent="0.3">
      <c r="A1904">
        <f t="shared" si="76"/>
        <v>25</v>
      </c>
      <c r="B1904">
        <v>1426</v>
      </c>
      <c r="C1904" s="1">
        <v>23.254742680872191</v>
      </c>
      <c r="D1904" s="9">
        <v>17.546777777780267</v>
      </c>
      <c r="E1904" s="1">
        <v>2.3458399999999999</v>
      </c>
      <c r="F1904" s="1">
        <v>4.2091799999999999</v>
      </c>
      <c r="G1904" s="1">
        <v>13.153</v>
      </c>
      <c r="H1904" s="1">
        <v>5.9963800000000003</v>
      </c>
    </row>
    <row r="1905" spans="1:8" x14ac:dyDescent="0.3">
      <c r="A1905" t="e">
        <f t="shared" si="76"/>
        <v>#REF!</v>
      </c>
      <c r="B1905">
        <v>1476</v>
      </c>
      <c r="C1905" s="1">
        <v>23.204950527098202</v>
      </c>
      <c r="D1905" s="9">
        <v>17.594000000002577</v>
      </c>
      <c r="E1905" s="1">
        <v>2.8456199999999998</v>
      </c>
      <c r="F1905" s="1">
        <v>4.4688999999999997</v>
      </c>
      <c r="G1905" s="1">
        <v>13.063499999999999</v>
      </c>
      <c r="H1905" s="1">
        <v>6.13856</v>
      </c>
    </row>
    <row r="1906" spans="1:8" x14ac:dyDescent="0.3">
      <c r="A1906">
        <f t="shared" si="76"/>
        <v>16</v>
      </c>
      <c r="B1906">
        <v>1526</v>
      </c>
      <c r="C1906" s="1">
        <v>22.98329686069459</v>
      </c>
      <c r="D1906" s="9">
        <v>17.641222222224886</v>
      </c>
      <c r="E1906" s="1">
        <v>3.12018</v>
      </c>
      <c r="F1906" s="1">
        <v>4.6713500000000003</v>
      </c>
      <c r="G1906" s="1">
        <v>13.102399999999999</v>
      </c>
      <c r="H1906" s="1">
        <v>6.0532300000000001</v>
      </c>
    </row>
    <row r="1907" spans="1:8" x14ac:dyDescent="0.3">
      <c r="A1907" t="e">
        <f t="shared" si="76"/>
        <v>#REF!</v>
      </c>
      <c r="B1907">
        <v>1576</v>
      </c>
      <c r="C1907" s="1">
        <v>22.67814084541676</v>
      </c>
      <c r="D1907" s="9">
        <v>17.688444444447196</v>
      </c>
      <c r="E1907" s="1">
        <v>3.2581699999999998</v>
      </c>
      <c r="F1907" s="1">
        <v>4.9793399999999997</v>
      </c>
      <c r="G1907" s="1">
        <v>13.2629</v>
      </c>
      <c r="H1907" s="1">
        <v>5.6599000000000004</v>
      </c>
    </row>
    <row r="1908" spans="1:8" x14ac:dyDescent="0.3">
      <c r="A1908">
        <f t="shared" si="76"/>
        <v>7</v>
      </c>
      <c r="B1908">
        <v>1626</v>
      </c>
      <c r="C1908" s="1">
        <v>22.298911654338148</v>
      </c>
      <c r="D1908" s="9">
        <v>17.735666666669506</v>
      </c>
      <c r="E1908" s="1">
        <v>3.6617600000000001</v>
      </c>
      <c r="F1908" s="1">
        <v>5.6502100000000004</v>
      </c>
      <c r="G1908" s="1">
        <v>13.3462</v>
      </c>
      <c r="H1908" s="1">
        <v>4.9766000000000004</v>
      </c>
    </row>
    <row r="1909" spans="1:8" x14ac:dyDescent="0.3">
      <c r="A1909" t="e">
        <f t="shared" ref="A1909:A1940" si="77">A1859</f>
        <v>#REF!</v>
      </c>
      <c r="B1909">
        <v>1676</v>
      </c>
      <c r="C1909" s="1">
        <v>21.855283042239559</v>
      </c>
      <c r="D1909" s="9">
        <v>17.782888888891815</v>
      </c>
      <c r="E1909" s="1">
        <v>4.4032600000000004</v>
      </c>
      <c r="F1909" s="1">
        <v>6.6582499999999998</v>
      </c>
      <c r="G1909" s="1">
        <v>13.3499</v>
      </c>
      <c r="H1909" s="1">
        <v>4.0646899999999997</v>
      </c>
    </row>
    <row r="1910" spans="1:8" x14ac:dyDescent="0.3">
      <c r="A1910">
        <f t="shared" si="77"/>
        <v>23</v>
      </c>
      <c r="B1910">
        <v>1726</v>
      </c>
      <c r="C1910" s="1">
        <v>21.37888267609166</v>
      </c>
      <c r="D1910" s="9">
        <v>17.830111111114125</v>
      </c>
      <c r="E1910" s="1">
        <v>5.2440499999999997</v>
      </c>
      <c r="F1910" s="1">
        <v>7.72187</v>
      </c>
      <c r="G1910" s="1">
        <v>13.442299999999999</v>
      </c>
      <c r="H1910" s="1">
        <v>3.0196900000000002</v>
      </c>
    </row>
    <row r="1911" spans="1:8" x14ac:dyDescent="0.3">
      <c r="A1911" t="e">
        <f t="shared" si="77"/>
        <v>#REF!</v>
      </c>
      <c r="B1911">
        <v>1776</v>
      </c>
      <c r="C1911" s="1">
        <v>21.084930198645569</v>
      </c>
      <c r="D1911" s="9">
        <v>17.877333333336434</v>
      </c>
      <c r="E1911" s="1">
        <v>5.8413199999999996</v>
      </c>
      <c r="F1911" s="1">
        <v>8.5706199999999999</v>
      </c>
      <c r="G1911" s="1">
        <v>13.5909</v>
      </c>
      <c r="H1911" s="1">
        <v>1.90947</v>
      </c>
    </row>
    <row r="1912" spans="1:8" x14ac:dyDescent="0.3">
      <c r="A1912">
        <f t="shared" si="77"/>
        <v>14</v>
      </c>
      <c r="B1912">
        <v>1826</v>
      </c>
      <c r="C1912" s="1">
        <v>20.712973389926699</v>
      </c>
      <c r="D1912" s="9">
        <v>17.924555555558744</v>
      </c>
      <c r="E1912" s="1">
        <v>5.7912400000000002</v>
      </c>
      <c r="F1912" s="1">
        <v>8.96922</v>
      </c>
      <c r="G1912" s="1">
        <v>13.5901</v>
      </c>
      <c r="H1912" s="1">
        <v>0.77347600000000005</v>
      </c>
    </row>
    <row r="1913" spans="1:8" x14ac:dyDescent="0.3">
      <c r="A1913" t="e">
        <f t="shared" si="77"/>
        <v>#REF!</v>
      </c>
      <c r="B1913">
        <v>1876</v>
      </c>
      <c r="C1913" s="1">
        <v>20.353916551013281</v>
      </c>
      <c r="D1913" s="9">
        <v>17.971777777781053</v>
      </c>
      <c r="E1913" s="1">
        <v>5.1067799999999997</v>
      </c>
      <c r="F1913" s="1">
        <v>9.0030099999999997</v>
      </c>
      <c r="G1913" s="1">
        <v>13.467599999999999</v>
      </c>
      <c r="H1913" s="1">
        <v>-0.40137</v>
      </c>
    </row>
    <row r="1914" spans="1:8" x14ac:dyDescent="0.3">
      <c r="A1914">
        <f t="shared" si="77"/>
        <v>5</v>
      </c>
      <c r="B1914">
        <v>1926</v>
      </c>
      <c r="C1914" s="1">
        <v>19.935398351929781</v>
      </c>
      <c r="D1914" s="9">
        <v>18.019000000003363</v>
      </c>
      <c r="E1914" s="1">
        <v>4.1717300000000002</v>
      </c>
      <c r="F1914" s="1">
        <v>9.0253499999999995</v>
      </c>
      <c r="G1914" s="1">
        <v>13.452500000000001</v>
      </c>
      <c r="H1914" s="1">
        <v>-1.6684399999999999</v>
      </c>
    </row>
    <row r="1915" spans="1:8" x14ac:dyDescent="0.3">
      <c r="A1915" t="e">
        <f t="shared" si="77"/>
        <v>#REF!</v>
      </c>
      <c r="B1915">
        <v>1976</v>
      </c>
      <c r="C1915" s="1">
        <v>19.652864752123111</v>
      </c>
      <c r="D1915" s="9">
        <v>18.066222222225672</v>
      </c>
      <c r="E1915" s="1">
        <v>3.3397999999999999</v>
      </c>
      <c r="F1915" s="1">
        <v>9.0983999999999998</v>
      </c>
      <c r="G1915" s="1">
        <v>13.5665</v>
      </c>
      <c r="H1915" s="1">
        <v>-2.98169</v>
      </c>
    </row>
    <row r="1916" spans="1:8" x14ac:dyDescent="0.3">
      <c r="A1916">
        <f t="shared" si="77"/>
        <v>21</v>
      </c>
      <c r="B1916">
        <v>2026</v>
      </c>
      <c r="C1916" s="1">
        <v>19.415897289934328</v>
      </c>
      <c r="D1916" s="9">
        <v>18.113444444447982</v>
      </c>
      <c r="E1916" s="1">
        <v>2.9079700000000002</v>
      </c>
      <c r="F1916" s="1">
        <v>9.0282699999999991</v>
      </c>
      <c r="G1916" s="1">
        <v>13.650700000000001</v>
      </c>
      <c r="H1916" s="1">
        <v>-4.2078899999999999</v>
      </c>
    </row>
    <row r="1917" spans="1:8" x14ac:dyDescent="0.3">
      <c r="A1917" t="e">
        <f t="shared" si="77"/>
        <v>#REF!</v>
      </c>
      <c r="B1917">
        <v>2076</v>
      </c>
      <c r="C1917" s="1">
        <v>19.27</v>
      </c>
      <c r="D1917" s="9">
        <v>18.160666666670291</v>
      </c>
      <c r="E1917" s="1">
        <v>2.8284400000000001</v>
      </c>
      <c r="F1917" s="1">
        <v>8.8019200000000009</v>
      </c>
      <c r="G1917" s="1">
        <v>13.7028</v>
      </c>
      <c r="H1917" s="1">
        <v>-5.2434399999999997</v>
      </c>
    </row>
    <row r="1918" spans="1:8" x14ac:dyDescent="0.3">
      <c r="A1918">
        <f t="shared" si="77"/>
        <v>12</v>
      </c>
      <c r="B1918">
        <v>2126</v>
      </c>
      <c r="C1918" s="1">
        <v>19.190000000000001</v>
      </c>
      <c r="D1918" s="9">
        <v>18.207888888892601</v>
      </c>
      <c r="E1918" s="1">
        <v>2.76606</v>
      </c>
      <c r="F1918" s="1">
        <v>8.5719600000000007</v>
      </c>
      <c r="G1918" s="1">
        <v>13.8537</v>
      </c>
      <c r="H1918" s="1">
        <v>-6.01051</v>
      </c>
    </row>
    <row r="1919" spans="1:8" x14ac:dyDescent="0.3">
      <c r="A1919" t="e">
        <f t="shared" si="77"/>
        <v>#REF!</v>
      </c>
      <c r="B1919">
        <v>2176</v>
      </c>
      <c r="C1919" s="1">
        <v>19.170000000000002</v>
      </c>
      <c r="D1919" s="9">
        <v>18.25511111111491</v>
      </c>
      <c r="E1919" s="1">
        <v>2.66222</v>
      </c>
      <c r="F1919" s="1">
        <v>8.4582700000000006</v>
      </c>
      <c r="G1919" s="1">
        <v>14.0458</v>
      </c>
      <c r="H1919" s="1">
        <v>-6.3773400000000002</v>
      </c>
    </row>
    <row r="1920" spans="1:8" x14ac:dyDescent="0.3">
      <c r="A1920">
        <f t="shared" si="77"/>
        <v>3</v>
      </c>
      <c r="B1920">
        <v>2226</v>
      </c>
      <c r="C1920" s="1">
        <v>19.22346603627868</v>
      </c>
      <c r="D1920" s="9">
        <v>18.30233333333722</v>
      </c>
      <c r="E1920" s="1">
        <v>2.69842</v>
      </c>
      <c r="F1920" s="1">
        <v>8.5365800000000007</v>
      </c>
      <c r="G1920" s="1">
        <v>14.0639</v>
      </c>
      <c r="H1920" s="1">
        <v>-6.1769999999999996</v>
      </c>
    </row>
    <row r="1921" spans="1:8" x14ac:dyDescent="0.3">
      <c r="A1921" t="e">
        <f t="shared" si="77"/>
        <v>#REF!</v>
      </c>
      <c r="B1921">
        <v>2276</v>
      </c>
      <c r="C1921" s="1">
        <v>19.441612291640681</v>
      </c>
      <c r="D1921" s="9">
        <v>18.34955555555953</v>
      </c>
      <c r="E1921" s="1">
        <v>2.84687</v>
      </c>
      <c r="F1921" s="1">
        <v>8.69177</v>
      </c>
      <c r="G1921" s="1">
        <v>13.926299999999999</v>
      </c>
      <c r="H1921" s="1">
        <v>-5.4747599999999998</v>
      </c>
    </row>
    <row r="1922" spans="1:8" x14ac:dyDescent="0.3">
      <c r="A1922">
        <f t="shared" si="77"/>
        <v>19</v>
      </c>
      <c r="B1922">
        <v>2326</v>
      </c>
      <c r="C1922" s="1">
        <v>19.771540756614211</v>
      </c>
      <c r="D1922" s="9">
        <v>18.396777777781839</v>
      </c>
      <c r="E1922" s="1">
        <v>2.9000400000000002</v>
      </c>
      <c r="F1922" s="1">
        <v>8.6549499999999995</v>
      </c>
      <c r="G1922" s="1">
        <v>13.8483</v>
      </c>
      <c r="H1922" s="1">
        <v>-4.5327799999999998</v>
      </c>
    </row>
    <row r="1923" spans="1:8" x14ac:dyDescent="0.3">
      <c r="A1923" t="e">
        <f t="shared" si="77"/>
        <v>#REF!</v>
      </c>
      <c r="B1923">
        <v>2376</v>
      </c>
      <c r="C1923" s="1">
        <v>20.214441063763971</v>
      </c>
      <c r="D1923" s="9">
        <v>18.444000000004149</v>
      </c>
      <c r="E1923" s="1">
        <v>2.8456299999999999</v>
      </c>
      <c r="F1923" s="1">
        <v>8.3858499999999996</v>
      </c>
      <c r="G1923" s="1">
        <v>13.8409</v>
      </c>
      <c r="H1923" s="1">
        <v>-3.4956700000000001</v>
      </c>
    </row>
    <row r="1924" spans="1:8" x14ac:dyDescent="0.3">
      <c r="A1924">
        <f t="shared" si="77"/>
        <v>10</v>
      </c>
      <c r="B1924">
        <v>2426</v>
      </c>
      <c r="C1924" s="1">
        <v>20.768165444013238</v>
      </c>
      <c r="D1924" s="9">
        <v>18.491222222226458</v>
      </c>
      <c r="E1924" s="1">
        <v>2.8345500000000001</v>
      </c>
      <c r="F1924" s="1">
        <v>8.0502400000000005</v>
      </c>
      <c r="G1924" s="1">
        <v>13.7432</v>
      </c>
      <c r="H1924" s="1">
        <v>-2.3986200000000002</v>
      </c>
    </row>
    <row r="1925" spans="1:8" x14ac:dyDescent="0.3">
      <c r="A1925" t="e">
        <f t="shared" si="77"/>
        <v>#REF!</v>
      </c>
      <c r="B1925">
        <v>2476</v>
      </c>
      <c r="C1925" s="1">
        <v>21.32252066775073</v>
      </c>
      <c r="D1925" s="9">
        <v>18.538444444448768</v>
      </c>
      <c r="E1925" s="1">
        <v>2.7878099999999999</v>
      </c>
      <c r="F1925" s="1">
        <v>7.8380599999999996</v>
      </c>
      <c r="G1925" s="1">
        <v>13.622199999999999</v>
      </c>
      <c r="H1925" s="1">
        <v>-1.2468900000000001</v>
      </c>
    </row>
    <row r="1926" spans="1:8" x14ac:dyDescent="0.3">
      <c r="A1926">
        <f t="shared" si="77"/>
        <v>26</v>
      </c>
      <c r="B1926">
        <v>2526</v>
      </c>
      <c r="C1926" s="1">
        <v>21.842811422072941</v>
      </c>
      <c r="D1926" s="9">
        <v>18.585666666671077</v>
      </c>
      <c r="E1926" s="1">
        <v>2.4365100000000002</v>
      </c>
      <c r="F1926" s="1">
        <v>7.9376100000000003</v>
      </c>
      <c r="G1926" s="1">
        <v>13.7325</v>
      </c>
      <c r="H1926" s="1">
        <v>-2.5343500000000001E-2</v>
      </c>
    </row>
    <row r="1927" spans="1:8" x14ac:dyDescent="0.3">
      <c r="A1927" t="e">
        <f t="shared" si="77"/>
        <v>#REF!</v>
      </c>
      <c r="B1927">
        <v>2576</v>
      </c>
      <c r="C1927" s="1">
        <v>22.252885026335601</v>
      </c>
      <c r="D1927" s="9">
        <v>18.632888888893387</v>
      </c>
      <c r="E1927" s="1">
        <v>1.78654</v>
      </c>
      <c r="F1927" s="1">
        <v>8.2349499999999995</v>
      </c>
      <c r="G1927" s="1">
        <v>14.0504</v>
      </c>
      <c r="H1927" s="1">
        <v>1.23855</v>
      </c>
    </row>
    <row r="1928" spans="1:8" x14ac:dyDescent="0.3">
      <c r="A1928">
        <f t="shared" si="77"/>
        <v>17</v>
      </c>
      <c r="B1928">
        <v>2626</v>
      </c>
      <c r="C1928" s="1">
        <v>22.579143563101411</v>
      </c>
      <c r="D1928" s="9">
        <v>18.680111111115696</v>
      </c>
      <c r="E1928" s="1">
        <v>1.0901000000000001</v>
      </c>
      <c r="F1928" s="1">
        <v>8.3672599999999999</v>
      </c>
      <c r="G1928" s="1">
        <v>14.3104</v>
      </c>
      <c r="H1928" s="1">
        <v>2.4791699999999999</v>
      </c>
    </row>
    <row r="1929" spans="1:8" x14ac:dyDescent="0.3">
      <c r="A1929" t="e">
        <f t="shared" si="77"/>
        <v>#REF!</v>
      </c>
      <c r="B1929">
        <v>2676</v>
      </c>
      <c r="C1929" s="1">
        <v>22.95713577291383</v>
      </c>
      <c r="D1929" s="9">
        <v>18.727333333338006</v>
      </c>
      <c r="E1929" s="1">
        <v>0.63963099999999995</v>
      </c>
      <c r="F1929" s="1">
        <v>8.2258200000000006</v>
      </c>
      <c r="G1929" s="1">
        <v>14.330299999999999</v>
      </c>
      <c r="H1929" s="1">
        <v>3.61598</v>
      </c>
    </row>
    <row r="1930" spans="1:8" x14ac:dyDescent="0.3">
      <c r="A1930">
        <f t="shared" si="77"/>
        <v>8</v>
      </c>
      <c r="B1930">
        <v>2726</v>
      </c>
      <c r="C1930" s="1">
        <v>23.45564369713227</v>
      </c>
      <c r="D1930" s="9">
        <v>18.774555555560315</v>
      </c>
      <c r="E1930" s="1">
        <v>0.73697699999999999</v>
      </c>
      <c r="F1930" s="1">
        <v>7.9381899999999996</v>
      </c>
      <c r="G1930" s="1">
        <v>14.0192</v>
      </c>
      <c r="H1930" s="1">
        <v>4.5581399999999999</v>
      </c>
    </row>
    <row r="1931" spans="1:8" x14ac:dyDescent="0.3">
      <c r="A1931" t="e">
        <f t="shared" si="77"/>
        <v>#REF!</v>
      </c>
      <c r="B1931">
        <v>2776</v>
      </c>
      <c r="C1931" s="1">
        <v>23.8497533928834</v>
      </c>
      <c r="D1931" s="9">
        <v>18.821777777782625</v>
      </c>
      <c r="E1931" s="1">
        <v>1.3550500000000001</v>
      </c>
      <c r="F1931" s="1">
        <v>7.7851699999999999</v>
      </c>
      <c r="G1931" s="1">
        <v>13.518800000000001</v>
      </c>
      <c r="H1931" s="1">
        <v>5.2408900000000003</v>
      </c>
    </row>
    <row r="1932" spans="1:8" x14ac:dyDescent="0.3">
      <c r="A1932">
        <f t="shared" si="77"/>
        <v>24</v>
      </c>
      <c r="B1932">
        <v>2826</v>
      </c>
      <c r="C1932" s="1">
        <v>24.11</v>
      </c>
      <c r="D1932" s="9">
        <v>18.869000000004934</v>
      </c>
      <c r="E1932" s="1">
        <v>2.1827299999999998</v>
      </c>
      <c r="F1932" s="1">
        <v>8.1552299999999995</v>
      </c>
      <c r="G1932" s="1">
        <v>13.163500000000001</v>
      </c>
      <c r="H1932" s="1">
        <v>5.6305699999999996</v>
      </c>
    </row>
    <row r="1933" spans="1:8" x14ac:dyDescent="0.3">
      <c r="A1933" t="e">
        <f t="shared" si="77"/>
        <v>#REF!</v>
      </c>
      <c r="B1933">
        <v>2876</v>
      </c>
      <c r="C1933" s="1">
        <v>24.300771079293661</v>
      </c>
      <c r="D1933" s="9">
        <v>18.916222222227244</v>
      </c>
      <c r="E1933" s="1">
        <v>2.9082300000000001</v>
      </c>
      <c r="F1933" s="1">
        <v>9.1104599999999998</v>
      </c>
      <c r="G1933" s="1">
        <v>13.2082</v>
      </c>
      <c r="H1933" s="1">
        <v>5.843</v>
      </c>
    </row>
    <row r="1934" spans="1:8" x14ac:dyDescent="0.3">
      <c r="A1934">
        <f t="shared" si="77"/>
        <v>15</v>
      </c>
      <c r="B1934">
        <v>2926</v>
      </c>
      <c r="C1934" s="1">
        <v>24.202381280606581</v>
      </c>
      <c r="D1934" s="9">
        <v>18.963444444449554</v>
      </c>
      <c r="E1934" s="1">
        <v>3.2498300000000002</v>
      </c>
      <c r="F1934" s="1">
        <v>10.4237</v>
      </c>
      <c r="G1934" s="1">
        <v>13.8201</v>
      </c>
      <c r="H1934" s="1">
        <v>6.1093299999999999</v>
      </c>
    </row>
    <row r="1935" spans="1:8" x14ac:dyDescent="0.3">
      <c r="A1935" t="e">
        <f t="shared" si="77"/>
        <v>#REF!</v>
      </c>
      <c r="B1935">
        <v>2976</v>
      </c>
      <c r="C1935" s="1">
        <v>24.07</v>
      </c>
      <c r="D1935" s="9">
        <v>19.010666666671863</v>
      </c>
      <c r="E1935" s="1">
        <v>3.3289800000000001</v>
      </c>
      <c r="F1935" s="1">
        <v>11.7851</v>
      </c>
      <c r="G1935" s="1">
        <v>14.906599999999999</v>
      </c>
      <c r="H1935" s="1">
        <v>6.4617800000000001</v>
      </c>
    </row>
    <row r="1936" spans="1:8" x14ac:dyDescent="0.3">
      <c r="A1936">
        <f t="shared" si="77"/>
        <v>6</v>
      </c>
      <c r="B1936">
        <v>3026</v>
      </c>
      <c r="C1936" s="1">
        <v>23.960686370492979</v>
      </c>
      <c r="D1936" s="9">
        <v>19.057888888894173</v>
      </c>
      <c r="E1936" s="1">
        <v>3.5974699999999999</v>
      </c>
      <c r="F1936" s="1">
        <v>12.826499999999999</v>
      </c>
      <c r="G1936" s="1">
        <v>16.154699999999998</v>
      </c>
      <c r="H1936" s="1">
        <v>6.7701700000000002</v>
      </c>
    </row>
    <row r="1937" spans="1:8" x14ac:dyDescent="0.3">
      <c r="A1937" t="e">
        <f t="shared" si="77"/>
        <v>#REF!</v>
      </c>
      <c r="B1937">
        <v>3076</v>
      </c>
      <c r="C1937" s="1">
        <v>23.74354195885422</v>
      </c>
      <c r="D1937" s="9">
        <v>19.105111111116482</v>
      </c>
      <c r="E1937" s="1">
        <v>4.2383600000000001</v>
      </c>
      <c r="F1937" s="1">
        <v>13.277900000000001</v>
      </c>
      <c r="G1937" s="1">
        <v>17.237400000000001</v>
      </c>
      <c r="H1937" s="1">
        <v>7.0800200000000002</v>
      </c>
    </row>
    <row r="1938" spans="1:8" x14ac:dyDescent="0.3">
      <c r="A1938">
        <f t="shared" si="77"/>
        <v>22</v>
      </c>
      <c r="B1938">
        <v>3126</v>
      </c>
      <c r="C1938" s="1">
        <v>23.361286915479099</v>
      </c>
      <c r="D1938" s="9">
        <v>19.152333333338792</v>
      </c>
      <c r="E1938" s="1">
        <v>5.18506</v>
      </c>
      <c r="F1938" s="1">
        <v>12.9872</v>
      </c>
      <c r="G1938" s="1">
        <v>17.848099999999999</v>
      </c>
      <c r="H1938" s="1">
        <v>7.5790899999999999</v>
      </c>
    </row>
    <row r="1939" spans="1:8" x14ac:dyDescent="0.3">
      <c r="A1939" t="e">
        <f t="shared" si="77"/>
        <v>#REF!</v>
      </c>
      <c r="B1939">
        <v>3176</v>
      </c>
      <c r="C1939" s="1">
        <v>22.95991833658918</v>
      </c>
      <c r="D1939" s="9">
        <v>19.199555555561101</v>
      </c>
      <c r="E1939" s="1">
        <v>6.2684600000000001</v>
      </c>
      <c r="F1939" s="1">
        <v>12.100899999999999</v>
      </c>
      <c r="G1939" s="1">
        <v>17.9377</v>
      </c>
      <c r="H1939" s="1">
        <v>8.34727</v>
      </c>
    </row>
    <row r="1940" spans="1:8" x14ac:dyDescent="0.3">
      <c r="A1940">
        <f t="shared" si="77"/>
        <v>13</v>
      </c>
      <c r="B1940">
        <v>3226</v>
      </c>
      <c r="C1940" s="1">
        <v>22.597902580756841</v>
      </c>
      <c r="D1940" s="9">
        <v>19.246777777783411</v>
      </c>
      <c r="E1940" s="1">
        <v>7.2631800000000002</v>
      </c>
      <c r="F1940" s="1">
        <v>10.985799999999999</v>
      </c>
      <c r="G1940" s="1">
        <v>17.6615</v>
      </c>
      <c r="H1940" s="1">
        <v>9.3711000000000002</v>
      </c>
    </row>
    <row r="1941" spans="1:8" x14ac:dyDescent="0.3">
      <c r="A1941" t="e">
        <f t="shared" ref="A1941:A1947" si="78">A1891</f>
        <v>#REF!</v>
      </c>
      <c r="B1941">
        <v>3276</v>
      </c>
      <c r="C1941" s="1">
        <v>22.189331254092401</v>
      </c>
      <c r="D1941" s="9">
        <v>19.29400000000572</v>
      </c>
      <c r="E1941" s="1">
        <v>8.1624099999999995</v>
      </c>
      <c r="F1941" s="1">
        <v>10.004899999999999</v>
      </c>
      <c r="G1941" s="1">
        <v>17.231000000000002</v>
      </c>
      <c r="H1941" s="1">
        <v>10.5944</v>
      </c>
    </row>
    <row r="1942" spans="1:8" x14ac:dyDescent="0.3">
      <c r="A1942">
        <f t="shared" si="78"/>
        <v>4</v>
      </c>
      <c r="B1942">
        <v>3326</v>
      </c>
      <c r="C1942" s="1">
        <v>21.836272420111989</v>
      </c>
      <c r="D1942" s="9">
        <v>19.34122222222803</v>
      </c>
      <c r="E1942" s="1">
        <v>9.3238800000000008</v>
      </c>
      <c r="F1942" s="1">
        <v>9.98325</v>
      </c>
      <c r="G1942" s="1">
        <v>17.054500000000001</v>
      </c>
      <c r="H1942" s="1">
        <v>11.9686</v>
      </c>
    </row>
    <row r="1943" spans="1:8" x14ac:dyDescent="0.3">
      <c r="A1943" t="e">
        <f t="shared" si="78"/>
        <v>#REF!</v>
      </c>
      <c r="B1943">
        <v>3376</v>
      </c>
      <c r="C1943" s="1">
        <v>21.537445586048371</v>
      </c>
      <c r="D1943" s="9">
        <v>19.388444444450339</v>
      </c>
      <c r="E1943" s="1">
        <v>10.9794</v>
      </c>
      <c r="F1943" s="1">
        <v>11.2904</v>
      </c>
      <c r="G1943" s="1">
        <v>17.2577</v>
      </c>
      <c r="H1943" s="1">
        <v>13.404400000000001</v>
      </c>
    </row>
    <row r="1944" spans="1:8" x14ac:dyDescent="0.3">
      <c r="A1944">
        <f t="shared" si="78"/>
        <v>20</v>
      </c>
      <c r="B1944">
        <v>3426</v>
      </c>
      <c r="C1944" s="1">
        <v>21.181891035225139</v>
      </c>
      <c r="D1944" s="9">
        <v>19.435666666672649</v>
      </c>
      <c r="E1944" s="1">
        <v>12.809799999999999</v>
      </c>
      <c r="F1944" s="1">
        <v>12.9595</v>
      </c>
      <c r="G1944" s="1">
        <v>17.601700000000001</v>
      </c>
      <c r="H1944" s="1">
        <v>14.813000000000001</v>
      </c>
    </row>
    <row r="1945" spans="1:8" x14ac:dyDescent="0.3">
      <c r="A1945" t="e">
        <f t="shared" si="78"/>
        <v>#REF!</v>
      </c>
      <c r="B1945">
        <v>3476</v>
      </c>
      <c r="C1945" s="1">
        <v>20.67160040682748</v>
      </c>
      <c r="D1945" s="9">
        <v>19.482888888894959</v>
      </c>
      <c r="E1945" s="1">
        <v>14.7201</v>
      </c>
      <c r="F1945" s="1">
        <v>14.788500000000001</v>
      </c>
      <c r="G1945" s="1">
        <v>18.0715</v>
      </c>
      <c r="H1945" s="1">
        <v>16.202400000000001</v>
      </c>
    </row>
    <row r="1946" spans="1:8" x14ac:dyDescent="0.3">
      <c r="A1946">
        <f t="shared" si="78"/>
        <v>11</v>
      </c>
      <c r="B1946">
        <v>3526</v>
      </c>
      <c r="C1946" s="1">
        <v>20.243177931142331</v>
      </c>
      <c r="D1946" s="9">
        <v>19.530111111117268</v>
      </c>
      <c r="E1946" s="1">
        <v>16.671500000000002</v>
      </c>
      <c r="F1946" s="1">
        <v>16.697800000000001</v>
      </c>
      <c r="G1946" s="1">
        <v>18.636399999999998</v>
      </c>
      <c r="H1946" s="1">
        <v>17.578900000000001</v>
      </c>
    </row>
    <row r="1947" spans="1:8" x14ac:dyDescent="0.3">
      <c r="A1947" t="e">
        <f t="shared" si="78"/>
        <v>#REF!</v>
      </c>
      <c r="B1947">
        <v>3576</v>
      </c>
      <c r="C1947" s="1">
        <v>19.808981140701778</v>
      </c>
      <c r="D1947" s="9">
        <v>19.577333333339578</v>
      </c>
      <c r="E1947" s="1">
        <v>18.6465</v>
      </c>
      <c r="F1947" s="1">
        <v>18.651800000000001</v>
      </c>
      <c r="G1947" s="1">
        <v>19.273399999999999</v>
      </c>
      <c r="H1947" s="1">
        <v>18.946200000000001</v>
      </c>
    </row>
    <row r="1948" spans="1:8" x14ac:dyDescent="0.3">
      <c r="A1948">
        <v>27</v>
      </c>
      <c r="B1948">
        <v>27</v>
      </c>
      <c r="C1948" s="1">
        <v>16.170000000000002</v>
      </c>
      <c r="D1948" s="9">
        <v>16.225500000000046</v>
      </c>
      <c r="E1948" s="1">
        <v>15.199299999999999</v>
      </c>
      <c r="F1948" s="1">
        <v>15.1326</v>
      </c>
      <c r="G1948" s="1">
        <v>15.871700000000001</v>
      </c>
      <c r="H1948" s="1">
        <v>15.1934</v>
      </c>
    </row>
    <row r="1949" spans="1:8" x14ac:dyDescent="0.3">
      <c r="A1949" t="e">
        <f t="shared" ref="A1949:A1980" si="79">A1899</f>
        <v>#REF!</v>
      </c>
      <c r="B1949">
        <v>77</v>
      </c>
      <c r="C1949" s="1">
        <v>16.220712040761999</v>
      </c>
      <c r="D1949" s="9">
        <v>16.272722222222356</v>
      </c>
      <c r="E1949" s="1">
        <v>13.3636</v>
      </c>
      <c r="F1949" s="1">
        <v>13.1776</v>
      </c>
      <c r="G1949" s="1">
        <v>15.306100000000001</v>
      </c>
      <c r="H1949" s="1">
        <v>13.3224</v>
      </c>
    </row>
    <row r="1950" spans="1:8" x14ac:dyDescent="0.3">
      <c r="A1950">
        <f t="shared" si="79"/>
        <v>18</v>
      </c>
      <c r="B1950">
        <v>127</v>
      </c>
      <c r="C1950" s="1">
        <v>16.333891874883371</v>
      </c>
      <c r="D1950" s="9">
        <v>16.319944444444666</v>
      </c>
      <c r="E1950" s="1">
        <v>11.5588</v>
      </c>
      <c r="F1950" s="1">
        <v>11.2667</v>
      </c>
      <c r="G1950" s="1">
        <v>14.8065</v>
      </c>
      <c r="H1950" s="1">
        <v>11.4414</v>
      </c>
    </row>
    <row r="1951" spans="1:8" x14ac:dyDescent="0.3">
      <c r="A1951" t="e">
        <f t="shared" si="79"/>
        <v>#REF!</v>
      </c>
      <c r="B1951">
        <v>177</v>
      </c>
      <c r="C1951" s="1">
        <v>16.55702693847423</v>
      </c>
      <c r="D1951" s="9">
        <v>16.367166666666975</v>
      </c>
      <c r="E1951" s="1">
        <v>9.8003300000000007</v>
      </c>
      <c r="F1951" s="1">
        <v>9.4344400000000004</v>
      </c>
      <c r="G1951" s="1">
        <v>14.3896</v>
      </c>
      <c r="H1951" s="1">
        <v>9.5504800000000003</v>
      </c>
    </row>
    <row r="1952" spans="1:8" x14ac:dyDescent="0.3">
      <c r="A1952">
        <f t="shared" si="79"/>
        <v>9</v>
      </c>
      <c r="B1952">
        <v>227</v>
      </c>
      <c r="C1952" s="1">
        <v>16.86</v>
      </c>
      <c r="D1952" s="9">
        <v>16.414388888889285</v>
      </c>
      <c r="E1952" s="1">
        <v>8.1177600000000005</v>
      </c>
      <c r="F1952" s="1">
        <v>7.7580900000000002</v>
      </c>
      <c r="G1952" s="1">
        <v>14.071199999999999</v>
      </c>
      <c r="H1952" s="1">
        <v>7.6536499999999998</v>
      </c>
    </row>
    <row r="1953" spans="1:8" x14ac:dyDescent="0.3">
      <c r="A1953">
        <f t="shared" si="79"/>
        <v>0</v>
      </c>
      <c r="B1953">
        <v>277</v>
      </c>
      <c r="C1953" s="1">
        <v>17.003065046440099</v>
      </c>
      <c r="D1953" s="9">
        <v>16.461611111111594</v>
      </c>
      <c r="E1953" s="1">
        <v>6.5759800000000004</v>
      </c>
      <c r="F1953" s="1">
        <v>6.4447400000000004</v>
      </c>
      <c r="G1953" s="1">
        <v>13.8338</v>
      </c>
      <c r="H1953" s="1">
        <v>5.7867899999999999</v>
      </c>
    </row>
    <row r="1954" spans="1:8" x14ac:dyDescent="0.3">
      <c r="A1954">
        <f t="shared" si="79"/>
        <v>25</v>
      </c>
      <c r="B1954">
        <v>327</v>
      </c>
      <c r="C1954" s="1">
        <v>17.206485874830459</v>
      </c>
      <c r="D1954" s="9">
        <v>16.508833333333904</v>
      </c>
      <c r="E1954" s="1">
        <v>5.4930500000000002</v>
      </c>
      <c r="F1954" s="1">
        <v>6.2514399999999997</v>
      </c>
      <c r="G1954" s="1">
        <v>13.889699999999999</v>
      </c>
      <c r="H1954" s="1">
        <v>4.3438999999999997</v>
      </c>
    </row>
    <row r="1955" spans="1:8" x14ac:dyDescent="0.3">
      <c r="A1955" t="e">
        <f t="shared" si="79"/>
        <v>#REF!</v>
      </c>
      <c r="B1955">
        <v>377</v>
      </c>
      <c r="C1955" s="1">
        <v>17.428430957403268</v>
      </c>
      <c r="D1955" s="9">
        <v>16.556055555556213</v>
      </c>
      <c r="E1955" s="1">
        <v>4.7743000000000002</v>
      </c>
      <c r="F1955" s="1">
        <v>6.5793999999999997</v>
      </c>
      <c r="G1955" s="1">
        <v>14.0601</v>
      </c>
      <c r="H1955" s="1">
        <v>3.3341699999999999</v>
      </c>
    </row>
    <row r="1956" spans="1:8" x14ac:dyDescent="0.3">
      <c r="A1956">
        <f t="shared" si="79"/>
        <v>16</v>
      </c>
      <c r="B1956">
        <v>427</v>
      </c>
      <c r="C1956" s="1">
        <v>17.670557638050781</v>
      </c>
      <c r="D1956" s="9">
        <v>16.603277777778523</v>
      </c>
      <c r="E1956" s="1">
        <v>4.3079299999999998</v>
      </c>
      <c r="F1956" s="1">
        <v>6.7404299999999999</v>
      </c>
      <c r="G1956" s="1">
        <v>13.9956</v>
      </c>
      <c r="H1956" s="1">
        <v>2.6861000000000002</v>
      </c>
    </row>
    <row r="1957" spans="1:8" x14ac:dyDescent="0.3">
      <c r="A1957" t="e">
        <f t="shared" si="79"/>
        <v>#REF!</v>
      </c>
      <c r="B1957">
        <v>477</v>
      </c>
      <c r="C1957" s="1">
        <v>17.830052653232539</v>
      </c>
      <c r="D1957" s="9">
        <v>16.650500000000832</v>
      </c>
      <c r="E1957" s="1">
        <v>3.9196200000000001</v>
      </c>
      <c r="F1957" s="1">
        <v>6.5278600000000004</v>
      </c>
      <c r="G1957" s="1">
        <v>13.695600000000001</v>
      </c>
      <c r="H1957" s="1">
        <v>2.24194</v>
      </c>
    </row>
    <row r="1958" spans="1:8" x14ac:dyDescent="0.3">
      <c r="A1958">
        <f t="shared" si="79"/>
        <v>7</v>
      </c>
      <c r="B1958">
        <v>527</v>
      </c>
      <c r="C1958" s="1">
        <v>18.059819894578631</v>
      </c>
      <c r="D1958" s="9">
        <v>16.697722222223142</v>
      </c>
      <c r="E1958" s="1">
        <v>3.2943099999999998</v>
      </c>
      <c r="F1958" s="1">
        <v>5.8950399999999998</v>
      </c>
      <c r="G1958" s="1">
        <v>13.3536</v>
      </c>
      <c r="H1958" s="1">
        <v>1.6741999999999999</v>
      </c>
    </row>
    <row r="1959" spans="1:8" x14ac:dyDescent="0.3">
      <c r="A1959" t="e">
        <f t="shared" si="79"/>
        <v>#REF!</v>
      </c>
      <c r="B1959">
        <v>577</v>
      </c>
      <c r="C1959" s="1">
        <v>18.27355641166287</v>
      </c>
      <c r="D1959" s="9">
        <v>16.744944444445451</v>
      </c>
      <c r="E1959" s="1">
        <v>2.4077299999999999</v>
      </c>
      <c r="F1959" s="1">
        <v>4.9436400000000003</v>
      </c>
      <c r="G1959" s="1">
        <v>13.017899999999999</v>
      </c>
      <c r="H1959" s="1">
        <v>0.94192200000000004</v>
      </c>
    </row>
    <row r="1960" spans="1:8" x14ac:dyDescent="0.3">
      <c r="A1960">
        <f t="shared" si="79"/>
        <v>23</v>
      </c>
      <c r="B1960">
        <v>627</v>
      </c>
      <c r="C1960" s="1">
        <v>18.473863943337179</v>
      </c>
      <c r="D1960" s="9">
        <v>16.792166666667761</v>
      </c>
      <c r="E1960" s="1">
        <v>1.5155400000000001</v>
      </c>
      <c r="F1960" s="1">
        <v>3.9123899999999998</v>
      </c>
      <c r="G1960" s="1">
        <v>12.605399999999999</v>
      </c>
      <c r="H1960" s="1">
        <v>0.28193000000000001</v>
      </c>
    </row>
    <row r="1961" spans="1:8" x14ac:dyDescent="0.3">
      <c r="A1961" t="e">
        <f t="shared" si="79"/>
        <v>#REF!</v>
      </c>
      <c r="B1961">
        <v>677</v>
      </c>
      <c r="C1961" s="1">
        <v>18.575424209678371</v>
      </c>
      <c r="D1961" s="9">
        <v>16.83938888889007</v>
      </c>
      <c r="E1961" s="1">
        <v>0.86072700000000002</v>
      </c>
      <c r="F1961" s="1">
        <v>3.0278200000000002</v>
      </c>
      <c r="G1961" s="1">
        <v>12.2225</v>
      </c>
      <c r="H1961" s="1">
        <v>-3.0032699999999999E-2</v>
      </c>
    </row>
    <row r="1962" spans="1:8" x14ac:dyDescent="0.3">
      <c r="A1962">
        <f t="shared" si="79"/>
        <v>14</v>
      </c>
      <c r="B1962">
        <v>727</v>
      </c>
      <c r="C1962" s="1">
        <v>18.749832801925571</v>
      </c>
      <c r="D1962" s="9">
        <v>16.88661111111238</v>
      </c>
      <c r="E1962" s="1">
        <v>0.64676</v>
      </c>
      <c r="F1962" s="1">
        <v>2.4809600000000001</v>
      </c>
      <c r="G1962" s="1">
        <v>12.1358</v>
      </c>
      <c r="H1962" s="1">
        <v>0.28492899999999999</v>
      </c>
    </row>
    <row r="1963" spans="1:8" x14ac:dyDescent="0.3">
      <c r="A1963" t="e">
        <f t="shared" si="79"/>
        <v>#REF!</v>
      </c>
      <c r="B1963">
        <v>777</v>
      </c>
      <c r="C1963" s="1">
        <v>18.909245872745441</v>
      </c>
      <c r="D1963" s="9">
        <v>16.93383333333469</v>
      </c>
      <c r="E1963" s="1">
        <v>0.81702900000000001</v>
      </c>
      <c r="F1963" s="1">
        <v>2.2040999999999999</v>
      </c>
      <c r="G1963" s="1">
        <v>12.395899999999999</v>
      </c>
      <c r="H1963" s="1">
        <v>1.16428</v>
      </c>
    </row>
    <row r="1964" spans="1:8" x14ac:dyDescent="0.3">
      <c r="A1964">
        <f t="shared" si="79"/>
        <v>5</v>
      </c>
      <c r="B1964">
        <v>827</v>
      </c>
      <c r="C1964" s="1">
        <v>19.309999999999999</v>
      </c>
      <c r="D1964" s="9">
        <v>16.981055555556999</v>
      </c>
      <c r="E1964" s="1">
        <v>1.0991599999999999</v>
      </c>
      <c r="F1964" s="1">
        <v>1.92177</v>
      </c>
      <c r="G1964" s="1">
        <v>12.854200000000001</v>
      </c>
      <c r="H1964" s="1">
        <v>2.2471199999999998</v>
      </c>
    </row>
    <row r="1965" spans="1:8" x14ac:dyDescent="0.3">
      <c r="A1965" t="e">
        <f t="shared" si="79"/>
        <v>#REF!</v>
      </c>
      <c r="B1965">
        <v>877</v>
      </c>
      <c r="C1965" s="1">
        <v>19.5606158080295</v>
      </c>
      <c r="D1965" s="9">
        <v>17.028277777779309</v>
      </c>
      <c r="E1965" s="1">
        <v>1.3996200000000001</v>
      </c>
      <c r="F1965" s="1">
        <v>1.6618599999999999</v>
      </c>
      <c r="G1965" s="1">
        <v>13.261100000000001</v>
      </c>
      <c r="H1965" s="1">
        <v>3.1549499999999999</v>
      </c>
    </row>
    <row r="1966" spans="1:8" x14ac:dyDescent="0.3">
      <c r="A1966">
        <f t="shared" si="79"/>
        <v>21</v>
      </c>
      <c r="B1966">
        <v>927</v>
      </c>
      <c r="C1966" s="1">
        <v>19.825424561524059</v>
      </c>
      <c r="D1966" s="9">
        <v>17.075500000001618</v>
      </c>
      <c r="E1966" s="1">
        <v>1.7788900000000001</v>
      </c>
      <c r="F1966" s="1">
        <v>1.7092400000000001</v>
      </c>
      <c r="G1966" s="1">
        <v>13.303699999999999</v>
      </c>
      <c r="H1966" s="1">
        <v>3.5221200000000001</v>
      </c>
    </row>
    <row r="1967" spans="1:8" x14ac:dyDescent="0.3">
      <c r="A1967" t="e">
        <f t="shared" si="79"/>
        <v>#REF!</v>
      </c>
      <c r="B1967">
        <v>977</v>
      </c>
      <c r="C1967" s="1">
        <v>20.190372520473989</v>
      </c>
      <c r="D1967" s="9">
        <v>17.122722222223928</v>
      </c>
      <c r="E1967" s="1">
        <v>2.15469</v>
      </c>
      <c r="F1967" s="1">
        <v>2.1172200000000001</v>
      </c>
      <c r="G1967" s="1">
        <v>13.0177</v>
      </c>
      <c r="H1967" s="1">
        <v>3.3362099999999999</v>
      </c>
    </row>
    <row r="1968" spans="1:8" x14ac:dyDescent="0.3">
      <c r="A1968">
        <f t="shared" si="79"/>
        <v>12</v>
      </c>
      <c r="B1968">
        <v>1027</v>
      </c>
      <c r="C1968" s="1">
        <v>20.608455469650242</v>
      </c>
      <c r="D1968" s="9">
        <v>17.169944444446237</v>
      </c>
      <c r="E1968" s="1">
        <v>2.3282699999999998</v>
      </c>
      <c r="F1968" s="1">
        <v>2.7250800000000002</v>
      </c>
      <c r="G1968" s="1">
        <v>12.7362</v>
      </c>
      <c r="H1968" s="1">
        <v>2.8938899999999999</v>
      </c>
    </row>
    <row r="1969" spans="1:8" x14ac:dyDescent="0.3">
      <c r="A1969" t="e">
        <f t="shared" si="79"/>
        <v>#REF!</v>
      </c>
      <c r="B1969">
        <v>1077</v>
      </c>
      <c r="C1969" s="1">
        <v>21.044162031015059</v>
      </c>
      <c r="D1969" s="9">
        <v>17.217166666668547</v>
      </c>
      <c r="E1969" s="1">
        <v>2.3167399999999998</v>
      </c>
      <c r="F1969" s="1">
        <v>3.27075</v>
      </c>
      <c r="G1969" s="1">
        <v>12.647600000000001</v>
      </c>
      <c r="H1969" s="1">
        <v>2.5606</v>
      </c>
    </row>
    <row r="1970" spans="1:8" x14ac:dyDescent="0.3">
      <c r="A1970">
        <f t="shared" si="79"/>
        <v>3</v>
      </c>
      <c r="B1970">
        <v>1127</v>
      </c>
      <c r="C1970" s="1">
        <v>21.434315912102381</v>
      </c>
      <c r="D1970" s="9">
        <v>17.264388888890856</v>
      </c>
      <c r="E1970" s="1">
        <v>2.3157199999999998</v>
      </c>
      <c r="F1970" s="1">
        <v>3.4316900000000001</v>
      </c>
      <c r="G1970" s="1">
        <v>12.795999999999999</v>
      </c>
      <c r="H1970" s="1">
        <v>2.7306499999999998</v>
      </c>
    </row>
    <row r="1971" spans="1:8" x14ac:dyDescent="0.3">
      <c r="A1971" t="e">
        <f t="shared" si="79"/>
        <v>#REF!</v>
      </c>
      <c r="B1971">
        <v>1177</v>
      </c>
      <c r="C1971" s="1">
        <v>21.725685387556549</v>
      </c>
      <c r="D1971" s="9">
        <v>17.311611111113166</v>
      </c>
      <c r="E1971" s="1">
        <v>2.3092299999999999</v>
      </c>
      <c r="F1971" s="1">
        <v>3.26023</v>
      </c>
      <c r="G1971" s="1">
        <v>13.045999999999999</v>
      </c>
      <c r="H1971" s="1">
        <v>3.4123899999999998</v>
      </c>
    </row>
    <row r="1972" spans="1:8" x14ac:dyDescent="0.3">
      <c r="A1972">
        <f t="shared" si="79"/>
        <v>19</v>
      </c>
      <c r="B1972">
        <v>1227</v>
      </c>
      <c r="C1972" s="1">
        <v>22.175838428367761</v>
      </c>
      <c r="D1972" s="9">
        <v>17.358833333335475</v>
      </c>
      <c r="E1972" s="1">
        <v>2.1087400000000001</v>
      </c>
      <c r="F1972" s="1">
        <v>3.1226400000000001</v>
      </c>
      <c r="G1972" s="1">
        <v>13.1275</v>
      </c>
      <c r="H1972" s="1">
        <v>4.2845500000000003</v>
      </c>
    </row>
    <row r="1973" spans="1:8" x14ac:dyDescent="0.3">
      <c r="A1973" t="e">
        <f t="shared" si="79"/>
        <v>#REF!</v>
      </c>
      <c r="B1973">
        <v>1277</v>
      </c>
      <c r="C1973" s="1">
        <v>22.603717529875329</v>
      </c>
      <c r="D1973" s="9">
        <v>17.406055555557785</v>
      </c>
      <c r="E1973" s="1">
        <v>1.79895</v>
      </c>
      <c r="F1973" s="1">
        <v>3.1938200000000001</v>
      </c>
      <c r="G1973" s="1">
        <v>13.051399999999999</v>
      </c>
      <c r="H1973" s="1">
        <v>5.0746700000000002</v>
      </c>
    </row>
    <row r="1974" spans="1:8" x14ac:dyDescent="0.3">
      <c r="A1974">
        <f t="shared" si="79"/>
        <v>10</v>
      </c>
      <c r="B1974">
        <v>1327</v>
      </c>
      <c r="C1974" s="1">
        <v>22.956060975559179</v>
      </c>
      <c r="D1974" s="9">
        <v>17.453277777780094</v>
      </c>
      <c r="E1974" s="1">
        <v>1.6933400000000001</v>
      </c>
      <c r="F1974" s="1">
        <v>3.4706000000000001</v>
      </c>
      <c r="G1974" s="1">
        <v>13.061199999999999</v>
      </c>
      <c r="H1974" s="1">
        <v>5.5746399999999996</v>
      </c>
    </row>
    <row r="1975" spans="1:8" x14ac:dyDescent="0.3">
      <c r="A1975" t="e">
        <f t="shared" si="79"/>
        <v>#REF!</v>
      </c>
      <c r="B1975">
        <v>1377</v>
      </c>
      <c r="C1975" s="1">
        <v>23.18</v>
      </c>
      <c r="D1975" s="9">
        <v>17.500500000002404</v>
      </c>
      <c r="E1975" s="1">
        <v>1.9038999999999999</v>
      </c>
      <c r="F1975" s="1">
        <v>3.8625799999999999</v>
      </c>
      <c r="G1975" s="1">
        <v>13.1601</v>
      </c>
      <c r="H1975" s="1">
        <v>5.8118100000000004</v>
      </c>
    </row>
    <row r="1976" spans="1:8" x14ac:dyDescent="0.3">
      <c r="A1976">
        <f t="shared" si="79"/>
        <v>26</v>
      </c>
      <c r="B1976">
        <v>1427</v>
      </c>
      <c r="C1976" s="1">
        <v>23.25881225429951</v>
      </c>
      <c r="D1976" s="9">
        <v>17.547722222224714</v>
      </c>
      <c r="E1976" s="1">
        <v>2.3563000000000001</v>
      </c>
      <c r="F1976" s="1">
        <v>4.21523</v>
      </c>
      <c r="G1976" s="1">
        <v>13.151400000000001</v>
      </c>
      <c r="H1976" s="1">
        <v>6.0002599999999999</v>
      </c>
    </row>
    <row r="1977" spans="1:8" x14ac:dyDescent="0.3">
      <c r="A1977" t="e">
        <f t="shared" si="79"/>
        <v>#REF!</v>
      </c>
      <c r="B1977">
        <v>1477</v>
      </c>
      <c r="C1977" s="1">
        <v>23.200954331476431</v>
      </c>
      <c r="D1977" s="9">
        <v>17.594944444447023</v>
      </c>
      <c r="E1977" s="1">
        <v>2.85412</v>
      </c>
      <c r="F1977" s="1">
        <v>4.4733299999999998</v>
      </c>
      <c r="G1977" s="1">
        <v>13.0624</v>
      </c>
      <c r="H1977" s="1">
        <v>6.1396699999999997</v>
      </c>
    </row>
    <row r="1978" spans="1:8" x14ac:dyDescent="0.3">
      <c r="A1978">
        <f t="shared" si="79"/>
        <v>17</v>
      </c>
      <c r="B1978">
        <v>1527</v>
      </c>
      <c r="C1978" s="1">
        <v>22.979225264429839</v>
      </c>
      <c r="D1978" s="9">
        <v>17.642166666669333</v>
      </c>
      <c r="E1978" s="1">
        <v>3.1229499999999999</v>
      </c>
      <c r="F1978" s="1">
        <v>4.6755899999999997</v>
      </c>
      <c r="G1978" s="1">
        <v>13.105</v>
      </c>
      <c r="H1978" s="1">
        <v>6.0483500000000001</v>
      </c>
    </row>
    <row r="1979" spans="1:8" x14ac:dyDescent="0.3">
      <c r="A1979" t="e">
        <f t="shared" si="79"/>
        <v>#REF!</v>
      </c>
      <c r="B1979">
        <v>1577</v>
      </c>
      <c r="C1979" s="1">
        <v>22.67404245116763</v>
      </c>
      <c r="D1979" s="9">
        <v>17.689388888891642</v>
      </c>
      <c r="E1979" s="1">
        <v>3.2623899999999999</v>
      </c>
      <c r="F1979" s="1">
        <v>4.9884300000000001</v>
      </c>
      <c r="G1979" s="1">
        <v>13.2659</v>
      </c>
      <c r="H1979" s="1">
        <v>5.6489900000000004</v>
      </c>
    </row>
    <row r="1980" spans="1:8" x14ac:dyDescent="0.3">
      <c r="A1980">
        <f t="shared" si="79"/>
        <v>8</v>
      </c>
      <c r="B1980">
        <v>1627</v>
      </c>
      <c r="C1980" s="1">
        <v>22.286922827924371</v>
      </c>
      <c r="D1980" s="9">
        <v>17.736611111113952</v>
      </c>
      <c r="E1980" s="1">
        <v>3.6739799999999998</v>
      </c>
      <c r="F1980" s="1">
        <v>5.6679500000000003</v>
      </c>
      <c r="G1980" s="1">
        <v>13.346500000000001</v>
      </c>
      <c r="H1980" s="1">
        <v>4.96028</v>
      </c>
    </row>
    <row r="1981" spans="1:8" x14ac:dyDescent="0.3">
      <c r="A1981" t="e">
        <f t="shared" ref="A1981:A2012" si="80">A1931</f>
        <v>#REF!</v>
      </c>
      <c r="B1981">
        <v>1677</v>
      </c>
      <c r="C1981" s="1">
        <v>21.847291449395229</v>
      </c>
      <c r="D1981" s="9">
        <v>17.783833333336261</v>
      </c>
      <c r="E1981" s="1">
        <v>4.4199599999999997</v>
      </c>
      <c r="F1981" s="1">
        <v>6.6799400000000002</v>
      </c>
      <c r="G1981" s="1">
        <v>13.350300000000001</v>
      </c>
      <c r="H1981" s="1">
        <v>4.0447899999999999</v>
      </c>
    </row>
    <row r="1982" spans="1:8" x14ac:dyDescent="0.3">
      <c r="A1982">
        <f t="shared" si="80"/>
        <v>24</v>
      </c>
      <c r="B1982">
        <v>1727</v>
      </c>
      <c r="C1982" s="1">
        <v>21.37496430362684</v>
      </c>
      <c r="D1982" s="9">
        <v>17.831055555558571</v>
      </c>
      <c r="E1982" s="1">
        <v>5.2597800000000001</v>
      </c>
      <c r="F1982" s="1">
        <v>7.7417999999999996</v>
      </c>
      <c r="G1982" s="1">
        <v>13.445499999999999</v>
      </c>
      <c r="H1982" s="1">
        <v>2.9979800000000001</v>
      </c>
    </row>
    <row r="1983" spans="1:8" x14ac:dyDescent="0.3">
      <c r="A1983" t="e">
        <f t="shared" si="80"/>
        <v>#REF!</v>
      </c>
      <c r="B1983">
        <v>1777</v>
      </c>
      <c r="C1983" s="1">
        <v>21.077003900613629</v>
      </c>
      <c r="D1983" s="9">
        <v>17.87827777778088</v>
      </c>
      <c r="E1983" s="1">
        <v>5.8478599999999998</v>
      </c>
      <c r="F1983" s="1">
        <v>8.5836699999999997</v>
      </c>
      <c r="G1983" s="1">
        <v>13.5929</v>
      </c>
      <c r="H1983" s="1">
        <v>1.88689</v>
      </c>
    </row>
    <row r="1984" spans="1:8" x14ac:dyDescent="0.3">
      <c r="A1984">
        <f t="shared" si="80"/>
        <v>15</v>
      </c>
      <c r="B1984">
        <v>1827</v>
      </c>
      <c r="C1984" s="1">
        <v>20.70795526238031</v>
      </c>
      <c r="D1984" s="9">
        <v>17.92550000000319</v>
      </c>
      <c r="E1984" s="1">
        <v>5.7825699999999998</v>
      </c>
      <c r="F1984" s="1">
        <v>8.9723000000000006</v>
      </c>
      <c r="G1984" s="1">
        <v>13.587999999999999</v>
      </c>
      <c r="H1984" s="1">
        <v>0.75054600000000005</v>
      </c>
    </row>
    <row r="1985" spans="1:8" x14ac:dyDescent="0.3">
      <c r="A1985" t="e">
        <f t="shared" si="80"/>
        <v>#REF!</v>
      </c>
      <c r="B1985">
        <v>1877</v>
      </c>
      <c r="C1985" s="1">
        <v>20.347899818974401</v>
      </c>
      <c r="D1985" s="9">
        <v>17.972722222225499</v>
      </c>
      <c r="E1985" s="1">
        <v>5.0892299999999997</v>
      </c>
      <c r="F1985" s="1">
        <v>9.0024700000000006</v>
      </c>
      <c r="G1985" s="1">
        <v>13.4656</v>
      </c>
      <c r="H1985" s="1">
        <v>-0.42566199999999998</v>
      </c>
    </row>
    <row r="1986" spans="1:8" x14ac:dyDescent="0.3">
      <c r="A1986">
        <f t="shared" si="80"/>
        <v>6</v>
      </c>
      <c r="B1986">
        <v>1927</v>
      </c>
      <c r="C1986" s="1">
        <v>19.927203074867951</v>
      </c>
      <c r="D1986" s="9">
        <v>18.019944444447809</v>
      </c>
      <c r="E1986" s="1">
        <v>4.1530199999999997</v>
      </c>
      <c r="F1986" s="1">
        <v>9.0269300000000001</v>
      </c>
      <c r="G1986" s="1">
        <v>13.454000000000001</v>
      </c>
      <c r="H1986" s="1">
        <v>-1.69468</v>
      </c>
    </row>
    <row r="1987" spans="1:8" x14ac:dyDescent="0.3">
      <c r="A1987" t="e">
        <f t="shared" si="80"/>
        <v>#REF!</v>
      </c>
      <c r="B1987">
        <v>1977</v>
      </c>
      <c r="C1987" s="1">
        <v>19.64727815001433</v>
      </c>
      <c r="D1987" s="9">
        <v>18.067166666670119</v>
      </c>
      <c r="E1987" s="1">
        <v>3.3263799999999999</v>
      </c>
      <c r="F1987" s="1">
        <v>9.0990099999999998</v>
      </c>
      <c r="G1987" s="1">
        <v>13.569000000000001</v>
      </c>
      <c r="H1987" s="1">
        <v>-3.0075099999999999</v>
      </c>
    </row>
    <row r="1988" spans="1:8" x14ac:dyDescent="0.3">
      <c r="A1988">
        <f t="shared" si="80"/>
        <v>22</v>
      </c>
      <c r="B1988">
        <v>2027</v>
      </c>
      <c r="C1988" s="1">
        <v>19.411831174903931</v>
      </c>
      <c r="D1988" s="9">
        <v>18.114388888892428</v>
      </c>
      <c r="E1988" s="1">
        <v>2.9040300000000001</v>
      </c>
      <c r="F1988" s="1">
        <v>9.0247899999999994</v>
      </c>
      <c r="G1988" s="1">
        <v>13.6517</v>
      </c>
      <c r="H1988" s="1">
        <v>-4.2307199999999998</v>
      </c>
    </row>
    <row r="1989" spans="1:8" x14ac:dyDescent="0.3">
      <c r="A1989" t="e">
        <f t="shared" si="80"/>
        <v>#REF!</v>
      </c>
      <c r="B1989">
        <v>2077</v>
      </c>
      <c r="C1989" s="1">
        <v>19.27</v>
      </c>
      <c r="D1989" s="9">
        <v>18.161611111114738</v>
      </c>
      <c r="E1989" s="1">
        <v>2.8280599999999998</v>
      </c>
      <c r="F1989" s="1">
        <v>8.7968499999999992</v>
      </c>
      <c r="G1989" s="1">
        <v>13.704499999999999</v>
      </c>
      <c r="H1989" s="1">
        <v>-5.2616899999999998</v>
      </c>
    </row>
    <row r="1990" spans="1:8" x14ac:dyDescent="0.3">
      <c r="A1990">
        <f t="shared" si="80"/>
        <v>13</v>
      </c>
      <c r="B1990">
        <v>2127</v>
      </c>
      <c r="C1990" s="1">
        <v>19.190000000000001</v>
      </c>
      <c r="D1990" s="9">
        <v>18.208833333337047</v>
      </c>
      <c r="E1990" s="1">
        <v>2.7638099999999999</v>
      </c>
      <c r="F1990" s="1">
        <v>8.5682500000000008</v>
      </c>
      <c r="G1990" s="1">
        <v>13.857900000000001</v>
      </c>
      <c r="H1990" s="1">
        <v>-6.0223500000000003</v>
      </c>
    </row>
    <row r="1991" spans="1:8" x14ac:dyDescent="0.3">
      <c r="A1991" t="e">
        <f t="shared" si="80"/>
        <v>#REF!</v>
      </c>
      <c r="B1991">
        <v>2177</v>
      </c>
      <c r="C1991" s="1">
        <v>19.16952915316061</v>
      </c>
      <c r="D1991" s="9">
        <v>18.256055555559357</v>
      </c>
      <c r="E1991" s="1">
        <v>2.6610200000000002</v>
      </c>
      <c r="F1991" s="1">
        <v>8.45777</v>
      </c>
      <c r="G1991" s="1">
        <v>14.048500000000001</v>
      </c>
      <c r="H1991" s="1">
        <v>-6.3793600000000001</v>
      </c>
    </row>
    <row r="1992" spans="1:8" x14ac:dyDescent="0.3">
      <c r="A1992">
        <f t="shared" si="80"/>
        <v>4</v>
      </c>
      <c r="B1992">
        <v>2227</v>
      </c>
      <c r="C1992" s="1">
        <v>19.227386359626951</v>
      </c>
      <c r="D1992" s="9">
        <v>18.303277777781666</v>
      </c>
      <c r="E1992" s="1">
        <v>2.7009699999999999</v>
      </c>
      <c r="F1992" s="1">
        <v>8.5398300000000003</v>
      </c>
      <c r="G1992" s="1">
        <v>14.061999999999999</v>
      </c>
      <c r="H1992" s="1">
        <v>-6.1670199999999999</v>
      </c>
    </row>
    <row r="1993" spans="1:8" x14ac:dyDescent="0.3">
      <c r="A1993" t="e">
        <f t="shared" si="80"/>
        <v>#REF!</v>
      </c>
      <c r="B1993">
        <v>2277</v>
      </c>
      <c r="C1993" s="1">
        <v>19.44563758659416</v>
      </c>
      <c r="D1993" s="9">
        <v>18.350500000003976</v>
      </c>
      <c r="E1993" s="1">
        <v>2.84951</v>
      </c>
      <c r="F1993" s="1">
        <v>8.69374</v>
      </c>
      <c r="G1993" s="1">
        <v>13.923500000000001</v>
      </c>
      <c r="H1993" s="1">
        <v>-5.4574199999999999</v>
      </c>
    </row>
    <row r="1994" spans="1:8" x14ac:dyDescent="0.3">
      <c r="A1994">
        <f t="shared" si="80"/>
        <v>20</v>
      </c>
      <c r="B1994">
        <v>2327</v>
      </c>
      <c r="C1994" s="1">
        <v>19.779782741284119</v>
      </c>
      <c r="D1994" s="9">
        <v>18.397722222226285</v>
      </c>
      <c r="E1994" s="1">
        <v>2.8995000000000002</v>
      </c>
      <c r="F1994" s="1">
        <v>8.6513399999999994</v>
      </c>
      <c r="G1994" s="1">
        <v>13.848000000000001</v>
      </c>
      <c r="H1994" s="1">
        <v>-4.5128199999999996</v>
      </c>
    </row>
    <row r="1995" spans="1:8" x14ac:dyDescent="0.3">
      <c r="A1995" t="e">
        <f t="shared" si="80"/>
        <v>#REF!</v>
      </c>
      <c r="B1995">
        <v>2377</v>
      </c>
      <c r="C1995" s="1">
        <v>20.22632237729329</v>
      </c>
      <c r="D1995" s="9">
        <v>18.444944444448595</v>
      </c>
      <c r="E1995" s="1">
        <v>2.8445499999999999</v>
      </c>
      <c r="F1995" s="1">
        <v>8.3792100000000005</v>
      </c>
      <c r="G1995" s="1">
        <v>13.840299999999999</v>
      </c>
      <c r="H1995" s="1">
        <v>-3.4742199999999999</v>
      </c>
    </row>
    <row r="1996" spans="1:8" x14ac:dyDescent="0.3">
      <c r="A1996">
        <f t="shared" si="80"/>
        <v>11</v>
      </c>
      <c r="B1996">
        <v>2427</v>
      </c>
      <c r="C1996" s="1">
        <v>20.779681803001179</v>
      </c>
      <c r="D1996" s="9">
        <v>18.492166666670904</v>
      </c>
      <c r="E1996" s="1">
        <v>2.83487</v>
      </c>
      <c r="F1996" s="1">
        <v>8.0441099999999999</v>
      </c>
      <c r="G1996" s="1">
        <v>13.7401</v>
      </c>
      <c r="H1996" s="1">
        <v>-2.3761800000000002</v>
      </c>
    </row>
    <row r="1997" spans="1:8" x14ac:dyDescent="0.3">
      <c r="A1997" t="e">
        <f t="shared" si="80"/>
        <v>#REF!</v>
      </c>
      <c r="B1997">
        <v>2477</v>
      </c>
      <c r="C1997" s="1">
        <v>21.333918324392521</v>
      </c>
      <c r="D1997" s="9">
        <v>18.539388888893214</v>
      </c>
      <c r="E1997" s="1">
        <v>2.7845800000000001</v>
      </c>
      <c r="F1997" s="1">
        <v>7.8364799999999999</v>
      </c>
      <c r="G1997" s="1">
        <v>13.6214</v>
      </c>
      <c r="H1997" s="1">
        <v>-1.2231799999999999</v>
      </c>
    </row>
    <row r="1998" spans="1:8" x14ac:dyDescent="0.3">
      <c r="A1998">
        <f t="shared" si="80"/>
        <v>27</v>
      </c>
      <c r="B1998">
        <v>2527</v>
      </c>
      <c r="C1998" s="1">
        <v>21.846577106147109</v>
      </c>
      <c r="D1998" s="9">
        <v>18.586611111115523</v>
      </c>
      <c r="E1998" s="1">
        <v>2.4256600000000001</v>
      </c>
      <c r="F1998" s="1">
        <v>7.9428099999999997</v>
      </c>
      <c r="G1998" s="1">
        <v>13.7377</v>
      </c>
      <c r="H1998" s="1">
        <v>-2.7249400000000002E-4</v>
      </c>
    </row>
    <row r="1999" spans="1:8" x14ac:dyDescent="0.3">
      <c r="A1999" t="e">
        <f t="shared" si="80"/>
        <v>#REF!</v>
      </c>
      <c r="B1999">
        <v>2577</v>
      </c>
      <c r="C1999" s="1">
        <v>22.260409480812651</v>
      </c>
      <c r="D1999" s="9">
        <v>18.633833333337833</v>
      </c>
      <c r="E1999" s="1">
        <v>1.7721899999999999</v>
      </c>
      <c r="F1999" s="1">
        <v>8.2403499999999994</v>
      </c>
      <c r="G1999" s="1">
        <v>14.057</v>
      </c>
      <c r="H1999" s="1">
        <v>1.2638199999999999</v>
      </c>
    </row>
    <row r="2000" spans="1:8" x14ac:dyDescent="0.3">
      <c r="A2000">
        <f t="shared" si="80"/>
        <v>18</v>
      </c>
      <c r="B2000">
        <v>2627</v>
      </c>
      <c r="C2000" s="1">
        <v>22.586718205508941</v>
      </c>
      <c r="D2000" s="9">
        <v>18.681055555560143</v>
      </c>
      <c r="E2000" s="1">
        <v>1.07761</v>
      </c>
      <c r="F2000" s="1">
        <v>8.3667700000000007</v>
      </c>
      <c r="G2000" s="1">
        <v>14.313499999999999</v>
      </c>
      <c r="H2000" s="1">
        <v>2.5032299999999998</v>
      </c>
    </row>
    <row r="2001" spans="1:8" x14ac:dyDescent="0.3">
      <c r="A2001" t="e">
        <f t="shared" si="80"/>
        <v>#REF!</v>
      </c>
      <c r="B2001">
        <v>2677</v>
      </c>
      <c r="C2001" s="1">
        <v>22.96256038377868</v>
      </c>
      <c r="D2001" s="9">
        <v>18.728277777782452</v>
      </c>
      <c r="E2001" s="1">
        <v>0.63532699999999998</v>
      </c>
      <c r="F2001" s="1">
        <v>8.2209900000000005</v>
      </c>
      <c r="G2001" s="1">
        <v>14.327500000000001</v>
      </c>
      <c r="H2001" s="1">
        <v>3.6370200000000001</v>
      </c>
    </row>
    <row r="2002" spans="1:8" x14ac:dyDescent="0.3">
      <c r="A2002">
        <f t="shared" si="80"/>
        <v>9</v>
      </c>
      <c r="B2002">
        <v>2727</v>
      </c>
      <c r="C2002" s="1">
        <v>23.467105540655179</v>
      </c>
      <c r="D2002" s="9">
        <v>18.775500000004762</v>
      </c>
      <c r="E2002" s="1">
        <v>0.74521300000000001</v>
      </c>
      <c r="F2002" s="1">
        <v>7.93248</v>
      </c>
      <c r="G2002" s="1">
        <v>14.0099</v>
      </c>
      <c r="H2002" s="1">
        <v>4.5744800000000003</v>
      </c>
    </row>
    <row r="2003" spans="1:8" x14ac:dyDescent="0.3">
      <c r="A2003">
        <f t="shared" si="80"/>
        <v>0</v>
      </c>
      <c r="B2003">
        <v>2777</v>
      </c>
      <c r="C2003" s="1">
        <v>23.85746027895215</v>
      </c>
      <c r="D2003" s="9">
        <v>18.822722222227071</v>
      </c>
      <c r="E2003" s="1">
        <v>1.3706100000000001</v>
      </c>
      <c r="F2003" s="1">
        <v>7.7862600000000004</v>
      </c>
      <c r="G2003" s="1">
        <v>13.5092</v>
      </c>
      <c r="H2003" s="1">
        <v>5.2516100000000003</v>
      </c>
    </row>
    <row r="2004" spans="1:8" x14ac:dyDescent="0.3">
      <c r="A2004">
        <f t="shared" si="80"/>
        <v>25</v>
      </c>
      <c r="B2004">
        <v>2827</v>
      </c>
      <c r="C2004" s="1">
        <v>24.11</v>
      </c>
      <c r="D2004" s="9">
        <v>18.869944444449381</v>
      </c>
      <c r="E2004" s="1">
        <v>2.1992600000000002</v>
      </c>
      <c r="F2004" s="1">
        <v>8.1692800000000005</v>
      </c>
      <c r="G2004" s="1">
        <v>13.1599</v>
      </c>
      <c r="H2004" s="1">
        <v>5.6357699999999999</v>
      </c>
    </row>
    <row r="2005" spans="1:8" x14ac:dyDescent="0.3">
      <c r="A2005" t="e">
        <f t="shared" si="80"/>
        <v>#REF!</v>
      </c>
      <c r="B2005">
        <v>2877</v>
      </c>
      <c r="C2005" s="1">
        <v>24.30479634184141</v>
      </c>
      <c r="D2005" s="9">
        <v>18.91716666667169</v>
      </c>
      <c r="E2005" s="1">
        <v>2.91961</v>
      </c>
      <c r="F2005" s="1">
        <v>9.1340299999999992</v>
      </c>
      <c r="G2005" s="1">
        <v>13.214499999999999</v>
      </c>
      <c r="H2005" s="1">
        <v>5.8470899999999997</v>
      </c>
    </row>
    <row r="2006" spans="1:8" x14ac:dyDescent="0.3">
      <c r="A2006">
        <f t="shared" si="80"/>
        <v>16</v>
      </c>
      <c r="B2006">
        <v>2927</v>
      </c>
      <c r="C2006" s="1">
        <v>24.206388686292289</v>
      </c>
      <c r="D2006" s="9">
        <v>18.964388888894</v>
      </c>
      <c r="E2006" s="1">
        <v>3.2524999999999999</v>
      </c>
      <c r="F2006" s="1">
        <v>10.451700000000001</v>
      </c>
      <c r="G2006" s="1">
        <v>13.838200000000001</v>
      </c>
      <c r="H2006" s="1">
        <v>6.1159699999999999</v>
      </c>
    </row>
    <row r="2007" spans="1:8" x14ac:dyDescent="0.3">
      <c r="A2007" t="e">
        <f t="shared" si="80"/>
        <v>#REF!</v>
      </c>
      <c r="B2007">
        <v>2977</v>
      </c>
      <c r="C2007" s="1">
        <v>24.07</v>
      </c>
      <c r="D2007" s="9">
        <v>19.011611111116309</v>
      </c>
      <c r="E2007" s="1">
        <v>3.3310599999999999</v>
      </c>
      <c r="F2007" s="1">
        <v>11.8103</v>
      </c>
      <c r="G2007" s="1">
        <v>14.930999999999999</v>
      </c>
      <c r="H2007" s="1">
        <v>6.4687599999999996</v>
      </c>
    </row>
    <row r="2008" spans="1:8" x14ac:dyDescent="0.3">
      <c r="A2008">
        <f t="shared" si="80"/>
        <v>7</v>
      </c>
      <c r="B2008">
        <v>3027</v>
      </c>
      <c r="C2008" s="1">
        <v>23.95647380377379</v>
      </c>
      <c r="D2008" s="9">
        <v>19.058833333338619</v>
      </c>
      <c r="E2008" s="1">
        <v>3.6067800000000001</v>
      </c>
      <c r="F2008" s="1">
        <v>12.842000000000001</v>
      </c>
      <c r="G2008" s="1">
        <v>16.178999999999998</v>
      </c>
      <c r="H2008" s="1">
        <v>6.7757199999999997</v>
      </c>
    </row>
    <row r="2009" spans="1:8" x14ac:dyDescent="0.3">
      <c r="A2009" t="e">
        <f t="shared" si="80"/>
        <v>#REF!</v>
      </c>
      <c r="B2009">
        <v>3077</v>
      </c>
      <c r="C2009" s="1">
        <v>23.734937661868301</v>
      </c>
      <c r="D2009" s="9">
        <v>19.106055555560928</v>
      </c>
      <c r="E2009" s="1">
        <v>4.2545999999999999</v>
      </c>
      <c r="F2009" s="1">
        <v>13.2797</v>
      </c>
      <c r="G2009" s="1">
        <v>17.255199999999999</v>
      </c>
      <c r="H2009" s="1">
        <v>7.0875700000000004</v>
      </c>
    </row>
    <row r="2010" spans="1:8" x14ac:dyDescent="0.3">
      <c r="A2010">
        <f t="shared" si="80"/>
        <v>23</v>
      </c>
      <c r="B2010">
        <v>3127</v>
      </c>
      <c r="C2010" s="1">
        <v>23.35303534149136</v>
      </c>
      <c r="D2010" s="9">
        <v>19.153277777783238</v>
      </c>
      <c r="E2010" s="1">
        <v>5.2061900000000003</v>
      </c>
      <c r="F2010" s="1">
        <v>12.9741</v>
      </c>
      <c r="G2010" s="1">
        <v>17.854500000000002</v>
      </c>
      <c r="H2010" s="1">
        <v>7.5918299999999999</v>
      </c>
    </row>
    <row r="2011" spans="1:8" x14ac:dyDescent="0.3">
      <c r="A2011" t="e">
        <f t="shared" si="80"/>
        <v>#REF!</v>
      </c>
      <c r="B2011">
        <v>3177</v>
      </c>
      <c r="C2011" s="1">
        <v>22.951727422769881</v>
      </c>
      <c r="D2011" s="9">
        <v>19.200500000005547</v>
      </c>
      <c r="E2011" s="1">
        <v>6.2898899999999998</v>
      </c>
      <c r="F2011" s="1">
        <v>12.079599999999999</v>
      </c>
      <c r="G2011" s="1">
        <v>17.935199999999998</v>
      </c>
      <c r="H2011" s="1">
        <v>8.3653099999999991</v>
      </c>
    </row>
    <row r="2012" spans="1:8" x14ac:dyDescent="0.3">
      <c r="A2012">
        <f t="shared" si="80"/>
        <v>14</v>
      </c>
      <c r="B2012">
        <v>3227</v>
      </c>
      <c r="C2012" s="1">
        <v>22.58972750555613</v>
      </c>
      <c r="D2012" s="9">
        <v>19.247722222227857</v>
      </c>
      <c r="E2012" s="1">
        <v>7.2814500000000004</v>
      </c>
      <c r="F2012" s="1">
        <v>10.9635</v>
      </c>
      <c r="G2012" s="1">
        <v>17.653500000000001</v>
      </c>
      <c r="H2012" s="1">
        <v>9.3938799999999993</v>
      </c>
    </row>
    <row r="2013" spans="1:8" x14ac:dyDescent="0.3">
      <c r="A2013" t="e">
        <f t="shared" ref="A2013:A2019" si="81">A1963</f>
        <v>#REF!</v>
      </c>
      <c r="B2013">
        <v>3277</v>
      </c>
      <c r="C2013" s="1">
        <v>22.18071561498429</v>
      </c>
      <c r="D2013" s="9">
        <v>19.294944444450167</v>
      </c>
      <c r="E2013" s="1">
        <v>8.1810899999999993</v>
      </c>
      <c r="F2013" s="1">
        <v>9.9901900000000001</v>
      </c>
      <c r="G2013" s="1">
        <v>17.222899999999999</v>
      </c>
      <c r="H2013" s="1">
        <v>10.6205</v>
      </c>
    </row>
    <row r="2014" spans="1:8" x14ac:dyDescent="0.3">
      <c r="A2014">
        <f t="shared" si="81"/>
        <v>5</v>
      </c>
      <c r="B2014">
        <v>3327</v>
      </c>
      <c r="C2014" s="1">
        <v>21.83200090556107</v>
      </c>
      <c r="D2014" s="9">
        <v>19.342166666672476</v>
      </c>
      <c r="E2014" s="1">
        <v>9.3537099999999995</v>
      </c>
      <c r="F2014" s="1">
        <v>10.001899999999999</v>
      </c>
      <c r="G2014" s="1">
        <v>17.056899999999999</v>
      </c>
      <c r="H2014" s="1">
        <v>11.997400000000001</v>
      </c>
    </row>
    <row r="2015" spans="1:8" x14ac:dyDescent="0.3">
      <c r="A2015" t="e">
        <f t="shared" si="81"/>
        <v>#REF!</v>
      </c>
      <c r="B2015">
        <v>3377</v>
      </c>
      <c r="C2015" s="1">
        <v>21.52949819637923</v>
      </c>
      <c r="D2015" s="9">
        <v>19.389388888894786</v>
      </c>
      <c r="E2015" s="1">
        <v>11.014699999999999</v>
      </c>
      <c r="F2015" s="1">
        <v>11.321300000000001</v>
      </c>
      <c r="G2015" s="1">
        <v>17.263200000000001</v>
      </c>
      <c r="H2015" s="1">
        <v>13.4328</v>
      </c>
    </row>
    <row r="2016" spans="1:8" x14ac:dyDescent="0.3">
      <c r="A2016">
        <f t="shared" si="81"/>
        <v>21</v>
      </c>
      <c r="B2016">
        <v>3427</v>
      </c>
      <c r="C2016" s="1">
        <v>21.173349646198691</v>
      </c>
      <c r="D2016" s="9">
        <v>19.436611111117095</v>
      </c>
      <c r="E2016" s="1">
        <v>12.8474</v>
      </c>
      <c r="F2016" s="1">
        <v>12.994899999999999</v>
      </c>
      <c r="G2016" s="1">
        <v>17.61</v>
      </c>
      <c r="H2016" s="1">
        <v>14.8409</v>
      </c>
    </row>
    <row r="2017" spans="1:8" x14ac:dyDescent="0.3">
      <c r="A2017" t="e">
        <f t="shared" si="81"/>
        <v>#REF!</v>
      </c>
      <c r="B2017">
        <v>3477</v>
      </c>
      <c r="C2017" s="1">
        <v>20.662523816724612</v>
      </c>
      <c r="D2017" s="9">
        <v>19.483833333339405</v>
      </c>
      <c r="E2017" s="1">
        <v>14.758800000000001</v>
      </c>
      <c r="F2017" s="1">
        <v>14.826000000000001</v>
      </c>
      <c r="G2017" s="1">
        <v>18.082000000000001</v>
      </c>
      <c r="H2017" s="1">
        <v>16.23</v>
      </c>
    </row>
    <row r="2018" spans="1:8" x14ac:dyDescent="0.3">
      <c r="A2018">
        <f t="shared" si="81"/>
        <v>12</v>
      </c>
      <c r="B2018">
        <v>3527</v>
      </c>
      <c r="C2018" s="1">
        <v>20.233039211087899</v>
      </c>
      <c r="D2018" s="9">
        <v>19.531055555561714</v>
      </c>
      <c r="E2018" s="1">
        <v>16.710799999999999</v>
      </c>
      <c r="F2018" s="1">
        <v>16.736499999999999</v>
      </c>
      <c r="G2018" s="1">
        <v>18.648499999999999</v>
      </c>
      <c r="H2018" s="1">
        <v>17.606300000000001</v>
      </c>
    </row>
    <row r="2019" spans="1:8" x14ac:dyDescent="0.3">
      <c r="A2019" t="e">
        <f t="shared" si="81"/>
        <v>#REF!</v>
      </c>
      <c r="B2019">
        <v>3577</v>
      </c>
      <c r="C2019" s="1">
        <v>19.80136122223491</v>
      </c>
      <c r="D2019" s="9">
        <v>19.578277777784024</v>
      </c>
      <c r="E2019" s="1">
        <v>18.686199999999999</v>
      </c>
      <c r="F2019" s="1">
        <v>18.691199999999998</v>
      </c>
      <c r="G2019" s="1">
        <v>19.286799999999999</v>
      </c>
      <c r="H2019" s="1">
        <v>18.973500000000001</v>
      </c>
    </row>
    <row r="2020" spans="1:8" x14ac:dyDescent="0.3">
      <c r="A2020">
        <v>28</v>
      </c>
      <c r="B2020">
        <v>28</v>
      </c>
      <c r="C2020" s="1">
        <v>16.170000000000002</v>
      </c>
      <c r="D2020" s="9">
        <v>16.226444444444493</v>
      </c>
      <c r="E2020" s="1">
        <v>15.1623</v>
      </c>
      <c r="F2020" s="1">
        <v>15.0932</v>
      </c>
      <c r="G2020" s="1">
        <v>15.8599</v>
      </c>
      <c r="H2020" s="1">
        <v>15.1561</v>
      </c>
    </row>
    <row r="2021" spans="1:8" x14ac:dyDescent="0.3">
      <c r="A2021" t="e">
        <f t="shared" ref="A2021:A2052" si="82">A1971</f>
        <v>#REF!</v>
      </c>
      <c r="B2021">
        <v>78</v>
      </c>
      <c r="C2021" s="1">
        <v>16.224409609240961</v>
      </c>
      <c r="D2021" s="9">
        <v>16.273666666666802</v>
      </c>
      <c r="E2021" s="1">
        <v>13.327199999999999</v>
      </c>
      <c r="F2021" s="1">
        <v>13.1389</v>
      </c>
      <c r="G2021" s="1">
        <v>15.295400000000001</v>
      </c>
      <c r="H2021" s="1">
        <v>13.284800000000001</v>
      </c>
    </row>
    <row r="2022" spans="1:8" x14ac:dyDescent="0.3">
      <c r="A2022">
        <f t="shared" si="82"/>
        <v>19</v>
      </c>
      <c r="B2022">
        <v>128</v>
      </c>
      <c r="C2022" s="1">
        <v>16.33755068364842</v>
      </c>
      <c r="D2022" s="9">
        <v>16.320888888889112</v>
      </c>
      <c r="E2022" s="1">
        <v>11.523099999999999</v>
      </c>
      <c r="F2022" s="1">
        <v>11.229100000000001</v>
      </c>
      <c r="G2022" s="1">
        <v>14.7973</v>
      </c>
      <c r="H2022" s="1">
        <v>11.403700000000001</v>
      </c>
    </row>
    <row r="2023" spans="1:8" x14ac:dyDescent="0.3">
      <c r="A2023" t="e">
        <f t="shared" si="82"/>
        <v>#REF!</v>
      </c>
      <c r="B2023">
        <v>178</v>
      </c>
      <c r="C2023" s="1">
        <v>16.57808419795645</v>
      </c>
      <c r="D2023" s="9">
        <v>16.368111111111421</v>
      </c>
      <c r="E2023" s="1">
        <v>9.7658000000000005</v>
      </c>
      <c r="F2023" s="1">
        <v>9.3990100000000005</v>
      </c>
      <c r="G2023" s="1">
        <v>14.382300000000001</v>
      </c>
      <c r="H2023" s="1">
        <v>9.5125700000000002</v>
      </c>
    </row>
    <row r="2024" spans="1:8" x14ac:dyDescent="0.3">
      <c r="A2024">
        <f t="shared" si="82"/>
        <v>10</v>
      </c>
      <c r="B2024">
        <v>228</v>
      </c>
      <c r="C2024" s="1">
        <v>16.863669699391409</v>
      </c>
      <c r="D2024" s="9">
        <v>16.415333333333731</v>
      </c>
      <c r="E2024" s="1">
        <v>8.08521</v>
      </c>
      <c r="F2024" s="1">
        <v>7.7271400000000003</v>
      </c>
      <c r="G2024" s="1">
        <v>14.065799999999999</v>
      </c>
      <c r="H2024" s="1">
        <v>7.6157500000000002</v>
      </c>
    </row>
    <row r="2025" spans="1:8" x14ac:dyDescent="0.3">
      <c r="A2025" t="e">
        <f t="shared" si="82"/>
        <v>#REF!</v>
      </c>
      <c r="B2025">
        <v>278</v>
      </c>
      <c r="C2025" s="1">
        <v>17.010640918801801</v>
      </c>
      <c r="D2025" s="9">
        <v>16.46255555555604</v>
      </c>
      <c r="E2025" s="1">
        <v>6.5484999999999998</v>
      </c>
      <c r="F2025" s="1">
        <v>6.4273400000000001</v>
      </c>
      <c r="G2025" s="1">
        <v>13.830500000000001</v>
      </c>
      <c r="H2025" s="1">
        <v>5.75183</v>
      </c>
    </row>
    <row r="2026" spans="1:8" x14ac:dyDescent="0.3">
      <c r="A2026">
        <f t="shared" si="82"/>
        <v>26</v>
      </c>
      <c r="B2026">
        <v>328</v>
      </c>
      <c r="C2026" s="1">
        <v>17.214236310792479</v>
      </c>
      <c r="D2026" s="9">
        <v>16.50977777777835</v>
      </c>
      <c r="E2026" s="1">
        <v>5.4759799999999998</v>
      </c>
      <c r="F2026" s="1">
        <v>6.2566199999999998</v>
      </c>
      <c r="G2026" s="1">
        <v>13.893700000000001</v>
      </c>
      <c r="H2026" s="1">
        <v>4.3202199999999999</v>
      </c>
    </row>
    <row r="2027" spans="1:8" x14ac:dyDescent="0.3">
      <c r="A2027" t="e">
        <f t="shared" si="82"/>
        <v>#REF!</v>
      </c>
      <c r="B2027">
        <v>378</v>
      </c>
      <c r="C2027" s="1">
        <v>17.43236108547891</v>
      </c>
      <c r="D2027" s="9">
        <v>16.557000000000659</v>
      </c>
      <c r="E2027" s="1">
        <v>4.7625599999999997</v>
      </c>
      <c r="F2027" s="1">
        <v>6.5855699999999997</v>
      </c>
      <c r="G2027" s="1">
        <v>14.0618</v>
      </c>
      <c r="H2027" s="1">
        <v>3.3175699999999999</v>
      </c>
    </row>
    <row r="2028" spans="1:8" x14ac:dyDescent="0.3">
      <c r="A2028">
        <f t="shared" si="82"/>
        <v>17</v>
      </c>
      <c r="B2028">
        <v>428</v>
      </c>
      <c r="C2028" s="1">
        <v>17.682543022253441</v>
      </c>
      <c r="D2028" s="9">
        <v>16.604222222222969</v>
      </c>
      <c r="E2028" s="1">
        <v>4.3004300000000004</v>
      </c>
      <c r="F2028" s="1">
        <v>6.7400399999999996</v>
      </c>
      <c r="G2028" s="1">
        <v>13.991199999999999</v>
      </c>
      <c r="H2028" s="1">
        <v>2.6762899999999998</v>
      </c>
    </row>
    <row r="2029" spans="1:8" x14ac:dyDescent="0.3">
      <c r="A2029" t="e">
        <f t="shared" si="82"/>
        <v>#REF!</v>
      </c>
      <c r="B2029">
        <v>478</v>
      </c>
      <c r="C2029" s="1">
        <v>17.83420839376473</v>
      </c>
      <c r="D2029" s="9">
        <v>16.651444444445278</v>
      </c>
      <c r="E2029" s="1">
        <v>3.9104299999999999</v>
      </c>
      <c r="F2029" s="1">
        <v>6.5194200000000002</v>
      </c>
      <c r="G2029" s="1">
        <v>13.688599999999999</v>
      </c>
      <c r="H2029" s="1">
        <v>2.2328399999999999</v>
      </c>
    </row>
    <row r="2030" spans="1:8" x14ac:dyDescent="0.3">
      <c r="A2030">
        <f t="shared" si="82"/>
        <v>8</v>
      </c>
      <c r="B2030">
        <v>528</v>
      </c>
      <c r="C2030" s="1">
        <v>18.064053324076269</v>
      </c>
      <c r="D2030" s="9">
        <v>16.698666666667588</v>
      </c>
      <c r="E2030" s="1">
        <v>3.2783699999999998</v>
      </c>
      <c r="F2030" s="1">
        <v>5.8783899999999996</v>
      </c>
      <c r="G2030" s="1">
        <v>13.347099999999999</v>
      </c>
      <c r="H2030" s="1">
        <v>1.66046</v>
      </c>
    </row>
    <row r="2031" spans="1:8" x14ac:dyDescent="0.3">
      <c r="A2031" t="e">
        <f t="shared" si="82"/>
        <v>#REF!</v>
      </c>
      <c r="B2031">
        <v>578</v>
      </c>
      <c r="C2031" s="1">
        <v>18.277841709662489</v>
      </c>
      <c r="D2031" s="9">
        <v>16.745888888889898</v>
      </c>
      <c r="E2031" s="1">
        <v>2.3890500000000001</v>
      </c>
      <c r="F2031" s="1">
        <v>4.9229700000000003</v>
      </c>
      <c r="G2031" s="1">
        <v>13.0107</v>
      </c>
      <c r="H2031" s="1">
        <v>0.92717000000000005</v>
      </c>
    </row>
    <row r="2032" spans="1:8" x14ac:dyDescent="0.3">
      <c r="A2032">
        <f t="shared" si="82"/>
        <v>24</v>
      </c>
      <c r="B2032">
        <v>628</v>
      </c>
      <c r="C2032" s="1">
        <v>18.477981881073958</v>
      </c>
      <c r="D2032" s="9">
        <v>16.793111111112207</v>
      </c>
      <c r="E2032" s="1">
        <v>1.49939</v>
      </c>
      <c r="F2032" s="1">
        <v>3.8925700000000001</v>
      </c>
      <c r="G2032" s="1">
        <v>12.5966</v>
      </c>
      <c r="H2032" s="1">
        <v>0.27129199999999998</v>
      </c>
    </row>
    <row r="2033" spans="1:8" x14ac:dyDescent="0.3">
      <c r="A2033" t="e">
        <f t="shared" si="82"/>
        <v>#REF!</v>
      </c>
      <c r="B2033">
        <v>678</v>
      </c>
      <c r="C2033" s="1">
        <v>18.579353714364309</v>
      </c>
      <c r="D2033" s="9">
        <v>16.840333333334517</v>
      </c>
      <c r="E2033" s="1">
        <v>0.85155000000000003</v>
      </c>
      <c r="F2033" s="1">
        <v>3.0130300000000001</v>
      </c>
      <c r="G2033" s="1">
        <v>12.2171</v>
      </c>
      <c r="H2033" s="1">
        <v>-3.0679499999999998E-2</v>
      </c>
    </row>
    <row r="2034" spans="1:8" x14ac:dyDescent="0.3">
      <c r="A2034">
        <f t="shared" si="82"/>
        <v>15</v>
      </c>
      <c r="B2034">
        <v>728</v>
      </c>
      <c r="C2034" s="1">
        <v>18.753739072350999</v>
      </c>
      <c r="D2034" s="9">
        <v>16.887555555556826</v>
      </c>
      <c r="E2034" s="1">
        <v>0.64729300000000001</v>
      </c>
      <c r="F2034" s="1">
        <v>2.4737</v>
      </c>
      <c r="G2034" s="1">
        <v>12.138</v>
      </c>
      <c r="H2034" s="1">
        <v>0.298122</v>
      </c>
    </row>
    <row r="2035" spans="1:8" x14ac:dyDescent="0.3">
      <c r="A2035" t="e">
        <f t="shared" si="82"/>
        <v>#REF!</v>
      </c>
      <c r="B2035">
        <v>778</v>
      </c>
      <c r="C2035" s="1">
        <v>18.920994809045649</v>
      </c>
      <c r="D2035" s="9">
        <v>16.934777777779136</v>
      </c>
      <c r="E2035" s="1">
        <v>0.82243699999999997</v>
      </c>
      <c r="F2035" s="1">
        <v>2.1993299999999998</v>
      </c>
      <c r="G2035" s="1">
        <v>12.403600000000001</v>
      </c>
      <c r="H2035" s="1">
        <v>1.1851799999999999</v>
      </c>
    </row>
    <row r="2036" spans="1:8" x14ac:dyDescent="0.3">
      <c r="A2036">
        <f t="shared" si="82"/>
        <v>6</v>
      </c>
      <c r="B2036">
        <v>828</v>
      </c>
      <c r="C2036" s="1">
        <v>19.309999999999999</v>
      </c>
      <c r="D2036" s="9">
        <v>16.982000000001445</v>
      </c>
      <c r="E2036" s="1">
        <v>1.1048</v>
      </c>
      <c r="F2036" s="1">
        <v>1.9154100000000001</v>
      </c>
      <c r="G2036" s="1">
        <v>12.863899999999999</v>
      </c>
      <c r="H2036" s="1">
        <v>2.2682799999999999</v>
      </c>
    </row>
    <row r="2037" spans="1:8" x14ac:dyDescent="0.3">
      <c r="A2037" t="e">
        <f t="shared" si="82"/>
        <v>#REF!</v>
      </c>
      <c r="B2037">
        <v>878</v>
      </c>
      <c r="C2037" s="1">
        <v>19.56884358583013</v>
      </c>
      <c r="D2037" s="9">
        <v>17.029222222223755</v>
      </c>
      <c r="E2037" s="1">
        <v>1.4062699999999999</v>
      </c>
      <c r="F2037" s="1">
        <v>1.6589</v>
      </c>
      <c r="G2037" s="1">
        <v>13.266500000000001</v>
      </c>
      <c r="H2037" s="1">
        <v>3.1686700000000001</v>
      </c>
    </row>
    <row r="2038" spans="1:8" x14ac:dyDescent="0.3">
      <c r="A2038">
        <f t="shared" si="82"/>
        <v>22</v>
      </c>
      <c r="B2038">
        <v>928</v>
      </c>
      <c r="C2038" s="1">
        <v>19.82971913490114</v>
      </c>
      <c r="D2038" s="9">
        <v>17.076444444446064</v>
      </c>
      <c r="E2038" s="1">
        <v>1.78712</v>
      </c>
      <c r="F2038" s="1">
        <v>1.71434</v>
      </c>
      <c r="G2038" s="1">
        <v>13.3001</v>
      </c>
      <c r="H2038" s="1">
        <v>3.52291</v>
      </c>
    </row>
    <row r="2039" spans="1:8" x14ac:dyDescent="0.3">
      <c r="A2039" t="e">
        <f t="shared" si="82"/>
        <v>#REF!</v>
      </c>
      <c r="B2039">
        <v>978</v>
      </c>
      <c r="C2039" s="1">
        <v>20.19938693000762</v>
      </c>
      <c r="D2039" s="9">
        <v>17.123666666668374</v>
      </c>
      <c r="E2039" s="1">
        <v>2.1607400000000001</v>
      </c>
      <c r="F2039" s="1">
        <v>2.1280100000000002</v>
      </c>
      <c r="G2039" s="1">
        <v>13.010899999999999</v>
      </c>
      <c r="H2039" s="1">
        <v>3.32883</v>
      </c>
    </row>
    <row r="2040" spans="1:8" x14ac:dyDescent="0.3">
      <c r="A2040">
        <f t="shared" si="82"/>
        <v>13</v>
      </c>
      <c r="B2040">
        <v>1028</v>
      </c>
      <c r="C2040" s="1">
        <v>20.61774811359329</v>
      </c>
      <c r="D2040" s="9">
        <v>17.170888888890683</v>
      </c>
      <c r="E2040" s="1">
        <v>2.3292099999999998</v>
      </c>
      <c r="F2040" s="1">
        <v>2.73773</v>
      </c>
      <c r="G2040" s="1">
        <v>12.7323</v>
      </c>
      <c r="H2040" s="1">
        <v>2.8847800000000001</v>
      </c>
    </row>
    <row r="2041" spans="1:8" x14ac:dyDescent="0.3">
      <c r="A2041" t="e">
        <f t="shared" si="82"/>
        <v>#REF!</v>
      </c>
      <c r="B2041">
        <v>1078</v>
      </c>
      <c r="C2041" s="1">
        <v>21.053381157164839</v>
      </c>
      <c r="D2041" s="9">
        <v>17.218111111112993</v>
      </c>
      <c r="E2041" s="1">
        <v>2.31602</v>
      </c>
      <c r="F2041" s="1">
        <v>3.27868</v>
      </c>
      <c r="G2041" s="1">
        <v>12.648199999999999</v>
      </c>
      <c r="H2041" s="1">
        <v>2.5579000000000001</v>
      </c>
    </row>
    <row r="2042" spans="1:8" x14ac:dyDescent="0.3">
      <c r="A2042">
        <f t="shared" si="82"/>
        <v>4</v>
      </c>
      <c r="B2042">
        <v>1128</v>
      </c>
      <c r="C2042" s="1">
        <v>21.438762372275441</v>
      </c>
      <c r="D2042" s="9">
        <v>17.265333333335303</v>
      </c>
      <c r="E2042" s="1">
        <v>2.3162799999999999</v>
      </c>
      <c r="F2042" s="1">
        <v>3.4303300000000001</v>
      </c>
      <c r="G2042" s="1">
        <v>12.8009</v>
      </c>
      <c r="H2042" s="1">
        <v>2.7402799999999998</v>
      </c>
    </row>
    <row r="2043" spans="1:8" x14ac:dyDescent="0.3">
      <c r="A2043" t="e">
        <f t="shared" si="82"/>
        <v>#REF!</v>
      </c>
      <c r="B2043">
        <v>1178</v>
      </c>
      <c r="C2043" s="1">
        <v>21.734434829779609</v>
      </c>
      <c r="D2043" s="9">
        <v>17.312555555557612</v>
      </c>
      <c r="E2043" s="1">
        <v>2.3076599999999998</v>
      </c>
      <c r="F2043" s="1">
        <v>3.25597</v>
      </c>
      <c r="G2043" s="1">
        <v>13.0501</v>
      </c>
      <c r="H2043" s="1">
        <v>3.4290500000000002</v>
      </c>
    </row>
    <row r="2044" spans="1:8" x14ac:dyDescent="0.3">
      <c r="A2044">
        <f t="shared" si="82"/>
        <v>20</v>
      </c>
      <c r="B2044">
        <v>1228</v>
      </c>
      <c r="C2044" s="1">
        <v>22.184585268571741</v>
      </c>
      <c r="D2044" s="9">
        <v>17.359777777779922</v>
      </c>
      <c r="E2044" s="1">
        <v>2.1025800000000001</v>
      </c>
      <c r="F2044" s="1">
        <v>3.1219700000000001</v>
      </c>
      <c r="G2044" s="1">
        <v>13.126799999999999</v>
      </c>
      <c r="H2044" s="1">
        <v>4.3019100000000003</v>
      </c>
    </row>
    <row r="2045" spans="1:8" x14ac:dyDescent="0.3">
      <c r="A2045" t="e">
        <f t="shared" si="82"/>
        <v>#REF!</v>
      </c>
      <c r="B2045">
        <v>1278</v>
      </c>
      <c r="C2045" s="1">
        <v>22.612348897127049</v>
      </c>
      <c r="D2045" s="9">
        <v>17.407000000002231</v>
      </c>
      <c r="E2045" s="1">
        <v>1.7938499999999999</v>
      </c>
      <c r="F2045" s="1">
        <v>3.1974</v>
      </c>
      <c r="G2045" s="1">
        <v>13.05</v>
      </c>
      <c r="H2045" s="1">
        <v>5.0881100000000004</v>
      </c>
    </row>
    <row r="2046" spans="1:8" x14ac:dyDescent="0.3">
      <c r="A2046">
        <f t="shared" si="82"/>
        <v>11</v>
      </c>
      <c r="B2046">
        <v>1328</v>
      </c>
      <c r="C2046" s="1">
        <v>22.96435584145194</v>
      </c>
      <c r="D2046" s="9">
        <v>17.454222222224541</v>
      </c>
      <c r="E2046" s="1">
        <v>1.6946399999999999</v>
      </c>
      <c r="F2046" s="1">
        <v>3.47783</v>
      </c>
      <c r="G2046" s="1">
        <v>13.062900000000001</v>
      </c>
      <c r="H2046" s="1">
        <v>5.5812499999999998</v>
      </c>
    </row>
    <row r="2047" spans="1:8" x14ac:dyDescent="0.3">
      <c r="A2047" t="e">
        <f t="shared" si="82"/>
        <v>#REF!</v>
      </c>
      <c r="B2047">
        <v>1378</v>
      </c>
      <c r="C2047" s="1">
        <v>23.18</v>
      </c>
      <c r="D2047" s="9">
        <v>17.50144444444685</v>
      </c>
      <c r="E2047" s="1">
        <v>1.91089</v>
      </c>
      <c r="F2047" s="1">
        <v>3.8704999999999998</v>
      </c>
      <c r="G2047" s="1">
        <v>13.1616</v>
      </c>
      <c r="H2047" s="1">
        <v>5.81541</v>
      </c>
    </row>
    <row r="2048" spans="1:8" x14ac:dyDescent="0.3">
      <c r="A2048">
        <f t="shared" si="82"/>
        <v>27</v>
      </c>
      <c r="B2048">
        <v>1428</v>
      </c>
      <c r="C2048" s="1">
        <v>23.26</v>
      </c>
      <c r="D2048" s="9">
        <v>17.54866666666916</v>
      </c>
      <c r="E2048" s="1">
        <v>2.3667699999999998</v>
      </c>
      <c r="F2048" s="1">
        <v>4.2212300000000003</v>
      </c>
      <c r="G2048" s="1">
        <v>13.149699999999999</v>
      </c>
      <c r="H2048" s="1">
        <v>6.0041099999999998</v>
      </c>
    </row>
    <row r="2049" spans="1:8" x14ac:dyDescent="0.3">
      <c r="A2049" t="e">
        <f t="shared" si="82"/>
        <v>#REF!</v>
      </c>
      <c r="B2049">
        <v>1478</v>
      </c>
      <c r="C2049" s="1">
        <v>23.2</v>
      </c>
      <c r="D2049" s="9">
        <v>17.595888888891469</v>
      </c>
      <c r="E2049" s="1">
        <v>2.86252</v>
      </c>
      <c r="F2049" s="1">
        <v>4.4777399999999998</v>
      </c>
      <c r="G2049" s="1">
        <v>13.061299999999999</v>
      </c>
      <c r="H2049" s="1">
        <v>6.1406799999999997</v>
      </c>
    </row>
    <row r="2050" spans="1:8" x14ac:dyDescent="0.3">
      <c r="A2050">
        <f t="shared" si="82"/>
        <v>18</v>
      </c>
      <c r="B2050">
        <v>1528</v>
      </c>
      <c r="C2050" s="1">
        <v>22.97514298194406</v>
      </c>
      <c r="D2050" s="9">
        <v>17.643111111113779</v>
      </c>
      <c r="E2050" s="1">
        <v>3.1256699999999999</v>
      </c>
      <c r="F2050" s="1">
        <v>4.6798799999999998</v>
      </c>
      <c r="G2050" s="1">
        <v>13.107699999999999</v>
      </c>
      <c r="H2050" s="1">
        <v>6.0433399999999997</v>
      </c>
    </row>
    <row r="2051" spans="1:8" x14ac:dyDescent="0.3">
      <c r="A2051" t="e">
        <f t="shared" si="82"/>
        <v>#REF!</v>
      </c>
      <c r="B2051">
        <v>1578</v>
      </c>
      <c r="C2051" s="1">
        <v>22.669888640516898</v>
      </c>
      <c r="D2051" s="9">
        <v>17.690333333336088</v>
      </c>
      <c r="E2051" s="1">
        <v>3.2667199999999998</v>
      </c>
      <c r="F2051" s="1">
        <v>4.9976799999999999</v>
      </c>
      <c r="G2051" s="1">
        <v>13.2689</v>
      </c>
      <c r="H2051" s="1">
        <v>5.6379700000000001</v>
      </c>
    </row>
    <row r="2052" spans="1:8" x14ac:dyDescent="0.3">
      <c r="A2052">
        <f t="shared" si="82"/>
        <v>9</v>
      </c>
      <c r="B2052">
        <v>1628</v>
      </c>
      <c r="C2052" s="1">
        <v>22.276635708968438</v>
      </c>
      <c r="D2052" s="9">
        <v>17.737555555558398</v>
      </c>
      <c r="E2052" s="1">
        <v>3.68635</v>
      </c>
      <c r="F2052" s="1">
        <v>5.6858300000000002</v>
      </c>
      <c r="G2052" s="1">
        <v>13.3468</v>
      </c>
      <c r="H2052" s="1">
        <v>4.9438800000000001</v>
      </c>
    </row>
    <row r="2053" spans="1:8" x14ac:dyDescent="0.3">
      <c r="A2053">
        <f t="shared" ref="A2053:A2084" si="83">A2003</f>
        <v>0</v>
      </c>
      <c r="B2053">
        <v>1678</v>
      </c>
      <c r="C2053" s="1">
        <v>21.839299957251129</v>
      </c>
      <c r="D2053" s="9">
        <v>17.784777777780707</v>
      </c>
      <c r="E2053" s="1">
        <v>4.4367099999999997</v>
      </c>
      <c r="F2053" s="1">
        <v>6.7016499999999999</v>
      </c>
      <c r="G2053" s="1">
        <v>13.3508</v>
      </c>
      <c r="H2053" s="1">
        <v>4.0248299999999997</v>
      </c>
    </row>
    <row r="2054" spans="1:8" x14ac:dyDescent="0.3">
      <c r="A2054">
        <f t="shared" si="83"/>
        <v>25</v>
      </c>
      <c r="B2054">
        <v>1728</v>
      </c>
      <c r="C2054" s="1">
        <v>21.37104593116203</v>
      </c>
      <c r="D2054" s="9">
        <v>17.832000000003017</v>
      </c>
      <c r="E2054" s="1">
        <v>5.2754099999999999</v>
      </c>
      <c r="F2054" s="1">
        <v>7.7616300000000003</v>
      </c>
      <c r="G2054" s="1">
        <v>13.448600000000001</v>
      </c>
      <c r="H2054" s="1">
        <v>2.9762400000000002</v>
      </c>
    </row>
    <row r="2055" spans="1:8" x14ac:dyDescent="0.3">
      <c r="A2055" t="e">
        <f t="shared" si="83"/>
        <v>#REF!</v>
      </c>
      <c r="B2055">
        <v>1778</v>
      </c>
      <c r="C2055" s="1">
        <v>21.069075824123541</v>
      </c>
      <c r="D2055" s="9">
        <v>17.879222222225327</v>
      </c>
      <c r="E2055" s="1">
        <v>5.8541400000000001</v>
      </c>
      <c r="F2055" s="1">
        <v>8.5965299999999996</v>
      </c>
      <c r="G2055" s="1">
        <v>13.594900000000001</v>
      </c>
      <c r="H2055" s="1">
        <v>1.8643000000000001</v>
      </c>
    </row>
    <row r="2056" spans="1:8" x14ac:dyDescent="0.3">
      <c r="A2056">
        <f t="shared" si="83"/>
        <v>16</v>
      </c>
      <c r="B2056">
        <v>1828</v>
      </c>
      <c r="C2056" s="1">
        <v>20.69996925386722</v>
      </c>
      <c r="D2056" s="9">
        <v>17.926444444447636</v>
      </c>
      <c r="E2056" s="1">
        <v>5.7736400000000003</v>
      </c>
      <c r="F2056" s="1">
        <v>8.9752399999999994</v>
      </c>
      <c r="G2056" s="1">
        <v>13.586</v>
      </c>
      <c r="H2056" s="1">
        <v>0.72760000000000002</v>
      </c>
    </row>
    <row r="2057" spans="1:8" x14ac:dyDescent="0.3">
      <c r="A2057" t="e">
        <f t="shared" si="83"/>
        <v>#REF!</v>
      </c>
      <c r="B2057">
        <v>1878</v>
      </c>
      <c r="C2057" s="1">
        <v>20.343840949126118</v>
      </c>
      <c r="D2057" s="9">
        <v>17.973666666669946</v>
      </c>
      <c r="E2057" s="1">
        <v>5.07158</v>
      </c>
      <c r="F2057" s="1">
        <v>9.0019399999999994</v>
      </c>
      <c r="G2057" s="1">
        <v>13.4635</v>
      </c>
      <c r="H2057" s="1">
        <v>-0.44999400000000001</v>
      </c>
    </row>
    <row r="2058" spans="1:8" x14ac:dyDescent="0.3">
      <c r="A2058">
        <f t="shared" si="83"/>
        <v>7</v>
      </c>
      <c r="B2058">
        <v>1928</v>
      </c>
      <c r="C2058" s="1">
        <v>19.91950339831909</v>
      </c>
      <c r="D2058" s="9">
        <v>18.020888888892255</v>
      </c>
      <c r="E2058" s="1">
        <v>4.1343500000000004</v>
      </c>
      <c r="F2058" s="1">
        <v>9.0285399999999996</v>
      </c>
      <c r="G2058" s="1">
        <v>13.4556</v>
      </c>
      <c r="H2058" s="1">
        <v>-1.7209399999999999</v>
      </c>
    </row>
    <row r="2059" spans="1:8" x14ac:dyDescent="0.3">
      <c r="A2059" t="e">
        <f t="shared" si="83"/>
        <v>#REF!</v>
      </c>
      <c r="B2059">
        <v>1978</v>
      </c>
      <c r="C2059" s="1">
        <v>19.6431242393151</v>
      </c>
      <c r="D2059" s="9">
        <v>18.068111111114565</v>
      </c>
      <c r="E2059" s="1">
        <v>3.3131400000000002</v>
      </c>
      <c r="F2059" s="1">
        <v>9.0995500000000007</v>
      </c>
      <c r="G2059" s="1">
        <v>13.571400000000001</v>
      </c>
      <c r="H2059" s="1">
        <v>-3.0333000000000001</v>
      </c>
    </row>
    <row r="2060" spans="1:8" x14ac:dyDescent="0.3">
      <c r="A2060">
        <f t="shared" si="83"/>
        <v>23</v>
      </c>
      <c r="B2060">
        <v>2028</v>
      </c>
      <c r="C2060" s="1">
        <v>19.407766694431459</v>
      </c>
      <c r="D2060" s="9">
        <v>18.115333333336874</v>
      </c>
      <c r="E2060" s="1">
        <v>2.9002300000000001</v>
      </c>
      <c r="F2060" s="1">
        <v>9.0212599999999998</v>
      </c>
      <c r="G2060" s="1">
        <v>13.6526</v>
      </c>
      <c r="H2060" s="1">
        <v>-4.2534799999999997</v>
      </c>
    </row>
    <row r="2061" spans="1:8" x14ac:dyDescent="0.3">
      <c r="A2061" t="e">
        <f t="shared" si="83"/>
        <v>#REF!</v>
      </c>
      <c r="B2061">
        <v>2078</v>
      </c>
      <c r="C2061" s="1">
        <v>19.266234248424841</v>
      </c>
      <c r="D2061" s="9">
        <v>18.162555555559184</v>
      </c>
      <c r="E2061" s="1">
        <v>2.82769</v>
      </c>
      <c r="F2061" s="1">
        <v>8.7917699999999996</v>
      </c>
      <c r="G2061" s="1">
        <v>13.706200000000001</v>
      </c>
      <c r="H2061" s="1">
        <v>-5.2798299999999996</v>
      </c>
    </row>
    <row r="2062" spans="1:8" x14ac:dyDescent="0.3">
      <c r="A2062">
        <f t="shared" si="83"/>
        <v>14</v>
      </c>
      <c r="B2062">
        <v>2128</v>
      </c>
      <c r="C2062" s="1">
        <v>19.190000000000001</v>
      </c>
      <c r="D2062" s="9">
        <v>18.209777777781493</v>
      </c>
      <c r="E2062" s="1">
        <v>2.76153</v>
      </c>
      <c r="F2062" s="1">
        <v>8.5645900000000008</v>
      </c>
      <c r="G2062" s="1">
        <v>13.8621</v>
      </c>
      <c r="H2062" s="1">
        <v>-6.0340400000000001</v>
      </c>
    </row>
    <row r="2063" spans="1:8" x14ac:dyDescent="0.3">
      <c r="A2063" t="e">
        <f t="shared" si="83"/>
        <v>#REF!</v>
      </c>
      <c r="B2063">
        <v>2178</v>
      </c>
      <c r="C2063" s="1">
        <v>19.165547024952009</v>
      </c>
      <c r="D2063" s="9">
        <v>18.257000000003803</v>
      </c>
      <c r="E2063" s="1">
        <v>2.6598799999999998</v>
      </c>
      <c r="F2063" s="1">
        <v>8.4573599999999995</v>
      </c>
      <c r="G2063" s="1">
        <v>14.0511</v>
      </c>
      <c r="H2063" s="1">
        <v>-6.3811499999999999</v>
      </c>
    </row>
    <row r="2064" spans="1:8" x14ac:dyDescent="0.3">
      <c r="A2064">
        <f t="shared" si="83"/>
        <v>5</v>
      </c>
      <c r="B2064">
        <v>2228</v>
      </c>
      <c r="C2064" s="1">
        <v>19.23</v>
      </c>
      <c r="D2064" s="9">
        <v>18.304222222226112</v>
      </c>
      <c r="E2064" s="1">
        <v>2.70357</v>
      </c>
      <c r="F2064" s="1">
        <v>8.5431100000000004</v>
      </c>
      <c r="G2064" s="1">
        <v>14.06</v>
      </c>
      <c r="H2064" s="1">
        <v>-6.1568399999999999</v>
      </c>
    </row>
    <row r="2065" spans="1:8" x14ac:dyDescent="0.3">
      <c r="A2065" t="e">
        <f t="shared" si="83"/>
        <v>#REF!</v>
      </c>
      <c r="B2065">
        <v>2278</v>
      </c>
      <c r="C2065" s="1">
        <v>19.449662881547649</v>
      </c>
      <c r="D2065" s="9">
        <v>18.351444444448422</v>
      </c>
      <c r="E2065" s="1">
        <v>2.8521000000000001</v>
      </c>
      <c r="F2065" s="1">
        <v>8.6956299999999995</v>
      </c>
      <c r="G2065" s="1">
        <v>13.9207</v>
      </c>
      <c r="H2065" s="1">
        <v>-5.4399899999999999</v>
      </c>
    </row>
    <row r="2066" spans="1:8" x14ac:dyDescent="0.3">
      <c r="A2066">
        <f t="shared" si="83"/>
        <v>21</v>
      </c>
      <c r="B2066">
        <v>2328</v>
      </c>
      <c r="C2066" s="1">
        <v>19.784002548765709</v>
      </c>
      <c r="D2066" s="9">
        <v>18.398666666670731</v>
      </c>
      <c r="E2066" s="1">
        <v>2.8989099999999999</v>
      </c>
      <c r="F2066" s="1">
        <v>8.6476400000000009</v>
      </c>
      <c r="G2066" s="1">
        <v>13.8477</v>
      </c>
      <c r="H2066" s="1">
        <v>-4.4928299999999997</v>
      </c>
    </row>
    <row r="2067" spans="1:8" x14ac:dyDescent="0.3">
      <c r="A2067" t="e">
        <f t="shared" si="83"/>
        <v>#REF!</v>
      </c>
      <c r="B2067">
        <v>2378</v>
      </c>
      <c r="C2067" s="1">
        <v>20.238186696933891</v>
      </c>
      <c r="D2067" s="9">
        <v>18.445888888893041</v>
      </c>
      <c r="E2067" s="1">
        <v>2.8434900000000001</v>
      </c>
      <c r="F2067" s="1">
        <v>8.3725400000000008</v>
      </c>
      <c r="G2067" s="1">
        <v>13.839600000000001</v>
      </c>
      <c r="H2067" s="1">
        <v>-3.45275</v>
      </c>
    </row>
    <row r="2068" spans="1:8" x14ac:dyDescent="0.3">
      <c r="A2068">
        <f t="shared" si="83"/>
        <v>12</v>
      </c>
      <c r="B2068">
        <v>2428</v>
      </c>
      <c r="C2068" s="1">
        <v>20.791592067208391</v>
      </c>
      <c r="D2068" s="9">
        <v>18.493111111115351</v>
      </c>
      <c r="E2068" s="1">
        <v>2.8351799999999998</v>
      </c>
      <c r="F2068" s="1">
        <v>8.0380199999999995</v>
      </c>
      <c r="G2068" s="1">
        <v>13.737</v>
      </c>
      <c r="H2068" s="1">
        <v>-2.35371</v>
      </c>
    </row>
    <row r="2069" spans="1:8" x14ac:dyDescent="0.3">
      <c r="A2069" t="e">
        <f t="shared" si="83"/>
        <v>#REF!</v>
      </c>
      <c r="B2069">
        <v>2478</v>
      </c>
      <c r="C2069" s="1">
        <v>21.343547990795521</v>
      </c>
      <c r="D2069" s="9">
        <v>18.54033333333766</v>
      </c>
      <c r="E2069" s="1">
        <v>2.7812199999999998</v>
      </c>
      <c r="F2069" s="1">
        <v>7.8350400000000002</v>
      </c>
      <c r="G2069" s="1">
        <v>13.6206</v>
      </c>
      <c r="H2069" s="1">
        <v>-1.1994400000000001</v>
      </c>
    </row>
    <row r="2070" spans="1:8" x14ac:dyDescent="0.3">
      <c r="A2070">
        <f t="shared" si="83"/>
        <v>28</v>
      </c>
      <c r="B2070">
        <v>2528</v>
      </c>
      <c r="C2070" s="1">
        <v>21.85102842488196</v>
      </c>
      <c r="D2070" s="9">
        <v>18.58755555555997</v>
      </c>
      <c r="E2070" s="1">
        <v>2.4146899999999998</v>
      </c>
      <c r="F2070" s="1">
        <v>7.9481000000000002</v>
      </c>
      <c r="G2070" s="1">
        <v>13.742900000000001</v>
      </c>
      <c r="H2070" s="1">
        <v>2.4815400000000001E-2</v>
      </c>
    </row>
    <row r="2071" spans="1:8" x14ac:dyDescent="0.3">
      <c r="A2071" t="e">
        <f t="shared" si="83"/>
        <v>#REF!</v>
      </c>
      <c r="B2071">
        <v>2578</v>
      </c>
      <c r="C2071" s="1">
        <v>22.267933935289701</v>
      </c>
      <c r="D2071" s="9">
        <v>18.634777777782279</v>
      </c>
      <c r="E2071" s="1">
        <v>1.7578199999999999</v>
      </c>
      <c r="F2071" s="1">
        <v>8.2456800000000001</v>
      </c>
      <c r="G2071" s="1">
        <v>14.063700000000001</v>
      </c>
      <c r="H2071" s="1">
        <v>1.28908</v>
      </c>
    </row>
    <row r="2072" spans="1:8" x14ac:dyDescent="0.3">
      <c r="A2072">
        <f t="shared" si="83"/>
        <v>19</v>
      </c>
      <c r="B2072">
        <v>2628</v>
      </c>
      <c r="C2072" s="1">
        <v>22.594293733523241</v>
      </c>
      <c r="D2072" s="9">
        <v>18.682000000004589</v>
      </c>
      <c r="E2072" s="1">
        <v>1.0652299999999999</v>
      </c>
      <c r="F2072" s="1">
        <v>8.3661600000000007</v>
      </c>
      <c r="G2072" s="1">
        <v>14.316599999999999</v>
      </c>
      <c r="H2072" s="1">
        <v>2.52725</v>
      </c>
    </row>
    <row r="2073" spans="1:8" x14ac:dyDescent="0.3">
      <c r="A2073" t="e">
        <f t="shared" si="83"/>
        <v>#REF!</v>
      </c>
      <c r="B2073">
        <v>2678</v>
      </c>
      <c r="C2073" s="1">
        <v>22.9737167401127</v>
      </c>
      <c r="D2073" s="9">
        <v>18.729222222226898</v>
      </c>
      <c r="E2073" s="1">
        <v>0.63125200000000004</v>
      </c>
      <c r="F2073" s="1">
        <v>8.2161100000000005</v>
      </c>
      <c r="G2073" s="1">
        <v>14.3246</v>
      </c>
      <c r="H2073" s="1">
        <v>3.6579899999999999</v>
      </c>
    </row>
    <row r="2074" spans="1:8" x14ac:dyDescent="0.3">
      <c r="A2074">
        <f t="shared" si="83"/>
        <v>10</v>
      </c>
      <c r="B2074">
        <v>2728</v>
      </c>
      <c r="C2074" s="1">
        <v>23.475732022008799</v>
      </c>
      <c r="D2074" s="9">
        <v>18.776444444449208</v>
      </c>
      <c r="E2074" s="1">
        <v>0.75365899999999997</v>
      </c>
      <c r="F2074" s="1">
        <v>7.9268299999999998</v>
      </c>
      <c r="G2074" s="1">
        <v>14.0006</v>
      </c>
      <c r="H2074" s="1">
        <v>4.5907200000000001</v>
      </c>
    </row>
    <row r="2075" spans="1:8" x14ac:dyDescent="0.3">
      <c r="A2075" t="e">
        <f t="shared" si="83"/>
        <v>#REF!</v>
      </c>
      <c r="B2075">
        <v>2778</v>
      </c>
      <c r="C2075" s="1">
        <v>23.86541443121849</v>
      </c>
      <c r="D2075" s="9">
        <v>18.823666666671517</v>
      </c>
      <c r="E2075" s="1">
        <v>1.38626</v>
      </c>
      <c r="F2075" s="1">
        <v>7.7875800000000002</v>
      </c>
      <c r="G2075" s="1">
        <v>13.499599999999999</v>
      </c>
      <c r="H2075" s="1">
        <v>5.2622099999999996</v>
      </c>
    </row>
    <row r="2076" spans="1:8" x14ac:dyDescent="0.3">
      <c r="A2076">
        <f t="shared" si="83"/>
        <v>26</v>
      </c>
      <c r="B2076">
        <v>2828</v>
      </c>
      <c r="C2076" s="1">
        <v>24.11</v>
      </c>
      <c r="D2076" s="9">
        <v>18.870888888893827</v>
      </c>
      <c r="E2076" s="1">
        <v>2.2157399999999998</v>
      </c>
      <c r="F2076" s="1">
        <v>8.1835699999999996</v>
      </c>
      <c r="G2076" s="1">
        <v>13.1564</v>
      </c>
      <c r="H2076" s="1">
        <v>5.6409000000000002</v>
      </c>
    </row>
    <row r="2077" spans="1:8" x14ac:dyDescent="0.3">
      <c r="A2077" t="e">
        <f t="shared" si="83"/>
        <v>#REF!</v>
      </c>
      <c r="B2077">
        <v>2878</v>
      </c>
      <c r="C2077" s="1">
        <v>24.308821604389159</v>
      </c>
      <c r="D2077" s="9">
        <v>18.918111111116136</v>
      </c>
      <c r="E2077" s="1">
        <v>2.9308200000000002</v>
      </c>
      <c r="F2077" s="1">
        <v>9.1577500000000001</v>
      </c>
      <c r="G2077" s="1">
        <v>13.2209</v>
      </c>
      <c r="H2077" s="1">
        <v>5.85121</v>
      </c>
    </row>
    <row r="2078" spans="1:8" x14ac:dyDescent="0.3">
      <c r="A2078">
        <f t="shared" si="83"/>
        <v>17</v>
      </c>
      <c r="B2078">
        <v>2928</v>
      </c>
      <c r="C2078" s="1">
        <v>24.21</v>
      </c>
      <c r="D2078" s="9">
        <v>18.965333333338446</v>
      </c>
      <c r="E2078" s="1">
        <v>3.2550699999999999</v>
      </c>
      <c r="F2078" s="1">
        <v>10.479699999999999</v>
      </c>
      <c r="G2078" s="1">
        <v>13.856400000000001</v>
      </c>
      <c r="H2078" s="1">
        <v>6.1226399999999996</v>
      </c>
    </row>
    <row r="2079" spans="1:8" x14ac:dyDescent="0.3">
      <c r="A2079" t="e">
        <f t="shared" si="83"/>
        <v>#REF!</v>
      </c>
      <c r="B2079">
        <v>2978</v>
      </c>
      <c r="C2079" s="1">
        <v>24.07</v>
      </c>
      <c r="D2079" s="9">
        <v>19.012555555560755</v>
      </c>
      <c r="E2079" s="1">
        <v>3.3332299999999999</v>
      </c>
      <c r="F2079" s="1">
        <v>11.8353</v>
      </c>
      <c r="G2079" s="1">
        <v>14.955500000000001</v>
      </c>
      <c r="H2079" s="1">
        <v>6.4757199999999999</v>
      </c>
    </row>
    <row r="2080" spans="1:8" x14ac:dyDescent="0.3">
      <c r="A2080">
        <f t="shared" si="83"/>
        <v>8</v>
      </c>
      <c r="B2080">
        <v>3028</v>
      </c>
      <c r="C2080" s="1">
        <v>23.95225914265362</v>
      </c>
      <c r="D2080" s="9">
        <v>19.059777777783065</v>
      </c>
      <c r="E2080" s="1">
        <v>3.6162399999999999</v>
      </c>
      <c r="F2080" s="1">
        <v>12.857200000000001</v>
      </c>
      <c r="G2080" s="1">
        <v>16.203299999999999</v>
      </c>
      <c r="H2080" s="1">
        <v>6.7812700000000001</v>
      </c>
    </row>
    <row r="2081" spans="1:8" x14ac:dyDescent="0.3">
      <c r="A2081" t="e">
        <f t="shared" si="83"/>
        <v>#REF!</v>
      </c>
      <c r="B2081">
        <v>3078</v>
      </c>
      <c r="C2081" s="1">
        <v>23.72817228882073</v>
      </c>
      <c r="D2081" s="9">
        <v>19.107000000005375</v>
      </c>
      <c r="E2081" s="1">
        <v>4.27095</v>
      </c>
      <c r="F2081" s="1">
        <v>13.2812</v>
      </c>
      <c r="G2081" s="1">
        <v>17.2727</v>
      </c>
      <c r="H2081" s="1">
        <v>7.0951899999999997</v>
      </c>
    </row>
    <row r="2082" spans="1:8" x14ac:dyDescent="0.3">
      <c r="A2082">
        <f t="shared" si="83"/>
        <v>24</v>
      </c>
      <c r="B2082">
        <v>3128</v>
      </c>
      <c r="C2082" s="1">
        <v>23.344789507304881</v>
      </c>
      <c r="D2082" s="9">
        <v>19.154222222227684</v>
      </c>
      <c r="E2082" s="1">
        <v>5.2273699999999996</v>
      </c>
      <c r="F2082" s="1">
        <v>12.960699999999999</v>
      </c>
      <c r="G2082" s="1">
        <v>17.860700000000001</v>
      </c>
      <c r="H2082" s="1">
        <v>7.6046800000000001</v>
      </c>
    </row>
    <row r="2083" spans="1:8" x14ac:dyDescent="0.3">
      <c r="A2083" t="e">
        <f t="shared" si="83"/>
        <v>#REF!</v>
      </c>
      <c r="B2083">
        <v>3178</v>
      </c>
      <c r="C2083" s="1">
        <v>22.943536508950579</v>
      </c>
      <c r="D2083" s="9">
        <v>19.201444444449994</v>
      </c>
      <c r="E2083" s="1">
        <v>6.31128</v>
      </c>
      <c r="F2083" s="1">
        <v>12.058299999999999</v>
      </c>
      <c r="G2083" s="1">
        <v>17.932600000000001</v>
      </c>
      <c r="H2083" s="1">
        <v>8.3834599999999995</v>
      </c>
    </row>
    <row r="2084" spans="1:8" x14ac:dyDescent="0.3">
      <c r="A2084">
        <f t="shared" si="83"/>
        <v>15</v>
      </c>
      <c r="B2084">
        <v>3228</v>
      </c>
      <c r="C2084" s="1">
        <v>22.585494253360132</v>
      </c>
      <c r="D2084" s="9">
        <v>19.248666666672303</v>
      </c>
      <c r="E2084" s="1">
        <v>7.2996800000000004</v>
      </c>
      <c r="F2084" s="1">
        <v>10.9413</v>
      </c>
      <c r="G2084" s="1">
        <v>17.645499999999998</v>
      </c>
      <c r="H2084" s="1">
        <v>9.4167500000000004</v>
      </c>
    </row>
    <row r="2085" spans="1:8" x14ac:dyDescent="0.3">
      <c r="A2085" t="e">
        <f t="shared" ref="A2085:A2091" si="84">A2035</f>
        <v>#REF!</v>
      </c>
      <c r="B2085">
        <v>3278</v>
      </c>
      <c r="C2085" s="1">
        <v>22.172099975876179</v>
      </c>
      <c r="D2085" s="9">
        <v>19.295888888894613</v>
      </c>
      <c r="E2085" s="1">
        <v>8.1998499999999996</v>
      </c>
      <c r="F2085" s="1">
        <v>9.9757899999999999</v>
      </c>
      <c r="G2085" s="1">
        <v>17.2148</v>
      </c>
      <c r="H2085" s="1">
        <v>10.646599999999999</v>
      </c>
    </row>
    <row r="2086" spans="1:8" x14ac:dyDescent="0.3">
      <c r="A2086">
        <f t="shared" si="84"/>
        <v>6</v>
      </c>
      <c r="B2086">
        <v>3328</v>
      </c>
      <c r="C2086" s="1">
        <v>21.825451418303139</v>
      </c>
      <c r="D2086" s="9">
        <v>19.343111111116922</v>
      </c>
      <c r="E2086" s="1">
        <v>9.3837700000000002</v>
      </c>
      <c r="F2086" s="1">
        <v>10.021100000000001</v>
      </c>
      <c r="G2086" s="1">
        <v>17.0595</v>
      </c>
      <c r="H2086" s="1">
        <v>12.026300000000001</v>
      </c>
    </row>
    <row r="2087" spans="1:8" x14ac:dyDescent="0.3">
      <c r="A2087" t="e">
        <f t="shared" si="84"/>
        <v>#REF!</v>
      </c>
      <c r="B2087">
        <v>3378</v>
      </c>
      <c r="C2087" s="1">
        <v>21.525274260177561</v>
      </c>
      <c r="D2087" s="9">
        <v>19.390333333339232</v>
      </c>
      <c r="E2087" s="1">
        <v>11.0502</v>
      </c>
      <c r="F2087" s="1">
        <v>11.3523</v>
      </c>
      <c r="G2087" s="1">
        <v>17.268699999999999</v>
      </c>
      <c r="H2087" s="1">
        <v>13.4612</v>
      </c>
    </row>
    <row r="2088" spans="1:8" x14ac:dyDescent="0.3">
      <c r="A2088">
        <f t="shared" si="84"/>
        <v>22</v>
      </c>
      <c r="B2088">
        <v>3428</v>
      </c>
      <c r="C2088" s="1">
        <v>21.164808878981582</v>
      </c>
      <c r="D2088" s="9">
        <v>19.437555555561541</v>
      </c>
      <c r="E2088" s="1">
        <v>12.885</v>
      </c>
      <c r="F2088" s="1">
        <v>13.0304</v>
      </c>
      <c r="G2088" s="1">
        <v>17.618300000000001</v>
      </c>
      <c r="H2088" s="1">
        <v>14.8689</v>
      </c>
    </row>
    <row r="2089" spans="1:8" x14ac:dyDescent="0.3">
      <c r="A2089" t="e">
        <f t="shared" si="84"/>
        <v>#REF!</v>
      </c>
      <c r="B2089">
        <v>3478</v>
      </c>
      <c r="C2089" s="1">
        <v>20.650262954622519</v>
      </c>
      <c r="D2089" s="9">
        <v>19.484777777783851</v>
      </c>
      <c r="E2089" s="1">
        <v>14.797499999999999</v>
      </c>
      <c r="F2089" s="1">
        <v>14.8636</v>
      </c>
      <c r="G2089" s="1">
        <v>18.092500000000001</v>
      </c>
      <c r="H2089" s="1">
        <v>16.2576</v>
      </c>
    </row>
    <row r="2090" spans="1:8" x14ac:dyDescent="0.3">
      <c r="A2090">
        <f t="shared" si="84"/>
        <v>13</v>
      </c>
      <c r="B2090">
        <v>3528</v>
      </c>
      <c r="C2090" s="1">
        <v>20.22131340728405</v>
      </c>
      <c r="D2090" s="9">
        <v>19.53200000000616</v>
      </c>
      <c r="E2090" s="1">
        <v>16.7502</v>
      </c>
      <c r="F2090" s="1">
        <v>16.775200000000002</v>
      </c>
      <c r="G2090" s="1">
        <v>18.660599999999999</v>
      </c>
      <c r="H2090" s="1">
        <v>17.633700000000001</v>
      </c>
    </row>
    <row r="2091" spans="1:8" x14ac:dyDescent="0.3">
      <c r="A2091" t="e">
        <f t="shared" si="84"/>
        <v>#REF!</v>
      </c>
      <c r="B2091">
        <v>3578</v>
      </c>
      <c r="C2091" s="1">
        <v>19.79374130376803</v>
      </c>
      <c r="D2091" s="9">
        <v>19.57922222222847</v>
      </c>
      <c r="E2091" s="1">
        <v>18.7258</v>
      </c>
      <c r="F2091" s="1">
        <v>18.730599999999999</v>
      </c>
      <c r="G2091" s="1">
        <v>19.3002</v>
      </c>
      <c r="H2091" s="1">
        <v>19.000699999999998</v>
      </c>
    </row>
    <row r="2092" spans="1:8" x14ac:dyDescent="0.3">
      <c r="A2092">
        <v>29</v>
      </c>
      <c r="B2092">
        <v>29</v>
      </c>
      <c r="C2092" s="1">
        <v>16.170000000000002</v>
      </c>
      <c r="D2092" s="9">
        <v>16.227388888888939</v>
      </c>
      <c r="E2092" s="1">
        <v>15.125400000000001</v>
      </c>
      <c r="F2092" s="1">
        <v>15.053800000000001</v>
      </c>
      <c r="G2092" s="1">
        <v>15.848000000000001</v>
      </c>
      <c r="H2092" s="1">
        <v>15.1187</v>
      </c>
    </row>
    <row r="2093" spans="1:8" x14ac:dyDescent="0.3">
      <c r="A2093" t="e">
        <f t="shared" ref="A2093:A2124" si="85">A2043</f>
        <v>#REF!</v>
      </c>
      <c r="B2093">
        <v>79</v>
      </c>
      <c r="C2093" s="1">
        <v>16.228107177719931</v>
      </c>
      <c r="D2093" s="9">
        <v>16.274611111111248</v>
      </c>
      <c r="E2093" s="1">
        <v>13.290800000000001</v>
      </c>
      <c r="F2093" s="1">
        <v>13.100199999999999</v>
      </c>
      <c r="G2093" s="1">
        <v>15.284700000000001</v>
      </c>
      <c r="H2093" s="1">
        <v>13.247299999999999</v>
      </c>
    </row>
    <row r="2094" spans="1:8" x14ac:dyDescent="0.3">
      <c r="A2094">
        <f t="shared" si="85"/>
        <v>20</v>
      </c>
      <c r="B2094">
        <v>129</v>
      </c>
      <c r="C2094" s="1">
        <v>16.342424724754832</v>
      </c>
      <c r="D2094" s="9">
        <v>16.321833333333558</v>
      </c>
      <c r="E2094" s="1">
        <v>11.487399999999999</v>
      </c>
      <c r="F2094" s="1">
        <v>11.1915</v>
      </c>
      <c r="G2094" s="1">
        <v>14.7881</v>
      </c>
      <c r="H2094" s="1">
        <v>11.366</v>
      </c>
    </row>
    <row r="2095" spans="1:8" x14ac:dyDescent="0.3">
      <c r="A2095" t="e">
        <f t="shared" si="85"/>
        <v>#REF!</v>
      </c>
      <c r="B2095">
        <v>179</v>
      </c>
      <c r="C2095" s="1">
        <v>16.600615093446891</v>
      </c>
      <c r="D2095" s="9">
        <v>16.369055555555867</v>
      </c>
      <c r="E2095" s="1">
        <v>9.7312999999999992</v>
      </c>
      <c r="F2095" s="1">
        <v>9.3636400000000002</v>
      </c>
      <c r="G2095" s="1">
        <v>14.3749</v>
      </c>
      <c r="H2095" s="1">
        <v>9.4746600000000001</v>
      </c>
    </row>
    <row r="2096" spans="1:8" x14ac:dyDescent="0.3">
      <c r="A2096">
        <f t="shared" si="85"/>
        <v>11</v>
      </c>
      <c r="B2096">
        <v>229</v>
      </c>
      <c r="C2096" s="1">
        <v>16.8675118337739</v>
      </c>
      <c r="D2096" s="9">
        <v>16.416277777778177</v>
      </c>
      <c r="E2096" s="1">
        <v>8.0527099999999994</v>
      </c>
      <c r="F2096" s="1">
        <v>7.6963200000000001</v>
      </c>
      <c r="G2096" s="1">
        <v>14.060499999999999</v>
      </c>
      <c r="H2096" s="1">
        <v>7.5778600000000003</v>
      </c>
    </row>
    <row r="2097" spans="1:8" x14ac:dyDescent="0.3">
      <c r="A2097" t="e">
        <f t="shared" si="85"/>
        <v>#REF!</v>
      </c>
      <c r="B2097">
        <v>279</v>
      </c>
      <c r="C2097" s="1">
        <v>17.0182167911635</v>
      </c>
      <c r="D2097" s="9">
        <v>16.463500000000487</v>
      </c>
      <c r="E2097" s="1">
        <v>6.5212599999999998</v>
      </c>
      <c r="F2097" s="1">
        <v>6.4105699999999999</v>
      </c>
      <c r="G2097" s="1">
        <v>13.827400000000001</v>
      </c>
      <c r="H2097" s="1">
        <v>5.7171000000000003</v>
      </c>
    </row>
    <row r="2098" spans="1:8" x14ac:dyDescent="0.3">
      <c r="A2098">
        <f t="shared" si="85"/>
        <v>27</v>
      </c>
      <c r="B2098">
        <v>329</v>
      </c>
      <c r="C2098" s="1">
        <v>17.22099815430623</v>
      </c>
      <c r="D2098" s="9">
        <v>16.510722222222796</v>
      </c>
      <c r="E2098" s="1">
        <v>5.4590300000000003</v>
      </c>
      <c r="F2098" s="1">
        <v>6.2619499999999997</v>
      </c>
      <c r="G2098" s="1">
        <v>13.8978</v>
      </c>
      <c r="H2098" s="1">
        <v>4.2966800000000003</v>
      </c>
    </row>
    <row r="2099" spans="1:8" x14ac:dyDescent="0.3">
      <c r="A2099" t="e">
        <f t="shared" si="85"/>
        <v>#REF!</v>
      </c>
      <c r="B2099">
        <v>379</v>
      </c>
      <c r="C2099" s="1">
        <v>17.436287720235129</v>
      </c>
      <c r="D2099" s="9">
        <v>16.557944444445106</v>
      </c>
      <c r="E2099" s="1">
        <v>4.7509300000000003</v>
      </c>
      <c r="F2099" s="1">
        <v>6.5916600000000001</v>
      </c>
      <c r="G2099" s="1">
        <v>14.063499999999999</v>
      </c>
      <c r="H2099" s="1">
        <v>3.30111</v>
      </c>
    </row>
    <row r="2100" spans="1:8" x14ac:dyDescent="0.3">
      <c r="A2100">
        <f t="shared" si="85"/>
        <v>18</v>
      </c>
      <c r="B2100">
        <v>429</v>
      </c>
      <c r="C2100" s="1">
        <v>17.694515820056829</v>
      </c>
      <c r="D2100" s="9">
        <v>16.605166666667415</v>
      </c>
      <c r="E2100" s="1">
        <v>4.2929700000000004</v>
      </c>
      <c r="F2100" s="1">
        <v>6.7394999999999996</v>
      </c>
      <c r="G2100" s="1">
        <v>13.986800000000001</v>
      </c>
      <c r="H2100" s="1">
        <v>2.66656</v>
      </c>
    </row>
    <row r="2101" spans="1:8" x14ac:dyDescent="0.3">
      <c r="A2101" t="e">
        <f t="shared" si="85"/>
        <v>#REF!</v>
      </c>
      <c r="B2101">
        <v>479</v>
      </c>
      <c r="C2101" s="1">
        <v>17.83836413429691</v>
      </c>
      <c r="D2101" s="9">
        <v>16.652388888889725</v>
      </c>
      <c r="E2101" s="1">
        <v>3.9011300000000002</v>
      </c>
      <c r="F2101" s="1">
        <v>6.5107999999999997</v>
      </c>
      <c r="G2101" s="1">
        <v>13.6815</v>
      </c>
      <c r="H2101" s="1">
        <v>2.2236799999999999</v>
      </c>
    </row>
    <row r="2102" spans="1:8" x14ac:dyDescent="0.3">
      <c r="A2102">
        <f t="shared" si="85"/>
        <v>9</v>
      </c>
      <c r="B2102">
        <v>529</v>
      </c>
      <c r="C2102" s="1">
        <v>18.068286737562229</v>
      </c>
      <c r="D2102" s="9">
        <v>16.699611111112034</v>
      </c>
      <c r="E2102" s="1">
        <v>3.2623199999999999</v>
      </c>
      <c r="F2102" s="1">
        <v>5.8616099999999998</v>
      </c>
      <c r="G2102" s="1">
        <v>13.3406</v>
      </c>
      <c r="H2102" s="1">
        <v>1.64666</v>
      </c>
    </row>
    <row r="2103" spans="1:8" x14ac:dyDescent="0.3">
      <c r="A2103">
        <f t="shared" si="85"/>
        <v>0</v>
      </c>
      <c r="B2103">
        <v>579</v>
      </c>
      <c r="C2103" s="1">
        <v>18.282125295447539</v>
      </c>
      <c r="D2103" s="9">
        <v>16.746833333334344</v>
      </c>
      <c r="E2103" s="1">
        <v>2.3703699999999999</v>
      </c>
      <c r="F2103" s="1">
        <v>4.9022699999999997</v>
      </c>
      <c r="G2103" s="1">
        <v>13.003299999999999</v>
      </c>
      <c r="H2103" s="1">
        <v>0.91244899999999995</v>
      </c>
    </row>
    <row r="2104" spans="1:8" x14ac:dyDescent="0.3">
      <c r="A2104">
        <f t="shared" si="85"/>
        <v>25</v>
      </c>
      <c r="B2104">
        <v>629</v>
      </c>
      <c r="C2104" s="1">
        <v>18.48</v>
      </c>
      <c r="D2104" s="9">
        <v>16.794055555556653</v>
      </c>
      <c r="E2104" s="1">
        <v>1.48333</v>
      </c>
      <c r="F2104" s="1">
        <v>3.8728099999999999</v>
      </c>
      <c r="G2104" s="1">
        <v>12.5878</v>
      </c>
      <c r="H2104" s="1">
        <v>0.26079599999999997</v>
      </c>
    </row>
    <row r="2105" spans="1:8" x14ac:dyDescent="0.3">
      <c r="A2105" t="e">
        <f t="shared" si="85"/>
        <v>#REF!</v>
      </c>
      <c r="B2105">
        <v>679</v>
      </c>
      <c r="C2105" s="1">
        <v>18.583277835098059</v>
      </c>
      <c r="D2105" s="9">
        <v>16.841277777778963</v>
      </c>
      <c r="E2105" s="1">
        <v>0.842557</v>
      </c>
      <c r="F2105" s="1">
        <v>2.9983900000000001</v>
      </c>
      <c r="G2105" s="1">
        <v>12.2117</v>
      </c>
      <c r="H2105" s="1">
        <v>-3.1065499999999999E-2</v>
      </c>
    </row>
    <row r="2106" spans="1:8" x14ac:dyDescent="0.3">
      <c r="A2106">
        <f t="shared" si="85"/>
        <v>16</v>
      </c>
      <c r="B2106">
        <v>729</v>
      </c>
      <c r="C2106" s="1">
        <v>18.757645291833661</v>
      </c>
      <c r="D2106" s="9">
        <v>16.888500000001272</v>
      </c>
      <c r="E2106" s="1">
        <v>0.64798100000000003</v>
      </c>
      <c r="F2106" s="1">
        <v>2.4665599999999999</v>
      </c>
      <c r="G2106" s="1">
        <v>12.1404</v>
      </c>
      <c r="H2106" s="1">
        <v>0.31154300000000001</v>
      </c>
    </row>
    <row r="2107" spans="1:8" x14ac:dyDescent="0.3">
      <c r="A2107" t="e">
        <f t="shared" si="85"/>
        <v>#REF!</v>
      </c>
      <c r="B2107">
        <v>779</v>
      </c>
      <c r="C2107" s="1">
        <v>18.932730199462529</v>
      </c>
      <c r="D2107" s="9">
        <v>16.935722222223582</v>
      </c>
      <c r="E2107" s="1">
        <v>0.82788399999999995</v>
      </c>
      <c r="F2107" s="1">
        <v>2.19455</v>
      </c>
      <c r="G2107" s="1">
        <v>12.4115</v>
      </c>
      <c r="H2107" s="1">
        <v>1.2061599999999999</v>
      </c>
    </row>
    <row r="2108" spans="1:8" x14ac:dyDescent="0.3">
      <c r="A2108">
        <f t="shared" si="85"/>
        <v>7</v>
      </c>
      <c r="B2108">
        <v>829</v>
      </c>
      <c r="C2108" s="1">
        <v>19.311390451176141</v>
      </c>
      <c r="D2108" s="9">
        <v>16.982944444445891</v>
      </c>
      <c r="E2108" s="1">
        <v>1.1104400000000001</v>
      </c>
      <c r="F2108" s="1">
        <v>1.90907</v>
      </c>
      <c r="G2108" s="1">
        <v>12.8736</v>
      </c>
      <c r="H2108" s="1">
        <v>2.2893599999999998</v>
      </c>
    </row>
    <row r="2109" spans="1:8" x14ac:dyDescent="0.3">
      <c r="A2109" t="e">
        <f t="shared" si="85"/>
        <v>#REF!</v>
      </c>
      <c r="B2109">
        <v>879</v>
      </c>
      <c r="C2109" s="1">
        <v>19.577088130505071</v>
      </c>
      <c r="D2109" s="9">
        <v>17.030166666668201</v>
      </c>
      <c r="E2109" s="1">
        <v>1.41296</v>
      </c>
      <c r="F2109" s="1">
        <v>1.65608</v>
      </c>
      <c r="G2109" s="1">
        <v>13.271599999999999</v>
      </c>
      <c r="H2109" s="1">
        <v>3.1821700000000002</v>
      </c>
    </row>
    <row r="2110" spans="1:8" x14ac:dyDescent="0.3">
      <c r="A2110">
        <f t="shared" si="85"/>
        <v>23</v>
      </c>
      <c r="B2110">
        <v>929</v>
      </c>
      <c r="C2110" s="1">
        <v>19.838037633946239</v>
      </c>
      <c r="D2110" s="9">
        <v>17.077388888890511</v>
      </c>
      <c r="E2110" s="1">
        <v>1.7953399999999999</v>
      </c>
      <c r="F2110" s="1">
        <v>1.7195800000000001</v>
      </c>
      <c r="G2110" s="1">
        <v>13.2964</v>
      </c>
      <c r="H2110" s="1">
        <v>3.5234800000000002</v>
      </c>
    </row>
    <row r="2111" spans="1:8" x14ac:dyDescent="0.3">
      <c r="A2111" t="e">
        <f t="shared" si="85"/>
        <v>#REF!</v>
      </c>
      <c r="B2111">
        <v>979</v>
      </c>
      <c r="C2111" s="1">
        <v>20.20420780076843</v>
      </c>
      <c r="D2111" s="9">
        <v>17.12461111111282</v>
      </c>
      <c r="E2111" s="1">
        <v>2.16669</v>
      </c>
      <c r="F2111" s="1">
        <v>2.13889</v>
      </c>
      <c r="G2111" s="1">
        <v>13.004200000000001</v>
      </c>
      <c r="H2111" s="1">
        <v>3.3213499999999998</v>
      </c>
    </row>
    <row r="2112" spans="1:8" x14ac:dyDescent="0.3">
      <c r="A2112">
        <f t="shared" si="85"/>
        <v>14</v>
      </c>
      <c r="B2112">
        <v>1029</v>
      </c>
      <c r="C2112" s="1">
        <v>20.627065839783651</v>
      </c>
      <c r="D2112" s="9">
        <v>17.17183333333513</v>
      </c>
      <c r="E2112" s="1">
        <v>2.33006</v>
      </c>
      <c r="F2112" s="1">
        <v>2.7503600000000001</v>
      </c>
      <c r="G2112" s="1">
        <v>12.7285</v>
      </c>
      <c r="H2112" s="1">
        <v>2.8757100000000002</v>
      </c>
    </row>
    <row r="2113" spans="1:8" x14ac:dyDescent="0.3">
      <c r="A2113" t="e">
        <f t="shared" si="85"/>
        <v>#REF!</v>
      </c>
      <c r="B2113">
        <v>1079</v>
      </c>
      <c r="C2113" s="1">
        <v>21.06258985385799</v>
      </c>
      <c r="D2113" s="9">
        <v>17.219055555557439</v>
      </c>
      <c r="E2113" s="1">
        <v>2.3153199999999998</v>
      </c>
      <c r="F2113" s="1">
        <v>3.2864399999999998</v>
      </c>
      <c r="G2113" s="1">
        <v>12.648899999999999</v>
      </c>
      <c r="H2113" s="1">
        <v>2.5554199999999998</v>
      </c>
    </row>
    <row r="2114" spans="1:8" x14ac:dyDescent="0.3">
      <c r="A2114">
        <f t="shared" si="85"/>
        <v>5</v>
      </c>
      <c r="B2114">
        <v>1129</v>
      </c>
      <c r="C2114" s="1">
        <v>21.443202822652239</v>
      </c>
      <c r="D2114" s="9">
        <v>17.266277777779749</v>
      </c>
      <c r="E2114" s="1">
        <v>2.3168500000000001</v>
      </c>
      <c r="F2114" s="1">
        <v>3.4288400000000001</v>
      </c>
      <c r="G2114" s="1">
        <v>12.805899999999999</v>
      </c>
      <c r="H2114" s="1">
        <v>2.7501199999999999</v>
      </c>
    </row>
    <row r="2115" spans="1:8" x14ac:dyDescent="0.3">
      <c r="A2115" t="e">
        <f t="shared" si="85"/>
        <v>#REF!</v>
      </c>
      <c r="B2115">
        <v>1179</v>
      </c>
      <c r="C2115" s="1">
        <v>21.743186865148871</v>
      </c>
      <c r="D2115" s="9">
        <v>17.313500000002058</v>
      </c>
      <c r="E2115" s="1">
        <v>2.3060100000000001</v>
      </c>
      <c r="F2115" s="1">
        <v>3.2517299999999998</v>
      </c>
      <c r="G2115" s="1">
        <v>13.0541</v>
      </c>
      <c r="H2115" s="1">
        <v>3.4457800000000001</v>
      </c>
    </row>
    <row r="2116" spans="1:8" x14ac:dyDescent="0.3">
      <c r="A2116">
        <f t="shared" si="85"/>
        <v>21</v>
      </c>
      <c r="B2116">
        <v>1229</v>
      </c>
      <c r="C2116" s="1">
        <v>22.195004225469301</v>
      </c>
      <c r="D2116" s="9">
        <v>17.360722222224368</v>
      </c>
      <c r="E2116" s="1">
        <v>2.0963799999999999</v>
      </c>
      <c r="F2116" s="1">
        <v>3.1214</v>
      </c>
      <c r="G2116" s="1">
        <v>13.1259</v>
      </c>
      <c r="H2116" s="1">
        <v>4.3192300000000001</v>
      </c>
    </row>
    <row r="2117" spans="1:8" x14ac:dyDescent="0.3">
      <c r="A2117" t="e">
        <f t="shared" si="85"/>
        <v>#REF!</v>
      </c>
      <c r="B2117">
        <v>1279</v>
      </c>
      <c r="C2117" s="1">
        <v>22.620489701056851</v>
      </c>
      <c r="D2117" s="9">
        <v>17.407944444446677</v>
      </c>
      <c r="E2117" s="1">
        <v>1.78884</v>
      </c>
      <c r="F2117" s="1">
        <v>3.20106</v>
      </c>
      <c r="G2117" s="1">
        <v>13.0487</v>
      </c>
      <c r="H2117" s="1">
        <v>5.1014299999999997</v>
      </c>
    </row>
    <row r="2118" spans="1:8" x14ac:dyDescent="0.3">
      <c r="A2118">
        <f t="shared" si="85"/>
        <v>12</v>
      </c>
      <c r="B2118">
        <v>1329</v>
      </c>
      <c r="C2118" s="1">
        <v>22.971326828458139</v>
      </c>
      <c r="D2118" s="9">
        <v>17.455166666668987</v>
      </c>
      <c r="E2118" s="1">
        <v>1.69607</v>
      </c>
      <c r="F2118" s="1">
        <v>3.4851100000000002</v>
      </c>
      <c r="G2118" s="1">
        <v>13.0647</v>
      </c>
      <c r="H2118" s="1">
        <v>5.5877499999999998</v>
      </c>
    </row>
    <row r="2119" spans="1:8" x14ac:dyDescent="0.3">
      <c r="A2119" t="e">
        <f t="shared" si="85"/>
        <v>#REF!</v>
      </c>
      <c r="B2119">
        <v>1379</v>
      </c>
      <c r="C2119" s="1">
        <v>23.18</v>
      </c>
      <c r="D2119" s="9">
        <v>17.502388888891296</v>
      </c>
      <c r="E2119" s="1">
        <v>1.91798</v>
      </c>
      <c r="F2119" s="1">
        <v>3.8784000000000001</v>
      </c>
      <c r="G2119" s="1">
        <v>13.163</v>
      </c>
      <c r="H2119" s="1">
        <v>5.819</v>
      </c>
    </row>
    <row r="2120" spans="1:8" x14ac:dyDescent="0.3">
      <c r="A2120">
        <f t="shared" si="85"/>
        <v>28</v>
      </c>
      <c r="B2120">
        <v>1429</v>
      </c>
      <c r="C2120" s="1">
        <v>23.26</v>
      </c>
      <c r="D2120" s="9">
        <v>17.549611111113606</v>
      </c>
      <c r="E2120" s="1">
        <v>2.3772700000000002</v>
      </c>
      <c r="F2120" s="1">
        <v>4.2271900000000002</v>
      </c>
      <c r="G2120" s="1">
        <v>13.1479</v>
      </c>
      <c r="H2120" s="1">
        <v>6.0079500000000001</v>
      </c>
    </row>
    <row r="2121" spans="1:8" x14ac:dyDescent="0.3">
      <c r="A2121" t="e">
        <f t="shared" si="85"/>
        <v>#REF!</v>
      </c>
      <c r="B2121">
        <v>1479</v>
      </c>
      <c r="C2121" s="1">
        <v>23.2</v>
      </c>
      <c r="D2121" s="9">
        <v>17.596833333335915</v>
      </c>
      <c r="E2121" s="1">
        <v>2.8708100000000001</v>
      </c>
      <c r="F2121" s="1">
        <v>4.4821200000000001</v>
      </c>
      <c r="G2121" s="1">
        <v>13.0603</v>
      </c>
      <c r="H2121" s="1">
        <v>6.1416000000000004</v>
      </c>
    </row>
    <row r="2122" spans="1:8" x14ac:dyDescent="0.3">
      <c r="A2122">
        <f t="shared" si="85"/>
        <v>19</v>
      </c>
      <c r="B2122">
        <v>1529</v>
      </c>
      <c r="C2122" s="1">
        <v>22.97106069945827</v>
      </c>
      <c r="D2122" s="9">
        <v>17.644055555558225</v>
      </c>
      <c r="E2122" s="1">
        <v>3.1283400000000001</v>
      </c>
      <c r="F2122" s="1">
        <v>4.6842100000000002</v>
      </c>
      <c r="G2122" s="1">
        <v>13.1105</v>
      </c>
      <c r="H2122" s="1">
        <v>6.0382199999999999</v>
      </c>
    </row>
    <row r="2123" spans="1:8" x14ac:dyDescent="0.3">
      <c r="A2123" t="e">
        <f t="shared" si="85"/>
        <v>#REF!</v>
      </c>
      <c r="B2123">
        <v>1579</v>
      </c>
      <c r="C2123" s="1">
        <v>22.661730436627071</v>
      </c>
      <c r="D2123" s="9">
        <v>17.691277777780535</v>
      </c>
      <c r="E2123" s="1">
        <v>3.2711700000000001</v>
      </c>
      <c r="F2123" s="1">
        <v>5.0070800000000002</v>
      </c>
      <c r="G2123" s="1">
        <v>13.2719</v>
      </c>
      <c r="H2123" s="1">
        <v>5.6268200000000004</v>
      </c>
    </row>
    <row r="2124" spans="1:8" x14ac:dyDescent="0.3">
      <c r="A2124">
        <f t="shared" si="85"/>
        <v>10</v>
      </c>
      <c r="B2124">
        <v>1629</v>
      </c>
      <c r="C2124" s="1">
        <v>22.26867402061281</v>
      </c>
      <c r="D2124" s="9">
        <v>17.738500000002844</v>
      </c>
      <c r="E2124" s="1">
        <v>3.6988500000000002</v>
      </c>
      <c r="F2124" s="1">
        <v>5.7038399999999996</v>
      </c>
      <c r="G2124" s="1">
        <v>13.347</v>
      </c>
      <c r="H2124" s="1">
        <v>4.9273800000000003</v>
      </c>
    </row>
    <row r="2125" spans="1:8" x14ac:dyDescent="0.3">
      <c r="A2125" t="e">
        <f t="shared" ref="A2125:A2156" si="86">A2075</f>
        <v>#REF!</v>
      </c>
      <c r="B2125">
        <v>1679</v>
      </c>
      <c r="C2125" s="1">
        <v>21.83130951382147</v>
      </c>
      <c r="D2125" s="9">
        <v>17.785722222225154</v>
      </c>
      <c r="E2125" s="1">
        <v>4.4535</v>
      </c>
      <c r="F2125" s="1">
        <v>6.7233700000000001</v>
      </c>
      <c r="G2125" s="1">
        <v>13.3514</v>
      </c>
      <c r="H2125" s="1">
        <v>4.0048199999999996</v>
      </c>
    </row>
    <row r="2126" spans="1:8" x14ac:dyDescent="0.3">
      <c r="A2126">
        <f t="shared" si="86"/>
        <v>26</v>
      </c>
      <c r="B2126">
        <v>1729</v>
      </c>
      <c r="C2126" s="1">
        <v>21.37</v>
      </c>
      <c r="D2126" s="9">
        <v>17.832944444447463</v>
      </c>
      <c r="E2126" s="1">
        <v>5.29094</v>
      </c>
      <c r="F2126" s="1">
        <v>7.7813800000000004</v>
      </c>
      <c r="G2126" s="1">
        <v>13.451700000000001</v>
      </c>
      <c r="H2126" s="1">
        <v>2.9544800000000002</v>
      </c>
    </row>
    <row r="2127" spans="1:8" x14ac:dyDescent="0.3">
      <c r="A2127" t="e">
        <f t="shared" si="86"/>
        <v>#REF!</v>
      </c>
      <c r="B2127">
        <v>1779</v>
      </c>
      <c r="C2127" s="1">
        <v>21.061147747633459</v>
      </c>
      <c r="D2127" s="9">
        <v>17.880166666669773</v>
      </c>
      <c r="E2127" s="1">
        <v>5.8601400000000003</v>
      </c>
      <c r="F2127" s="1">
        <v>8.6091999999999995</v>
      </c>
      <c r="G2127" s="1">
        <v>13.5969</v>
      </c>
      <c r="H2127" s="1">
        <v>1.84171</v>
      </c>
    </row>
    <row r="2128" spans="1:8" x14ac:dyDescent="0.3">
      <c r="A2128">
        <f t="shared" si="86"/>
        <v>17</v>
      </c>
      <c r="B2128">
        <v>1829</v>
      </c>
      <c r="C2128" s="1">
        <v>20.691983245354141</v>
      </c>
      <c r="D2128" s="9">
        <v>17.927388888892082</v>
      </c>
      <c r="E2128" s="1">
        <v>5.7644500000000001</v>
      </c>
      <c r="F2128" s="1">
        <v>8.9780300000000004</v>
      </c>
      <c r="G2128" s="1">
        <v>13.5839</v>
      </c>
      <c r="H2128" s="1">
        <v>0.70463900000000002</v>
      </c>
    </row>
    <row r="2129" spans="1:8" x14ac:dyDescent="0.3">
      <c r="A2129" t="e">
        <f t="shared" si="86"/>
        <v>#REF!</v>
      </c>
      <c r="B2129">
        <v>1879</v>
      </c>
      <c r="C2129" s="1">
        <v>20.339563536742489</v>
      </c>
      <c r="D2129" s="9">
        <v>17.974611111114392</v>
      </c>
      <c r="E2129" s="1">
        <v>5.0538400000000001</v>
      </c>
      <c r="F2129" s="1">
        <v>9.0014099999999999</v>
      </c>
      <c r="G2129" s="1">
        <v>13.461600000000001</v>
      </c>
      <c r="H2129" s="1">
        <v>-0.47436499999999998</v>
      </c>
    </row>
    <row r="2130" spans="1:8" x14ac:dyDescent="0.3">
      <c r="A2130">
        <f t="shared" si="86"/>
        <v>8</v>
      </c>
      <c r="B2130">
        <v>1929</v>
      </c>
      <c r="C2130" s="1">
        <v>19.915401625122541</v>
      </c>
      <c r="D2130" s="9">
        <v>18.021833333336701</v>
      </c>
      <c r="E2130" s="1">
        <v>4.1157300000000001</v>
      </c>
      <c r="F2130" s="1">
        <v>9.03017</v>
      </c>
      <c r="G2130" s="1">
        <v>13.4572</v>
      </c>
      <c r="H2130" s="1">
        <v>-1.74722</v>
      </c>
    </row>
    <row r="2131" spans="1:8" x14ac:dyDescent="0.3">
      <c r="A2131" t="e">
        <f t="shared" si="86"/>
        <v>#REF!</v>
      </c>
      <c r="B2131">
        <v>1979</v>
      </c>
      <c r="C2131" s="1">
        <v>19.638971383992299</v>
      </c>
      <c r="D2131" s="9">
        <v>18.069055555559011</v>
      </c>
      <c r="E2131" s="1">
        <v>3.3000600000000002</v>
      </c>
      <c r="F2131" s="1">
        <v>9.1000300000000003</v>
      </c>
      <c r="G2131" s="1">
        <v>13.5739</v>
      </c>
      <c r="H2131" s="1">
        <v>-3.05904</v>
      </c>
    </row>
    <row r="2132" spans="1:8" x14ac:dyDescent="0.3">
      <c r="A2132">
        <f t="shared" si="86"/>
        <v>24</v>
      </c>
      <c r="B2132">
        <v>2029</v>
      </c>
      <c r="C2132" s="1">
        <v>19.403703553216989</v>
      </c>
      <c r="D2132" s="9">
        <v>18.11627777778132</v>
      </c>
      <c r="E2132" s="1">
        <v>2.8965700000000001</v>
      </c>
      <c r="F2132" s="1">
        <v>9.0176599999999993</v>
      </c>
      <c r="G2132" s="1">
        <v>13.653499999999999</v>
      </c>
      <c r="H2132" s="1">
        <v>-4.27616</v>
      </c>
    </row>
    <row r="2133" spans="1:8" x14ac:dyDescent="0.3">
      <c r="A2133" t="e">
        <f t="shared" si="86"/>
        <v>#REF!</v>
      </c>
      <c r="B2133">
        <v>2079</v>
      </c>
      <c r="C2133" s="1">
        <v>19.262215989456081</v>
      </c>
      <c r="D2133" s="9">
        <v>18.16350000000363</v>
      </c>
      <c r="E2133" s="1">
        <v>2.8273100000000002</v>
      </c>
      <c r="F2133" s="1">
        <v>8.7866900000000001</v>
      </c>
      <c r="G2133" s="1">
        <v>13.7079</v>
      </c>
      <c r="H2133" s="1">
        <v>-5.2978699999999996</v>
      </c>
    </row>
    <row r="2134" spans="1:8" x14ac:dyDescent="0.3">
      <c r="A2134">
        <f t="shared" si="86"/>
        <v>15</v>
      </c>
      <c r="B2134">
        <v>2129</v>
      </c>
      <c r="C2134" s="1">
        <v>19.190000000000001</v>
      </c>
      <c r="D2134" s="9">
        <v>18.21072222222594</v>
      </c>
      <c r="E2134" s="1">
        <v>2.7592300000000001</v>
      </c>
      <c r="F2134" s="1">
        <v>8.5609800000000007</v>
      </c>
      <c r="G2134" s="1">
        <v>13.866300000000001</v>
      </c>
      <c r="H2134" s="1">
        <v>-6.0455699999999997</v>
      </c>
    </row>
    <row r="2135" spans="1:8" x14ac:dyDescent="0.3">
      <c r="A2135" t="e">
        <f t="shared" si="86"/>
        <v>#REF!</v>
      </c>
      <c r="B2135">
        <v>2179</v>
      </c>
      <c r="C2135" s="1">
        <v>19.16156489674341</v>
      </c>
      <c r="D2135" s="9">
        <v>18.257944444448249</v>
      </c>
      <c r="E2135" s="1">
        <v>2.6588099999999999</v>
      </c>
      <c r="F2135" s="1">
        <v>8.4570299999999996</v>
      </c>
      <c r="G2135" s="1">
        <v>14.053699999999999</v>
      </c>
      <c r="H2135" s="1">
        <v>-6.3827100000000003</v>
      </c>
    </row>
    <row r="2136" spans="1:8" x14ac:dyDescent="0.3">
      <c r="A2136">
        <f t="shared" si="86"/>
        <v>6</v>
      </c>
      <c r="B2136">
        <v>2229</v>
      </c>
      <c r="C2136" s="1">
        <v>19.23</v>
      </c>
      <c r="D2136" s="9">
        <v>18.305166666670559</v>
      </c>
      <c r="E2136" s="1">
        <v>2.7062200000000001</v>
      </c>
      <c r="F2136" s="1">
        <v>8.5464300000000009</v>
      </c>
      <c r="G2136" s="1">
        <v>14.0579</v>
      </c>
      <c r="H2136" s="1">
        <v>-6.1464600000000003</v>
      </c>
    </row>
    <row r="2137" spans="1:8" x14ac:dyDescent="0.3">
      <c r="A2137" t="e">
        <f t="shared" si="86"/>
        <v>#REF!</v>
      </c>
      <c r="B2137">
        <v>2279</v>
      </c>
      <c r="C2137" s="1">
        <v>19.453688369509219</v>
      </c>
      <c r="D2137" s="9">
        <v>18.352388888892868</v>
      </c>
      <c r="E2137" s="1">
        <v>2.8546399999999998</v>
      </c>
      <c r="F2137" s="1">
        <v>8.6974300000000007</v>
      </c>
      <c r="G2137" s="1">
        <v>13.917999999999999</v>
      </c>
      <c r="H2137" s="1">
        <v>-5.4224800000000002</v>
      </c>
    </row>
    <row r="2138" spans="1:8" x14ac:dyDescent="0.3">
      <c r="A2138">
        <f t="shared" si="86"/>
        <v>22</v>
      </c>
      <c r="B2138">
        <v>2329</v>
      </c>
      <c r="C2138" s="1">
        <v>19.788113461182721</v>
      </c>
      <c r="D2138" s="9">
        <v>18.399611111115178</v>
      </c>
      <c r="E2138" s="1">
        <v>2.8982800000000002</v>
      </c>
      <c r="F2138" s="1">
        <v>8.6438400000000009</v>
      </c>
      <c r="G2138" s="1">
        <v>13.8475</v>
      </c>
      <c r="H2138" s="1">
        <v>-4.47281</v>
      </c>
    </row>
    <row r="2139" spans="1:8" x14ac:dyDescent="0.3">
      <c r="A2139" t="e">
        <f t="shared" si="86"/>
        <v>#REF!</v>
      </c>
      <c r="B2139">
        <v>2379</v>
      </c>
      <c r="C2139" s="1">
        <v>20.25005093298169</v>
      </c>
      <c r="D2139" s="9">
        <v>18.446833333337487</v>
      </c>
      <c r="E2139" s="1">
        <v>2.84246</v>
      </c>
      <c r="F2139" s="1">
        <v>8.36585</v>
      </c>
      <c r="G2139" s="1">
        <v>13.838900000000001</v>
      </c>
      <c r="H2139" s="1">
        <v>-3.43126</v>
      </c>
    </row>
    <row r="2140" spans="1:8" x14ac:dyDescent="0.3">
      <c r="A2140">
        <f t="shared" si="86"/>
        <v>13</v>
      </c>
      <c r="B2140">
        <v>2429</v>
      </c>
      <c r="C2140" s="1">
        <v>20.806894520191609</v>
      </c>
      <c r="D2140" s="9">
        <v>18.494055555559797</v>
      </c>
      <c r="E2140" s="1">
        <v>2.8354599999999999</v>
      </c>
      <c r="F2140" s="1">
        <v>8.0319900000000004</v>
      </c>
      <c r="G2140" s="1">
        <v>13.734</v>
      </c>
      <c r="H2140" s="1">
        <v>-2.3312200000000001</v>
      </c>
    </row>
    <row r="2141" spans="1:8" x14ac:dyDescent="0.3">
      <c r="A2141" t="e">
        <f t="shared" si="86"/>
        <v>#REF!</v>
      </c>
      <c r="B2141">
        <v>2479</v>
      </c>
      <c r="C2141" s="1">
        <v>21.351155012076159</v>
      </c>
      <c r="D2141" s="9">
        <v>18.541277777782106</v>
      </c>
      <c r="E2141" s="1">
        <v>2.77773</v>
      </c>
      <c r="F2141" s="1">
        <v>7.8337300000000001</v>
      </c>
      <c r="G2141" s="1">
        <v>13.62</v>
      </c>
      <c r="H2141" s="1">
        <v>-1.17567</v>
      </c>
    </row>
    <row r="2142" spans="1:8" x14ac:dyDescent="0.3">
      <c r="A2142">
        <f t="shared" si="86"/>
        <v>29</v>
      </c>
      <c r="B2142">
        <v>2529</v>
      </c>
      <c r="C2142" s="1">
        <v>21.862326072711681</v>
      </c>
      <c r="D2142" s="9">
        <v>18.588500000004416</v>
      </c>
      <c r="E2142" s="1">
        <v>2.4035899999999999</v>
      </c>
      <c r="F2142" s="1">
        <v>7.9534700000000003</v>
      </c>
      <c r="G2142" s="1">
        <v>13.7483</v>
      </c>
      <c r="H2142" s="1">
        <v>4.9919600000000001E-2</v>
      </c>
    </row>
    <row r="2143" spans="1:8" x14ac:dyDescent="0.3">
      <c r="A2143" t="e">
        <f t="shared" si="86"/>
        <v>#REF!</v>
      </c>
      <c r="B2143">
        <v>2579</v>
      </c>
      <c r="C2143" s="1">
        <v>22.27272627168011</v>
      </c>
      <c r="D2143" s="9">
        <v>18.635722222226725</v>
      </c>
      <c r="E2143" s="1">
        <v>1.74343</v>
      </c>
      <c r="F2143" s="1">
        <v>8.2509300000000003</v>
      </c>
      <c r="G2143" s="1">
        <v>14.0703</v>
      </c>
      <c r="H2143" s="1">
        <v>1.3143199999999999</v>
      </c>
    </row>
    <row r="2144" spans="1:8" x14ac:dyDescent="0.3">
      <c r="A2144">
        <f t="shared" si="86"/>
        <v>20</v>
      </c>
      <c r="B2144">
        <v>2629</v>
      </c>
      <c r="C2144" s="1">
        <v>22.601867033894159</v>
      </c>
      <c r="D2144" s="9">
        <v>18.682944444449035</v>
      </c>
      <c r="E2144" s="1">
        <v>1.0529599999999999</v>
      </c>
      <c r="F2144" s="1">
        <v>8.3654399999999995</v>
      </c>
      <c r="G2144" s="1">
        <v>14.3195</v>
      </c>
      <c r="H2144" s="1">
        <v>2.5512199999999998</v>
      </c>
    </row>
    <row r="2145" spans="1:8" x14ac:dyDescent="0.3">
      <c r="A2145" t="e">
        <f t="shared" si="86"/>
        <v>#REF!</v>
      </c>
      <c r="B2145">
        <v>2679</v>
      </c>
      <c r="C2145" s="1">
        <v>22.984873096446719</v>
      </c>
      <c r="D2145" s="9">
        <v>18.730166666671344</v>
      </c>
      <c r="E2145" s="1">
        <v>0.62740899999999999</v>
      </c>
      <c r="F2145" s="1">
        <v>8.2111599999999996</v>
      </c>
      <c r="G2145" s="1">
        <v>14.3215</v>
      </c>
      <c r="H2145" s="1">
        <v>3.6788699999999999</v>
      </c>
    </row>
    <row r="2146" spans="1:8" x14ac:dyDescent="0.3">
      <c r="A2146">
        <f t="shared" si="86"/>
        <v>11</v>
      </c>
      <c r="B2146">
        <v>2729</v>
      </c>
      <c r="C2146" s="1">
        <v>23.48340058664521</v>
      </c>
      <c r="D2146" s="9">
        <v>18.777388888893654</v>
      </c>
      <c r="E2146" s="1">
        <v>0.76231199999999999</v>
      </c>
      <c r="F2146" s="1">
        <v>7.9212300000000004</v>
      </c>
      <c r="G2146" s="1">
        <v>13.991199999999999</v>
      </c>
      <c r="H2146" s="1">
        <v>4.6068499999999997</v>
      </c>
    </row>
    <row r="2147" spans="1:8" x14ac:dyDescent="0.3">
      <c r="A2147" t="e">
        <f t="shared" si="86"/>
        <v>#REF!</v>
      </c>
      <c r="B2147">
        <v>2779</v>
      </c>
      <c r="C2147" s="1">
        <v>23.873373158104371</v>
      </c>
      <c r="D2147" s="9">
        <v>18.824611111115964</v>
      </c>
      <c r="E2147" s="1">
        <v>1.40198</v>
      </c>
      <c r="F2147" s="1">
        <v>7.78911</v>
      </c>
      <c r="G2147" s="1">
        <v>13.4901</v>
      </c>
      <c r="H2147" s="1">
        <v>5.2726800000000003</v>
      </c>
    </row>
    <row r="2148" spans="1:8" x14ac:dyDescent="0.3">
      <c r="A2148">
        <f t="shared" si="86"/>
        <v>27</v>
      </c>
      <c r="B2148">
        <v>2829</v>
      </c>
      <c r="C2148" s="1">
        <v>24.11240035682285</v>
      </c>
      <c r="D2148" s="9">
        <v>18.871833333338273</v>
      </c>
      <c r="E2148" s="1">
        <v>2.2321800000000001</v>
      </c>
      <c r="F2148" s="1">
        <v>8.1980900000000005</v>
      </c>
      <c r="G2148" s="1">
        <v>13.1531</v>
      </c>
      <c r="H2148" s="1">
        <v>5.6459700000000002</v>
      </c>
    </row>
    <row r="2149" spans="1:8" x14ac:dyDescent="0.3">
      <c r="A2149" t="e">
        <f t="shared" si="86"/>
        <v>#REF!</v>
      </c>
      <c r="B2149">
        <v>2879</v>
      </c>
      <c r="C2149" s="1">
        <v>24.31</v>
      </c>
      <c r="D2149" s="9">
        <v>18.919055555560583</v>
      </c>
      <c r="E2149" s="1">
        <v>2.9418600000000001</v>
      </c>
      <c r="F2149" s="1">
        <v>9.1816099999999992</v>
      </c>
      <c r="G2149" s="1">
        <v>13.227600000000001</v>
      </c>
      <c r="H2149" s="1">
        <v>5.8553699999999997</v>
      </c>
    </row>
    <row r="2150" spans="1:8" x14ac:dyDescent="0.3">
      <c r="A2150">
        <f t="shared" si="86"/>
        <v>18</v>
      </c>
      <c r="B2150">
        <v>2929</v>
      </c>
      <c r="C2150" s="1">
        <v>24.21</v>
      </c>
      <c r="D2150" s="9">
        <v>18.966277777782892</v>
      </c>
      <c r="E2150" s="1">
        <v>3.25753</v>
      </c>
      <c r="F2150" s="1">
        <v>10.5077</v>
      </c>
      <c r="G2150" s="1">
        <v>13.8749</v>
      </c>
      <c r="H2150" s="1">
        <v>6.1293499999999996</v>
      </c>
    </row>
    <row r="2151" spans="1:8" x14ac:dyDescent="0.3">
      <c r="A2151" t="e">
        <f t="shared" si="86"/>
        <v>#REF!</v>
      </c>
      <c r="B2151">
        <v>2979</v>
      </c>
      <c r="C2151" s="1">
        <v>24.07</v>
      </c>
      <c r="D2151" s="9">
        <v>19.013500000005202</v>
      </c>
      <c r="E2151" s="1">
        <v>3.33548</v>
      </c>
      <c r="F2151" s="1">
        <v>11.860200000000001</v>
      </c>
      <c r="G2151" s="1">
        <v>14.9801</v>
      </c>
      <c r="H2151" s="1">
        <v>6.4826499999999996</v>
      </c>
    </row>
    <row r="2152" spans="1:8" x14ac:dyDescent="0.3">
      <c r="A2152">
        <f t="shared" si="86"/>
        <v>9</v>
      </c>
      <c r="B2152">
        <v>3029</v>
      </c>
      <c r="C2152" s="1">
        <v>23.948036229737149</v>
      </c>
      <c r="D2152" s="9">
        <v>19.060722222227511</v>
      </c>
      <c r="E2152" s="1">
        <v>3.6258499999999998</v>
      </c>
      <c r="F2152" s="1">
        <v>12.8721</v>
      </c>
      <c r="G2152" s="1">
        <v>16.227599999999999</v>
      </c>
      <c r="H2152" s="1">
        <v>6.7868300000000001</v>
      </c>
    </row>
    <row r="2153" spans="1:8" x14ac:dyDescent="0.3">
      <c r="A2153">
        <f t="shared" si="86"/>
        <v>0</v>
      </c>
      <c r="B2153">
        <v>3079</v>
      </c>
      <c r="C2153" s="1">
        <v>23.723883296519471</v>
      </c>
      <c r="D2153" s="9">
        <v>19.107944444449821</v>
      </c>
      <c r="E2153" s="1">
        <v>4.2874299999999996</v>
      </c>
      <c r="F2153" s="1">
        <v>13.282299999999999</v>
      </c>
      <c r="G2153" s="1">
        <v>17.29</v>
      </c>
      <c r="H2153" s="1">
        <v>7.1029</v>
      </c>
    </row>
    <row r="2154" spans="1:8" x14ac:dyDescent="0.3">
      <c r="A2154">
        <f t="shared" si="86"/>
        <v>25</v>
      </c>
      <c r="B2154">
        <v>3129</v>
      </c>
      <c r="C2154" s="1">
        <v>23.33654701312614</v>
      </c>
      <c r="D2154" s="9">
        <v>19.15516666667213</v>
      </c>
      <c r="E2154" s="1">
        <v>5.2485999999999997</v>
      </c>
      <c r="F2154" s="1">
        <v>12.947100000000001</v>
      </c>
      <c r="G2154" s="1">
        <v>17.866700000000002</v>
      </c>
      <c r="H2154" s="1">
        <v>7.6176399999999997</v>
      </c>
    </row>
    <row r="2155" spans="1:8" x14ac:dyDescent="0.3">
      <c r="A2155" t="e">
        <f t="shared" si="86"/>
        <v>#REF!</v>
      </c>
      <c r="B2155">
        <v>3179</v>
      </c>
      <c r="C2155" s="1">
        <v>22.935344737187009</v>
      </c>
      <c r="D2155" s="9">
        <v>19.20238888889444</v>
      </c>
      <c r="E2155" s="1">
        <v>6.3326200000000004</v>
      </c>
      <c r="F2155" s="1">
        <v>12.036899999999999</v>
      </c>
      <c r="G2155" s="1">
        <v>17.9298</v>
      </c>
      <c r="H2155" s="1">
        <v>8.4017099999999996</v>
      </c>
    </row>
    <row r="2156" spans="1:8" x14ac:dyDescent="0.3">
      <c r="A2156">
        <f t="shared" si="86"/>
        <v>16</v>
      </c>
      <c r="B2156">
        <v>3229</v>
      </c>
      <c r="C2156" s="1">
        <v>22.58126100116413</v>
      </c>
      <c r="D2156" s="9">
        <v>19.249611111116749</v>
      </c>
      <c r="E2156" s="1">
        <v>7.3178700000000001</v>
      </c>
      <c r="F2156" s="1">
        <v>10.9192</v>
      </c>
      <c r="G2156" s="1">
        <v>17.6374</v>
      </c>
      <c r="H2156" s="1">
        <v>9.4396799999999992</v>
      </c>
    </row>
    <row r="2157" spans="1:8" x14ac:dyDescent="0.3">
      <c r="A2157" t="e">
        <f t="shared" ref="A2157:A2163" si="87">A2107</f>
        <v>#REF!</v>
      </c>
      <c r="B2157">
        <v>3279</v>
      </c>
      <c r="C2157" s="1">
        <v>22.16675175349301</v>
      </c>
      <c r="D2157" s="9">
        <v>19.296833333339059</v>
      </c>
      <c r="E2157" s="1">
        <v>8.2186900000000005</v>
      </c>
      <c r="F2157" s="1">
        <v>9.9617299999999993</v>
      </c>
      <c r="G2157" s="1">
        <v>17.206900000000001</v>
      </c>
      <c r="H2157" s="1">
        <v>10.672700000000001</v>
      </c>
    </row>
    <row r="2158" spans="1:8" x14ac:dyDescent="0.3">
      <c r="A2158">
        <f t="shared" si="87"/>
        <v>7</v>
      </c>
      <c r="B2158">
        <v>3329</v>
      </c>
      <c r="C2158" s="1">
        <v>21.816894536430901</v>
      </c>
      <c r="D2158" s="9">
        <v>19.344055555561368</v>
      </c>
      <c r="E2158" s="1">
        <v>9.4140599999999992</v>
      </c>
      <c r="F2158" s="1">
        <v>10.041</v>
      </c>
      <c r="G2158" s="1">
        <v>17.062200000000001</v>
      </c>
      <c r="H2158" s="1">
        <v>12.055199999999999</v>
      </c>
    </row>
    <row r="2159" spans="1:8" x14ac:dyDescent="0.3">
      <c r="A2159" t="e">
        <f t="shared" si="87"/>
        <v>#REF!</v>
      </c>
      <c r="B2159">
        <v>3379</v>
      </c>
      <c r="C2159" s="1">
        <v>21.521050323975889</v>
      </c>
      <c r="D2159" s="9">
        <v>19.391277777783678</v>
      </c>
      <c r="E2159" s="1">
        <v>11.085699999999999</v>
      </c>
      <c r="F2159" s="1">
        <v>11.3834</v>
      </c>
      <c r="G2159" s="1">
        <v>17.2743</v>
      </c>
      <c r="H2159" s="1">
        <v>13.489599999999999</v>
      </c>
    </row>
    <row r="2160" spans="1:8" x14ac:dyDescent="0.3">
      <c r="A2160">
        <f t="shared" si="87"/>
        <v>23</v>
      </c>
      <c r="B2160">
        <v>3429</v>
      </c>
      <c r="C2160" s="1">
        <v>21.156282716054609</v>
      </c>
      <c r="D2160" s="9">
        <v>19.438500000005988</v>
      </c>
      <c r="E2160" s="1">
        <v>12.922700000000001</v>
      </c>
      <c r="F2160" s="1">
        <v>13.065899999999999</v>
      </c>
      <c r="G2160" s="1">
        <v>17.6267</v>
      </c>
      <c r="H2160" s="1">
        <v>14.896800000000001</v>
      </c>
    </row>
    <row r="2161" spans="1:8" x14ac:dyDescent="0.3">
      <c r="A2161" t="e">
        <f t="shared" si="87"/>
        <v>#REF!</v>
      </c>
      <c r="B2161">
        <v>3479</v>
      </c>
      <c r="C2161" s="1">
        <v>20.639335562396781</v>
      </c>
      <c r="D2161" s="9">
        <v>19.485722222228297</v>
      </c>
      <c r="E2161" s="1">
        <v>14.8362</v>
      </c>
      <c r="F2161" s="1">
        <v>14.901199999999999</v>
      </c>
      <c r="G2161" s="1">
        <v>18.103000000000002</v>
      </c>
      <c r="H2161" s="1">
        <v>16.285299999999999</v>
      </c>
    </row>
    <row r="2162" spans="1:8" x14ac:dyDescent="0.3">
      <c r="A2162">
        <f t="shared" si="87"/>
        <v>14</v>
      </c>
      <c r="B2162">
        <v>3529</v>
      </c>
      <c r="C2162" s="1">
        <v>20.209451599825339</v>
      </c>
      <c r="D2162" s="9">
        <v>19.532944444450607</v>
      </c>
      <c r="E2162" s="1">
        <v>16.7895</v>
      </c>
      <c r="F2162" s="1">
        <v>16.814</v>
      </c>
      <c r="G2162" s="1">
        <v>18.672799999999999</v>
      </c>
      <c r="H2162" s="1">
        <v>17.661100000000001</v>
      </c>
    </row>
    <row r="2163" spans="1:8" x14ac:dyDescent="0.3">
      <c r="A2163" t="e">
        <f t="shared" si="87"/>
        <v>#REF!</v>
      </c>
      <c r="B2163">
        <v>3579</v>
      </c>
      <c r="C2163" s="1">
        <v>19.784180193227481</v>
      </c>
      <c r="D2163" s="9">
        <v>19.580166666672916</v>
      </c>
      <c r="E2163" s="1">
        <v>18.765499999999999</v>
      </c>
      <c r="F2163" s="1">
        <v>18.77</v>
      </c>
      <c r="G2163" s="1">
        <v>19.313600000000001</v>
      </c>
      <c r="H2163" s="1">
        <v>19.027999999999999</v>
      </c>
    </row>
    <row r="2164" spans="1:8" x14ac:dyDescent="0.3">
      <c r="A2164">
        <v>30</v>
      </c>
      <c r="B2164">
        <v>30</v>
      </c>
      <c r="C2164" s="1">
        <v>16.170000000000002</v>
      </c>
      <c r="D2164" s="9">
        <v>16.228333333333385</v>
      </c>
      <c r="E2164" s="1">
        <v>15.0885</v>
      </c>
      <c r="F2164" s="1">
        <v>15.0144</v>
      </c>
      <c r="G2164" s="1">
        <v>15.8362</v>
      </c>
      <c r="H2164" s="1">
        <v>15.0814</v>
      </c>
    </row>
    <row r="2165" spans="1:8" x14ac:dyDescent="0.3">
      <c r="A2165" t="e">
        <f t="shared" ref="A2165:A2196" si="88">A2115</f>
        <v>#REF!</v>
      </c>
      <c r="B2165">
        <v>80</v>
      </c>
      <c r="C2165" s="1">
        <v>16.23</v>
      </c>
      <c r="D2165" s="9">
        <v>16.275555555555695</v>
      </c>
      <c r="E2165" s="1">
        <v>13.2544</v>
      </c>
      <c r="F2165" s="1">
        <v>13.061500000000001</v>
      </c>
      <c r="G2165" s="1">
        <v>15.274100000000001</v>
      </c>
      <c r="H2165" s="1">
        <v>13.2098</v>
      </c>
    </row>
    <row r="2166" spans="1:8" x14ac:dyDescent="0.3">
      <c r="A2166">
        <f t="shared" si="88"/>
        <v>21</v>
      </c>
      <c r="B2166">
        <v>130</v>
      </c>
      <c r="C2166" s="1">
        <v>16.349759706013948</v>
      </c>
      <c r="D2166" s="9">
        <v>16.322777777778004</v>
      </c>
      <c r="E2166" s="1">
        <v>11.4518</v>
      </c>
      <c r="F2166" s="1">
        <v>11.154</v>
      </c>
      <c r="G2166" s="1">
        <v>14.779</v>
      </c>
      <c r="H2166" s="1">
        <v>11.3283</v>
      </c>
    </row>
    <row r="2167" spans="1:8" x14ac:dyDescent="0.3">
      <c r="A2167" t="e">
        <f t="shared" si="88"/>
        <v>#REF!</v>
      </c>
      <c r="B2167">
        <v>180</v>
      </c>
      <c r="C2167" s="1">
        <v>16.621579221190501</v>
      </c>
      <c r="D2167" s="9">
        <v>16.370000000000314</v>
      </c>
      <c r="E2167" s="1">
        <v>9.6968300000000003</v>
      </c>
      <c r="F2167" s="1">
        <v>9.3283400000000007</v>
      </c>
      <c r="G2167" s="1">
        <v>14.367699999999999</v>
      </c>
      <c r="H2167" s="1">
        <v>9.4367400000000004</v>
      </c>
    </row>
    <row r="2168" spans="1:8" x14ac:dyDescent="0.3">
      <c r="A2168">
        <f t="shared" si="88"/>
        <v>12</v>
      </c>
      <c r="B2168">
        <v>230</v>
      </c>
      <c r="C2168" s="1">
        <v>16.87</v>
      </c>
      <c r="D2168" s="9">
        <v>16.417222222222623</v>
      </c>
      <c r="E2168" s="1">
        <v>8.02027</v>
      </c>
      <c r="F2168" s="1">
        <v>7.6656300000000002</v>
      </c>
      <c r="G2168" s="1">
        <v>14.055199999999999</v>
      </c>
      <c r="H2168" s="1">
        <v>7.5399700000000003</v>
      </c>
    </row>
    <row r="2169" spans="1:8" x14ac:dyDescent="0.3">
      <c r="A2169" t="e">
        <f t="shared" si="88"/>
        <v>#REF!</v>
      </c>
      <c r="B2169">
        <v>280</v>
      </c>
      <c r="C2169" s="1">
        <v>17.02</v>
      </c>
      <c r="D2169" s="9">
        <v>16.464444444444933</v>
      </c>
      <c r="E2169" s="1">
        <v>6.4942799999999998</v>
      </c>
      <c r="F2169" s="1">
        <v>6.3944299999999998</v>
      </c>
      <c r="G2169" s="1">
        <v>13.8245</v>
      </c>
      <c r="H2169" s="1">
        <v>5.68262</v>
      </c>
    </row>
    <row r="2170" spans="1:8" x14ac:dyDescent="0.3">
      <c r="A2170">
        <f t="shared" si="88"/>
        <v>28</v>
      </c>
      <c r="B2170">
        <v>330</v>
      </c>
      <c r="C2170" s="1">
        <v>17.224892023020551</v>
      </c>
      <c r="D2170" s="9">
        <v>16.511666666667242</v>
      </c>
      <c r="E2170" s="1">
        <v>5.4422100000000002</v>
      </c>
      <c r="F2170" s="1">
        <v>6.2674099999999999</v>
      </c>
      <c r="G2170" s="1">
        <v>13.9018</v>
      </c>
      <c r="H2170" s="1">
        <v>4.2732999999999999</v>
      </c>
    </row>
    <row r="2171" spans="1:8" x14ac:dyDescent="0.3">
      <c r="A2171" t="e">
        <f t="shared" si="88"/>
        <v>#REF!</v>
      </c>
      <c r="B2171">
        <v>380</v>
      </c>
      <c r="C2171" s="1">
        <v>17.44043052390003</v>
      </c>
      <c r="D2171" s="9">
        <v>16.558888888889552</v>
      </c>
      <c r="E2171" s="1">
        <v>4.7393900000000002</v>
      </c>
      <c r="F2171" s="1">
        <v>6.5976600000000003</v>
      </c>
      <c r="G2171" s="1">
        <v>14.065</v>
      </c>
      <c r="H2171" s="1">
        <v>3.2848099999999998</v>
      </c>
    </row>
    <row r="2172" spans="1:8" x14ac:dyDescent="0.3">
      <c r="A2172">
        <f t="shared" si="88"/>
        <v>19</v>
      </c>
      <c r="B2172">
        <v>430</v>
      </c>
      <c r="C2172" s="1">
        <v>17.70648861786022</v>
      </c>
      <c r="D2172" s="9">
        <v>16.606111111111861</v>
      </c>
      <c r="E2172" s="1">
        <v>4.2855299999999996</v>
      </c>
      <c r="F2172" s="1">
        <v>6.73881</v>
      </c>
      <c r="G2172" s="1">
        <v>13.9824</v>
      </c>
      <c r="H2172" s="1">
        <v>2.6568999999999998</v>
      </c>
    </row>
    <row r="2173" spans="1:8" x14ac:dyDescent="0.3">
      <c r="A2173" t="e">
        <f t="shared" si="88"/>
        <v>#REF!</v>
      </c>
      <c r="B2173">
        <v>480</v>
      </c>
      <c r="C2173" s="1">
        <v>17.847555762313402</v>
      </c>
      <c r="D2173" s="9">
        <v>16.653333333334171</v>
      </c>
      <c r="E2173" s="1">
        <v>3.8917299999999999</v>
      </c>
      <c r="F2173" s="1">
        <v>6.5020100000000003</v>
      </c>
      <c r="G2173" s="1">
        <v>13.6744</v>
      </c>
      <c r="H2173" s="1">
        <v>2.2144499999999998</v>
      </c>
    </row>
    <row r="2174" spans="1:8" x14ac:dyDescent="0.3">
      <c r="A2174">
        <f t="shared" si="88"/>
        <v>10</v>
      </c>
      <c r="B2174">
        <v>530</v>
      </c>
      <c r="C2174" s="1">
        <v>18.072525882552611</v>
      </c>
      <c r="D2174" s="9">
        <v>16.70055555555648</v>
      </c>
      <c r="E2174" s="1">
        <v>3.2461600000000002</v>
      </c>
      <c r="F2174" s="1">
        <v>5.8446999999999996</v>
      </c>
      <c r="G2174" s="1">
        <v>13.334099999999999</v>
      </c>
      <c r="H2174" s="1">
        <v>1.6327799999999999</v>
      </c>
    </row>
    <row r="2175" spans="1:8" x14ac:dyDescent="0.3">
      <c r="A2175" t="e">
        <f t="shared" si="88"/>
        <v>#REF!</v>
      </c>
      <c r="B2175">
        <v>580</v>
      </c>
      <c r="C2175" s="1">
        <v>18.286407143835849</v>
      </c>
      <c r="D2175" s="9">
        <v>16.74777777777879</v>
      </c>
      <c r="E2175" s="1">
        <v>2.3516900000000001</v>
      </c>
      <c r="F2175" s="1">
        <v>4.8815499999999998</v>
      </c>
      <c r="G2175" s="1">
        <v>12.996</v>
      </c>
      <c r="H2175" s="1">
        <v>0.89776</v>
      </c>
    </row>
    <row r="2176" spans="1:8" x14ac:dyDescent="0.3">
      <c r="A2176">
        <f t="shared" si="88"/>
        <v>26</v>
      </c>
      <c r="B2176">
        <v>630</v>
      </c>
      <c r="C2176" s="1">
        <v>18.48</v>
      </c>
      <c r="D2176" s="9">
        <v>16.795000000001099</v>
      </c>
      <c r="E2176" s="1">
        <v>1.4673700000000001</v>
      </c>
      <c r="F2176" s="1">
        <v>3.8531200000000001</v>
      </c>
      <c r="G2176" s="1">
        <v>12.579000000000001</v>
      </c>
      <c r="H2176" s="1">
        <v>0.25044300000000003</v>
      </c>
    </row>
    <row r="2177" spans="1:8" x14ac:dyDescent="0.3">
      <c r="A2177" t="e">
        <f t="shared" si="88"/>
        <v>#REF!</v>
      </c>
      <c r="B2177">
        <v>680</v>
      </c>
      <c r="C2177" s="1">
        <v>18.58720089602712</v>
      </c>
      <c r="D2177" s="9">
        <v>16.842222222223409</v>
      </c>
      <c r="E2177" s="1">
        <v>0.83374999999999999</v>
      </c>
      <c r="F2177" s="1">
        <v>2.9839000000000002</v>
      </c>
      <c r="G2177" s="1">
        <v>12.2065</v>
      </c>
      <c r="H2177" s="1">
        <v>-3.11886E-2</v>
      </c>
    </row>
    <row r="2178" spans="1:8" x14ac:dyDescent="0.3">
      <c r="A2178">
        <f t="shared" si="88"/>
        <v>17</v>
      </c>
      <c r="B2178">
        <v>730</v>
      </c>
      <c r="C2178" s="1">
        <v>18.760000000000002</v>
      </c>
      <c r="D2178" s="9">
        <v>16.889444444445719</v>
      </c>
      <c r="E2178" s="1">
        <v>0.64882099999999998</v>
      </c>
      <c r="F2178" s="1">
        <v>2.4595099999999999</v>
      </c>
      <c r="G2178" s="1">
        <v>12.142899999999999</v>
      </c>
      <c r="H2178" s="1">
        <v>0.325187</v>
      </c>
    </row>
    <row r="2179" spans="1:8" x14ac:dyDescent="0.3">
      <c r="A2179" t="e">
        <f t="shared" si="88"/>
        <v>#REF!</v>
      </c>
      <c r="B2179">
        <v>780</v>
      </c>
      <c r="C2179" s="1">
        <v>18.94446558987941</v>
      </c>
      <c r="D2179" s="9">
        <v>16.936666666668028</v>
      </c>
      <c r="E2179" s="1">
        <v>0.83336600000000005</v>
      </c>
      <c r="F2179" s="1">
        <v>2.1897600000000002</v>
      </c>
      <c r="G2179" s="1">
        <v>12.4194</v>
      </c>
      <c r="H2179" s="1">
        <v>1.22722</v>
      </c>
    </row>
    <row r="2180" spans="1:8" x14ac:dyDescent="0.3">
      <c r="A2180">
        <f t="shared" si="88"/>
        <v>8</v>
      </c>
      <c r="B2180">
        <v>830</v>
      </c>
      <c r="C2180" s="1">
        <v>19.31937375011476</v>
      </c>
      <c r="D2180" s="9">
        <v>16.983888888890338</v>
      </c>
      <c r="E2180" s="1">
        <v>1.11609</v>
      </c>
      <c r="F2180" s="1">
        <v>1.90273</v>
      </c>
      <c r="G2180" s="1">
        <v>12.8833</v>
      </c>
      <c r="H2180" s="1">
        <v>2.3103600000000002</v>
      </c>
    </row>
    <row r="2181" spans="1:8" x14ac:dyDescent="0.3">
      <c r="A2181" t="e">
        <f t="shared" si="88"/>
        <v>#REF!</v>
      </c>
      <c r="B2181">
        <v>880</v>
      </c>
      <c r="C2181" s="1">
        <v>19.585335417147771</v>
      </c>
      <c r="D2181" s="9">
        <v>17.031111111112647</v>
      </c>
      <c r="E2181" s="1">
        <v>1.4196800000000001</v>
      </c>
      <c r="F2181" s="1">
        <v>1.6534</v>
      </c>
      <c r="G2181" s="1">
        <v>13.2767</v>
      </c>
      <c r="H2181" s="1">
        <v>3.1954400000000001</v>
      </c>
    </row>
    <row r="2182" spans="1:8" x14ac:dyDescent="0.3">
      <c r="A2182">
        <f t="shared" si="88"/>
        <v>24</v>
      </c>
      <c r="B2182">
        <v>930</v>
      </c>
      <c r="C2182" s="1">
        <v>19.846637713066968</v>
      </c>
      <c r="D2182" s="9">
        <v>17.078333333334957</v>
      </c>
      <c r="E2182" s="1">
        <v>1.8035600000000001</v>
      </c>
      <c r="F2182" s="1">
        <v>1.7249699999999999</v>
      </c>
      <c r="G2182" s="1">
        <v>13.2926</v>
      </c>
      <c r="H2182" s="1">
        <v>3.5238200000000002</v>
      </c>
    </row>
    <row r="2183" spans="1:8" x14ac:dyDescent="0.3">
      <c r="A2183" t="e">
        <f t="shared" si="88"/>
        <v>#REF!</v>
      </c>
      <c r="B2183">
        <v>980</v>
      </c>
      <c r="C2183" s="1">
        <v>20.208722656902541</v>
      </c>
      <c r="D2183" s="9">
        <v>17.125555555557266</v>
      </c>
      <c r="E2183" s="1">
        <v>2.1725599999999998</v>
      </c>
      <c r="F2183" s="1">
        <v>2.1498400000000002</v>
      </c>
      <c r="G2183" s="1">
        <v>12.997400000000001</v>
      </c>
      <c r="H2183" s="1">
        <v>3.3137699999999999</v>
      </c>
    </row>
    <row r="2184" spans="1:8" x14ac:dyDescent="0.3">
      <c r="A2184">
        <f t="shared" si="88"/>
        <v>15</v>
      </c>
      <c r="B2184">
        <v>1030</v>
      </c>
      <c r="C2184" s="1">
        <v>20.636391588174959</v>
      </c>
      <c r="D2184" s="9">
        <v>17.172777777779576</v>
      </c>
      <c r="E2184" s="1">
        <v>2.3308499999999999</v>
      </c>
      <c r="F2184" s="1">
        <v>2.76295</v>
      </c>
      <c r="G2184" s="1">
        <v>12.7248</v>
      </c>
      <c r="H2184" s="1">
        <v>2.8666999999999998</v>
      </c>
    </row>
    <row r="2185" spans="1:8" x14ac:dyDescent="0.3">
      <c r="A2185" t="e">
        <f t="shared" si="88"/>
        <v>#REF!</v>
      </c>
      <c r="B2185">
        <v>1080</v>
      </c>
      <c r="C2185" s="1">
        <v>21.070899486494579</v>
      </c>
      <c r="D2185" s="9">
        <v>17.220000000001885</v>
      </c>
      <c r="E2185" s="1">
        <v>2.3146300000000002</v>
      </c>
      <c r="F2185" s="1">
        <v>3.2940299999999998</v>
      </c>
      <c r="G2185" s="1">
        <v>12.649699999999999</v>
      </c>
      <c r="H2185" s="1">
        <v>2.55314</v>
      </c>
    </row>
    <row r="2186" spans="1:8" x14ac:dyDescent="0.3">
      <c r="A2186">
        <f t="shared" si="88"/>
        <v>6</v>
      </c>
      <c r="B2186">
        <v>1130</v>
      </c>
      <c r="C2186" s="1">
        <v>21.447640955086101</v>
      </c>
      <c r="D2186" s="9">
        <v>17.267222222224195</v>
      </c>
      <c r="E2186" s="1">
        <v>2.3174100000000002</v>
      </c>
      <c r="F2186" s="1">
        <v>3.4272100000000001</v>
      </c>
      <c r="G2186" s="1">
        <v>12.8109</v>
      </c>
      <c r="H2186" s="1">
        <v>2.7601599999999999</v>
      </c>
    </row>
    <row r="2187" spans="1:8" x14ac:dyDescent="0.3">
      <c r="A2187" t="e">
        <f t="shared" si="88"/>
        <v>#REF!</v>
      </c>
      <c r="B2187">
        <v>1180</v>
      </c>
      <c r="C2187" s="1">
        <v>21.751943432574439</v>
      </c>
      <c r="D2187" s="9">
        <v>17.314444444446504</v>
      </c>
      <c r="E2187" s="1">
        <v>2.3042699999999998</v>
      </c>
      <c r="F2187" s="1">
        <v>3.2475200000000002</v>
      </c>
      <c r="G2187" s="1">
        <v>13.0581</v>
      </c>
      <c r="H2187" s="1">
        <v>3.46258</v>
      </c>
    </row>
    <row r="2188" spans="1:8" x14ac:dyDescent="0.3">
      <c r="A2188">
        <f t="shared" si="88"/>
        <v>22</v>
      </c>
      <c r="B2188">
        <v>1230</v>
      </c>
      <c r="C2188" s="1">
        <v>22.208140399427279</v>
      </c>
      <c r="D2188" s="9">
        <v>17.361666666668814</v>
      </c>
      <c r="E2188" s="1">
        <v>2.0901299999999998</v>
      </c>
      <c r="F2188" s="1">
        <v>3.1208999999999998</v>
      </c>
      <c r="G2188" s="1">
        <v>13.125</v>
      </c>
      <c r="H2188" s="1">
        <v>4.3365099999999996</v>
      </c>
    </row>
    <row r="2189" spans="1:8" x14ac:dyDescent="0.3">
      <c r="A2189" t="e">
        <f t="shared" si="88"/>
        <v>#REF!</v>
      </c>
      <c r="B2189">
        <v>1280</v>
      </c>
      <c r="C2189" s="1">
        <v>22.624801588499331</v>
      </c>
      <c r="D2189" s="9">
        <v>17.408888888891124</v>
      </c>
      <c r="E2189" s="1">
        <v>1.78392</v>
      </c>
      <c r="F2189" s="1">
        <v>3.2048100000000002</v>
      </c>
      <c r="G2189" s="1">
        <v>13.0474</v>
      </c>
      <c r="H2189" s="1">
        <v>5.1146200000000004</v>
      </c>
    </row>
    <row r="2190" spans="1:8" x14ac:dyDescent="0.3">
      <c r="A2190">
        <f t="shared" si="88"/>
        <v>13</v>
      </c>
      <c r="B2190">
        <v>1330</v>
      </c>
      <c r="C2190" s="1">
        <v>22.97547887645581</v>
      </c>
      <c r="D2190" s="9">
        <v>17.456111111113433</v>
      </c>
      <c r="E2190" s="1">
        <v>1.69763</v>
      </c>
      <c r="F2190" s="1">
        <v>3.4924300000000001</v>
      </c>
      <c r="G2190" s="1">
        <v>13.066599999999999</v>
      </c>
      <c r="H2190" s="1">
        <v>5.5941400000000003</v>
      </c>
    </row>
    <row r="2191" spans="1:8" x14ac:dyDescent="0.3">
      <c r="A2191" t="e">
        <f t="shared" si="88"/>
        <v>#REF!</v>
      </c>
      <c r="B2191">
        <v>1380</v>
      </c>
      <c r="C2191" s="1">
        <v>23.18</v>
      </c>
      <c r="D2191" s="9">
        <v>17.503333333335743</v>
      </c>
      <c r="E2191" s="1">
        <v>1.92517</v>
      </c>
      <c r="F2191" s="1">
        <v>3.8862800000000002</v>
      </c>
      <c r="G2191" s="1">
        <v>13.164300000000001</v>
      </c>
      <c r="H2191" s="1">
        <v>5.8225699999999998</v>
      </c>
    </row>
    <row r="2192" spans="1:8" x14ac:dyDescent="0.3">
      <c r="A2192">
        <f t="shared" si="88"/>
        <v>29</v>
      </c>
      <c r="B2192">
        <v>1430</v>
      </c>
      <c r="C2192" s="1">
        <v>23.260984709752702</v>
      </c>
      <c r="D2192" s="9">
        <v>17.550555555558052</v>
      </c>
      <c r="E2192" s="1">
        <v>2.3877799999999998</v>
      </c>
      <c r="F2192" s="1">
        <v>4.2331099999999999</v>
      </c>
      <c r="G2192" s="1">
        <v>13.1462</v>
      </c>
      <c r="H2192" s="1">
        <v>6.0117700000000003</v>
      </c>
    </row>
    <row r="2193" spans="1:8" x14ac:dyDescent="0.3">
      <c r="A2193" t="e">
        <f t="shared" si="88"/>
        <v>#REF!</v>
      </c>
      <c r="B2193">
        <v>1480</v>
      </c>
      <c r="C2193" s="1">
        <v>23.198967418927509</v>
      </c>
      <c r="D2193" s="9">
        <v>17.597777777780362</v>
      </c>
      <c r="E2193" s="1">
        <v>2.8790100000000001</v>
      </c>
      <c r="F2193" s="1">
        <v>4.4864699999999997</v>
      </c>
      <c r="G2193" s="1">
        <v>13.0593</v>
      </c>
      <c r="H2193" s="1">
        <v>6.1424300000000001</v>
      </c>
    </row>
    <row r="2194" spans="1:8" x14ac:dyDescent="0.3">
      <c r="A2194">
        <f t="shared" si="88"/>
        <v>20</v>
      </c>
      <c r="B2194">
        <v>1530</v>
      </c>
      <c r="C2194" s="1">
        <v>22.9669835027346</v>
      </c>
      <c r="D2194" s="9">
        <v>17.645000000002671</v>
      </c>
      <c r="E2194" s="1">
        <v>3.13096</v>
      </c>
      <c r="F2194" s="1">
        <v>4.6885899999999996</v>
      </c>
      <c r="G2194" s="1">
        <v>13.113300000000001</v>
      </c>
      <c r="H2194" s="1">
        <v>6.0329699999999997</v>
      </c>
    </row>
    <row r="2195" spans="1:8" x14ac:dyDescent="0.3">
      <c r="A2195" t="e">
        <f t="shared" si="88"/>
        <v>#REF!</v>
      </c>
      <c r="B2195">
        <v>1580</v>
      </c>
      <c r="C2195" s="1">
        <v>22.653572232737229</v>
      </c>
      <c r="D2195" s="9">
        <v>17.692222222224981</v>
      </c>
      <c r="E2195" s="1">
        <v>3.2757399999999999</v>
      </c>
      <c r="F2195" s="1">
        <v>5.0166399999999998</v>
      </c>
      <c r="G2195" s="1">
        <v>13.274800000000001</v>
      </c>
      <c r="H2195" s="1">
        <v>5.6155600000000003</v>
      </c>
    </row>
    <row r="2196" spans="1:8" x14ac:dyDescent="0.3">
      <c r="A2196">
        <f t="shared" si="88"/>
        <v>11</v>
      </c>
      <c r="B2196">
        <v>1630</v>
      </c>
      <c r="C2196" s="1">
        <v>22.260712332257171</v>
      </c>
      <c r="D2196" s="9">
        <v>17.73944444444729</v>
      </c>
      <c r="E2196" s="1">
        <v>3.7114799999999999</v>
      </c>
      <c r="F2196" s="1">
        <v>5.7219800000000003</v>
      </c>
      <c r="G2196" s="1">
        <v>13.347200000000001</v>
      </c>
      <c r="H2196" s="1">
        <v>4.9108000000000001</v>
      </c>
    </row>
    <row r="2197" spans="1:8" x14ac:dyDescent="0.3">
      <c r="A2197" t="e">
        <f t="shared" ref="A2197:A2228" si="89">A2147</f>
        <v>#REF!</v>
      </c>
      <c r="B2197">
        <v>1680</v>
      </c>
      <c r="C2197" s="1">
        <v>21.823319070391811</v>
      </c>
      <c r="D2197" s="9">
        <v>17.7866666666696</v>
      </c>
      <c r="E2197" s="1">
        <v>4.4703200000000001</v>
      </c>
      <c r="F2197" s="1">
        <v>6.74512</v>
      </c>
      <c r="G2197" s="1">
        <v>13.352</v>
      </c>
      <c r="H2197" s="1">
        <v>3.9847600000000001</v>
      </c>
    </row>
    <row r="2198" spans="1:8" x14ac:dyDescent="0.3">
      <c r="A2198">
        <f t="shared" si="89"/>
        <v>27</v>
      </c>
      <c r="B2198">
        <v>1730</v>
      </c>
      <c r="C2198" s="1">
        <v>21.37</v>
      </c>
      <c r="D2198" s="9">
        <v>17.833888888891909</v>
      </c>
      <c r="E2198" s="1">
        <v>5.3063700000000003</v>
      </c>
      <c r="F2198" s="1">
        <v>7.8010400000000004</v>
      </c>
      <c r="G2198" s="1">
        <v>13.4549</v>
      </c>
      <c r="H2198" s="1">
        <v>2.9327000000000001</v>
      </c>
    </row>
    <row r="2199" spans="1:8" x14ac:dyDescent="0.3">
      <c r="A2199" t="e">
        <f t="shared" si="89"/>
        <v>#REF!</v>
      </c>
      <c r="B2199">
        <v>1780</v>
      </c>
      <c r="C2199" s="1">
        <v>21.053207123057</v>
      </c>
      <c r="D2199" s="9">
        <v>17.881111111114219</v>
      </c>
      <c r="E2199" s="1">
        <v>5.8658599999999996</v>
      </c>
      <c r="F2199" s="1">
        <v>8.6216699999999999</v>
      </c>
      <c r="G2199" s="1">
        <v>13.598699999999999</v>
      </c>
      <c r="H2199" s="1">
        <v>1.81911</v>
      </c>
    </row>
    <row r="2200" spans="1:8" x14ac:dyDescent="0.3">
      <c r="A2200">
        <f t="shared" si="89"/>
        <v>18</v>
      </c>
      <c r="B2200">
        <v>1830</v>
      </c>
      <c r="C2200" s="1">
        <v>20.686995198938249</v>
      </c>
      <c r="D2200" s="9">
        <v>17.928333333336528</v>
      </c>
      <c r="E2200" s="1">
        <v>5.75502</v>
      </c>
      <c r="F2200" s="1">
        <v>8.9806799999999996</v>
      </c>
      <c r="G2200" s="1">
        <v>13.5817</v>
      </c>
      <c r="H2200" s="1">
        <v>0.68166099999999996</v>
      </c>
    </row>
    <row r="2201" spans="1:8" x14ac:dyDescent="0.3">
      <c r="A2201" t="e">
        <f t="shared" si="89"/>
        <v>#REF!</v>
      </c>
      <c r="B2201">
        <v>1880</v>
      </c>
      <c r="C2201" s="1">
        <v>20.33143421550017</v>
      </c>
      <c r="D2201" s="9">
        <v>17.975555555558838</v>
      </c>
      <c r="E2201" s="1">
        <v>5.0360100000000001</v>
      </c>
      <c r="F2201" s="1">
        <v>9.0008900000000001</v>
      </c>
      <c r="G2201" s="1">
        <v>13.4597</v>
      </c>
      <c r="H2201" s="1">
        <v>-0.498778</v>
      </c>
    </row>
    <row r="2202" spans="1:8" x14ac:dyDescent="0.3">
      <c r="A2202">
        <f t="shared" si="89"/>
        <v>9</v>
      </c>
      <c r="B2202">
        <v>1930</v>
      </c>
      <c r="C2202" s="1">
        <v>19.911299851925989</v>
      </c>
      <c r="D2202" s="9">
        <v>18.022777777781148</v>
      </c>
      <c r="E2202" s="1">
        <v>4.0971700000000002</v>
      </c>
      <c r="F2202" s="1">
        <v>9.0318199999999997</v>
      </c>
      <c r="G2202" s="1">
        <v>13.4589</v>
      </c>
      <c r="H2202" s="1">
        <v>-1.77352</v>
      </c>
    </row>
    <row r="2203" spans="1:8" x14ac:dyDescent="0.3">
      <c r="A2203">
        <f t="shared" si="89"/>
        <v>0</v>
      </c>
      <c r="B2203">
        <v>1980</v>
      </c>
      <c r="C2203" s="1">
        <v>19.63482173090329</v>
      </c>
      <c r="D2203" s="9">
        <v>18.070000000003457</v>
      </c>
      <c r="E2203" s="1">
        <v>3.2871600000000001</v>
      </c>
      <c r="F2203" s="1">
        <v>9.1004500000000004</v>
      </c>
      <c r="G2203" s="1">
        <v>13.5763</v>
      </c>
      <c r="H2203" s="1">
        <v>-3.0847500000000001</v>
      </c>
    </row>
    <row r="2204" spans="1:8" x14ac:dyDescent="0.3">
      <c r="A2204">
        <f t="shared" si="89"/>
        <v>25</v>
      </c>
      <c r="B2204">
        <v>2030</v>
      </c>
      <c r="C2204" s="1">
        <v>19.399281086899119</v>
      </c>
      <c r="D2204" s="9">
        <v>18.117222222225767</v>
      </c>
      <c r="E2204" s="1">
        <v>2.8930500000000001</v>
      </c>
      <c r="F2204" s="1">
        <v>9.0139899999999997</v>
      </c>
      <c r="G2204" s="1">
        <v>13.654299999999999</v>
      </c>
      <c r="H2204" s="1">
        <v>-4.2987599999999997</v>
      </c>
    </row>
    <row r="2205" spans="1:8" x14ac:dyDescent="0.3">
      <c r="A2205" t="e">
        <f t="shared" si="89"/>
        <v>#REF!</v>
      </c>
      <c r="B2205">
        <v>2080</v>
      </c>
      <c r="C2205" s="1">
        <v>19.25819643323883</v>
      </c>
      <c r="D2205" s="9">
        <v>18.164444444448076</v>
      </c>
      <c r="E2205" s="1">
        <v>2.8269299999999999</v>
      </c>
      <c r="F2205" s="1">
        <v>8.7816200000000002</v>
      </c>
      <c r="G2205" s="1">
        <v>13.7097</v>
      </c>
      <c r="H2205" s="1">
        <v>-5.3157899999999998</v>
      </c>
    </row>
    <row r="2206" spans="1:8" x14ac:dyDescent="0.3">
      <c r="A2206">
        <f t="shared" si="89"/>
        <v>16</v>
      </c>
      <c r="B2206">
        <v>2130</v>
      </c>
      <c r="C2206" s="1">
        <v>19.187706716125572</v>
      </c>
      <c r="D2206" s="9">
        <v>18.211666666670386</v>
      </c>
      <c r="E2206" s="1">
        <v>2.75692</v>
      </c>
      <c r="F2206" s="1">
        <v>8.5574200000000005</v>
      </c>
      <c r="G2206" s="1">
        <v>13.8705</v>
      </c>
      <c r="H2206" s="1">
        <v>-6.0569300000000004</v>
      </c>
    </row>
    <row r="2207" spans="1:8" x14ac:dyDescent="0.3">
      <c r="A2207" t="e">
        <f t="shared" si="89"/>
        <v>#REF!</v>
      </c>
      <c r="B2207">
        <v>2180</v>
      </c>
      <c r="C2207" s="1">
        <v>19.16</v>
      </c>
      <c r="D2207" s="9">
        <v>18.258888888892695</v>
      </c>
      <c r="E2207" s="1">
        <v>2.6577999999999999</v>
      </c>
      <c r="F2207" s="1">
        <v>8.4567899999999998</v>
      </c>
      <c r="G2207" s="1">
        <v>14.0562</v>
      </c>
      <c r="H2207" s="1">
        <v>-6.3840300000000001</v>
      </c>
    </row>
    <row r="2208" spans="1:8" x14ac:dyDescent="0.3">
      <c r="A2208">
        <f t="shared" si="89"/>
        <v>7</v>
      </c>
      <c r="B2208">
        <v>2230</v>
      </c>
      <c r="C2208" s="1">
        <v>19.23</v>
      </c>
      <c r="D2208" s="9">
        <v>18.306111111115005</v>
      </c>
      <c r="E2208" s="1">
        <v>2.7088999999999999</v>
      </c>
      <c r="F2208" s="1">
        <v>8.5497599999999991</v>
      </c>
      <c r="G2208" s="1">
        <v>14.0558</v>
      </c>
      <c r="H2208" s="1">
        <v>-6.1358899999999998</v>
      </c>
    </row>
    <row r="2209" spans="1:8" x14ac:dyDescent="0.3">
      <c r="A2209" t="e">
        <f t="shared" si="89"/>
        <v>#REF!</v>
      </c>
      <c r="B2209">
        <v>2280</v>
      </c>
      <c r="C2209" s="1">
        <v>19.45771387511272</v>
      </c>
      <c r="D2209" s="9">
        <v>18.353333333337314</v>
      </c>
      <c r="E2209" s="1">
        <v>2.8571399999999998</v>
      </c>
      <c r="F2209" s="1">
        <v>8.6991399999999999</v>
      </c>
      <c r="G2209" s="1">
        <v>13.9152</v>
      </c>
      <c r="H2209" s="1">
        <v>-5.4048699999999998</v>
      </c>
    </row>
    <row r="2210" spans="1:8" x14ac:dyDescent="0.3">
      <c r="A2210">
        <f t="shared" si="89"/>
        <v>23</v>
      </c>
      <c r="B2210">
        <v>2330</v>
      </c>
      <c r="C2210" s="1">
        <v>19.794453727215501</v>
      </c>
      <c r="D2210" s="9">
        <v>18.400555555559624</v>
      </c>
      <c r="E2210" s="1">
        <v>2.8976099999999998</v>
      </c>
      <c r="F2210" s="1">
        <v>8.6399500000000007</v>
      </c>
      <c r="G2210" s="1">
        <v>13.847300000000001</v>
      </c>
      <c r="H2210" s="1">
        <v>-4.4527400000000004</v>
      </c>
    </row>
    <row r="2211" spans="1:8" x14ac:dyDescent="0.3">
      <c r="A2211" t="e">
        <f t="shared" si="89"/>
        <v>#REF!</v>
      </c>
      <c r="B2211">
        <v>2380</v>
      </c>
      <c r="C2211" s="1">
        <v>20.261895812440301</v>
      </c>
      <c r="D2211" s="9">
        <v>18.447777777781933</v>
      </c>
      <c r="E2211" s="1">
        <v>2.8414600000000001</v>
      </c>
      <c r="F2211" s="1">
        <v>8.3591300000000004</v>
      </c>
      <c r="G2211" s="1">
        <v>13.838200000000001</v>
      </c>
      <c r="H2211" s="1">
        <v>-3.4097400000000002</v>
      </c>
    </row>
    <row r="2212" spans="1:8" x14ac:dyDescent="0.3">
      <c r="A2212">
        <f t="shared" si="89"/>
        <v>14</v>
      </c>
      <c r="B2212">
        <v>2430</v>
      </c>
      <c r="C2212" s="1">
        <v>20.822196973174819</v>
      </c>
      <c r="D2212" s="9">
        <v>18.495000000004243</v>
      </c>
      <c r="E2212" s="1">
        <v>2.8357299999999999</v>
      </c>
      <c r="F2212" s="1">
        <v>8.0260200000000008</v>
      </c>
      <c r="G2212" s="1">
        <v>13.7309</v>
      </c>
      <c r="H2212" s="1">
        <v>-2.30871</v>
      </c>
    </row>
    <row r="2213" spans="1:8" x14ac:dyDescent="0.3">
      <c r="A2213" t="e">
        <f t="shared" si="89"/>
        <v>#REF!</v>
      </c>
      <c r="B2213">
        <v>2480</v>
      </c>
      <c r="C2213" s="1">
        <v>21.3587620333568</v>
      </c>
      <c r="D2213" s="9">
        <v>18.542222222226552</v>
      </c>
      <c r="E2213" s="1">
        <v>2.7740999999999998</v>
      </c>
      <c r="F2213" s="1">
        <v>7.8325500000000003</v>
      </c>
      <c r="G2213" s="1">
        <v>13.6195</v>
      </c>
      <c r="H2213" s="1">
        <v>-1.1518699999999999</v>
      </c>
    </row>
    <row r="2214" spans="1:8" x14ac:dyDescent="0.3">
      <c r="A2214">
        <f t="shared" si="89"/>
        <v>30</v>
      </c>
      <c r="B2214">
        <v>2530</v>
      </c>
      <c r="C2214" s="1">
        <v>21.873623720541399</v>
      </c>
      <c r="D2214" s="9">
        <v>18.589444444448862</v>
      </c>
      <c r="E2214" s="1">
        <v>2.3923800000000002</v>
      </c>
      <c r="F2214" s="1">
        <v>7.9589100000000004</v>
      </c>
      <c r="G2214" s="1">
        <v>13.7537</v>
      </c>
      <c r="H2214" s="1">
        <v>7.5039700000000001E-2</v>
      </c>
    </row>
    <row r="2215" spans="1:8" x14ac:dyDescent="0.3">
      <c r="A2215" t="e">
        <f t="shared" si="89"/>
        <v>#REF!</v>
      </c>
      <c r="B2215">
        <v>2580</v>
      </c>
      <c r="C2215" s="1">
        <v>22.276484469248551</v>
      </c>
      <c r="D2215" s="9">
        <v>18.636666666671172</v>
      </c>
      <c r="E2215" s="1">
        <v>1.7290399999999999</v>
      </c>
      <c r="F2215" s="1">
        <v>8.2560900000000004</v>
      </c>
      <c r="G2215" s="1">
        <v>14.0768</v>
      </c>
      <c r="H2215" s="1">
        <v>1.3395600000000001</v>
      </c>
    </row>
    <row r="2216" spans="1:8" x14ac:dyDescent="0.3">
      <c r="A2216">
        <f t="shared" si="89"/>
        <v>21</v>
      </c>
      <c r="B2216">
        <v>2630</v>
      </c>
      <c r="C2216" s="1">
        <v>22.609433533971711</v>
      </c>
      <c r="D2216" s="9">
        <v>18.683888888893481</v>
      </c>
      <c r="E2216" s="1">
        <v>1.04078</v>
      </c>
      <c r="F2216" s="1">
        <v>8.3646100000000008</v>
      </c>
      <c r="G2216" s="1">
        <v>14.3223</v>
      </c>
      <c r="H2216" s="1">
        <v>2.5751499999999998</v>
      </c>
    </row>
    <row r="2217" spans="1:8" x14ac:dyDescent="0.3">
      <c r="A2217" t="e">
        <f t="shared" si="89"/>
        <v>#REF!</v>
      </c>
      <c r="B2217">
        <v>2680</v>
      </c>
      <c r="C2217" s="1">
        <v>23.002088801073711</v>
      </c>
      <c r="D2217" s="9">
        <v>18.731111111115791</v>
      </c>
      <c r="E2217" s="1">
        <v>0.62380100000000005</v>
      </c>
      <c r="F2217" s="1">
        <v>8.2061499999999992</v>
      </c>
      <c r="G2217" s="1">
        <v>14.318300000000001</v>
      </c>
      <c r="H2217" s="1">
        <v>3.6996799999999999</v>
      </c>
    </row>
    <row r="2218" spans="1:8" x14ac:dyDescent="0.3">
      <c r="A2218">
        <f t="shared" si="89"/>
        <v>12</v>
      </c>
      <c r="B2218">
        <v>2730</v>
      </c>
      <c r="C2218" s="1">
        <v>23.491604015984191</v>
      </c>
      <c r="D2218" s="9">
        <v>18.7783333333381</v>
      </c>
      <c r="E2218" s="1">
        <v>0.77116899999999999</v>
      </c>
      <c r="F2218" s="1">
        <v>7.9157000000000002</v>
      </c>
      <c r="G2218" s="1">
        <v>13.9818</v>
      </c>
      <c r="H2218" s="1">
        <v>4.6228800000000003</v>
      </c>
    </row>
    <row r="2219" spans="1:8" x14ac:dyDescent="0.3">
      <c r="A2219" t="e">
        <f t="shared" si="89"/>
        <v>#REF!</v>
      </c>
      <c r="B2219">
        <v>2780</v>
      </c>
      <c r="C2219" s="1">
        <v>23.88133811230588</v>
      </c>
      <c r="D2219" s="9">
        <v>18.82555555556041</v>
      </c>
      <c r="E2219" s="1">
        <v>1.41778</v>
      </c>
      <c r="F2219" s="1">
        <v>7.7908799999999996</v>
      </c>
      <c r="G2219" s="1">
        <v>13.480700000000001</v>
      </c>
      <c r="H2219" s="1">
        <v>5.2830399999999997</v>
      </c>
    </row>
    <row r="2220" spans="1:8" x14ac:dyDescent="0.3">
      <c r="A2220">
        <f t="shared" si="89"/>
        <v>28</v>
      </c>
      <c r="B2220">
        <v>2830</v>
      </c>
      <c r="C2220" s="1">
        <v>24.116418631938071</v>
      </c>
      <c r="D2220" s="9">
        <v>18.872777777782719</v>
      </c>
      <c r="E2220" s="1">
        <v>2.24857</v>
      </c>
      <c r="F2220" s="1">
        <v>8.2128499999999995</v>
      </c>
      <c r="G2220" s="1">
        <v>13.149900000000001</v>
      </c>
      <c r="H2220" s="1">
        <v>5.65097</v>
      </c>
    </row>
    <row r="2221" spans="1:8" x14ac:dyDescent="0.3">
      <c r="A2221" t="e">
        <f t="shared" si="89"/>
        <v>#REF!</v>
      </c>
      <c r="B2221">
        <v>2880</v>
      </c>
      <c r="C2221" s="1">
        <v>24.31</v>
      </c>
      <c r="D2221" s="9">
        <v>18.920000000005029</v>
      </c>
      <c r="E2221" s="1">
        <v>2.9527399999999999</v>
      </c>
      <c r="F2221" s="1">
        <v>9.2056000000000004</v>
      </c>
      <c r="G2221" s="1">
        <v>13.2346</v>
      </c>
      <c r="H2221" s="1">
        <v>5.8595499999999996</v>
      </c>
    </row>
    <row r="2222" spans="1:8" x14ac:dyDescent="0.3">
      <c r="A2222">
        <f t="shared" si="89"/>
        <v>19</v>
      </c>
      <c r="B2222">
        <v>2930</v>
      </c>
      <c r="C2222" s="1">
        <v>24.21</v>
      </c>
      <c r="D2222" s="9">
        <v>18.967222222227338</v>
      </c>
      <c r="E2222" s="1">
        <v>3.2599</v>
      </c>
      <c r="F2222" s="1">
        <v>10.5357</v>
      </c>
      <c r="G2222" s="1">
        <v>13.8935</v>
      </c>
      <c r="H2222" s="1">
        <v>6.1360900000000003</v>
      </c>
    </row>
    <row r="2223" spans="1:8" x14ac:dyDescent="0.3">
      <c r="A2223" t="e">
        <f t="shared" si="89"/>
        <v>#REF!</v>
      </c>
      <c r="B2223">
        <v>2980</v>
      </c>
      <c r="C2223" s="1">
        <v>24.069957983705461</v>
      </c>
      <c r="D2223" s="9">
        <v>19.014444444449648</v>
      </c>
      <c r="E2223" s="1">
        <v>3.3378299999999999</v>
      </c>
      <c r="F2223" s="1">
        <v>11.8849</v>
      </c>
      <c r="G2223" s="1">
        <v>15.0047</v>
      </c>
      <c r="H2223" s="1">
        <v>6.48956</v>
      </c>
    </row>
    <row r="2224" spans="1:8" x14ac:dyDescent="0.3">
      <c r="A2224">
        <f t="shared" si="89"/>
        <v>10</v>
      </c>
      <c r="B2224">
        <v>3030</v>
      </c>
      <c r="C2224" s="1">
        <v>23.943803783806651</v>
      </c>
      <c r="D2224" s="9">
        <v>19.061666666671957</v>
      </c>
      <c r="E2224" s="1">
        <v>3.6356199999999999</v>
      </c>
      <c r="F2224" s="1">
        <v>12.886799999999999</v>
      </c>
      <c r="G2224" s="1">
        <v>16.2517</v>
      </c>
      <c r="H2224" s="1">
        <v>6.7923900000000001</v>
      </c>
    </row>
    <row r="2225" spans="1:8" x14ac:dyDescent="0.3">
      <c r="A2225" t="e">
        <f t="shared" si="89"/>
        <v>#REF!</v>
      </c>
      <c r="B2225">
        <v>3080</v>
      </c>
      <c r="C2225" s="1">
        <v>23.719188103514838</v>
      </c>
      <c r="D2225" s="9">
        <v>19.108888888894267</v>
      </c>
      <c r="E2225" s="1">
        <v>4.30403</v>
      </c>
      <c r="F2225" s="1">
        <v>13.283200000000001</v>
      </c>
      <c r="G2225" s="1">
        <v>17.307099999999998</v>
      </c>
      <c r="H2225" s="1">
        <v>7.11069</v>
      </c>
    </row>
    <row r="2226" spans="1:8" x14ac:dyDescent="0.3">
      <c r="A2226">
        <f t="shared" si="89"/>
        <v>26</v>
      </c>
      <c r="B2226">
        <v>3130</v>
      </c>
      <c r="C2226" s="1">
        <v>23.328308826249749</v>
      </c>
      <c r="D2226" s="9">
        <v>19.156111111116576</v>
      </c>
      <c r="E2226" s="1">
        <v>5.2698700000000001</v>
      </c>
      <c r="F2226" s="1">
        <v>12.933299999999999</v>
      </c>
      <c r="G2226" s="1">
        <v>17.872499999999999</v>
      </c>
      <c r="H2226" s="1">
        <v>7.6307099999999997</v>
      </c>
    </row>
    <row r="2227" spans="1:8" x14ac:dyDescent="0.3">
      <c r="A2227" t="e">
        <f t="shared" si="89"/>
        <v>#REF!</v>
      </c>
      <c r="B2227">
        <v>3180</v>
      </c>
      <c r="C2227" s="1">
        <v>22.9271523135404</v>
      </c>
      <c r="D2227" s="9">
        <v>19.203333333338886</v>
      </c>
      <c r="E2227" s="1">
        <v>6.3539199999999996</v>
      </c>
      <c r="F2227" s="1">
        <v>12.0154</v>
      </c>
      <c r="G2227" s="1">
        <v>17.9269</v>
      </c>
      <c r="H2227" s="1">
        <v>8.4200599999999994</v>
      </c>
    </row>
    <row r="2228" spans="1:8" x14ac:dyDescent="0.3">
      <c r="A2228">
        <f t="shared" si="89"/>
        <v>17</v>
      </c>
      <c r="B2228">
        <v>3230</v>
      </c>
      <c r="C2228" s="1">
        <v>22.574041802089219</v>
      </c>
      <c r="D2228" s="9">
        <v>19.250555555561196</v>
      </c>
      <c r="E2228" s="1">
        <v>7.3360200000000004</v>
      </c>
      <c r="F2228" s="1">
        <v>10.8971</v>
      </c>
      <c r="G2228" s="1">
        <v>17.629200000000001</v>
      </c>
      <c r="H2228" s="1">
        <v>9.4626999999999999</v>
      </c>
    </row>
    <row r="2229" spans="1:8" x14ac:dyDescent="0.3">
      <c r="A2229" t="e">
        <f t="shared" ref="A2229:A2235" si="90">A2179</f>
        <v>#REF!</v>
      </c>
      <c r="B2229">
        <v>3280</v>
      </c>
      <c r="C2229" s="1">
        <v>22.162456608295631</v>
      </c>
      <c r="D2229" s="9">
        <v>19.297777777783505</v>
      </c>
      <c r="E2229" s="1">
        <v>8.2376299999999993</v>
      </c>
      <c r="F2229" s="1">
        <v>9.9480199999999996</v>
      </c>
      <c r="G2229" s="1">
        <v>17.199000000000002</v>
      </c>
      <c r="H2229" s="1">
        <v>10.699</v>
      </c>
    </row>
    <row r="2230" spans="1:8" x14ac:dyDescent="0.3">
      <c r="A2230">
        <f t="shared" si="90"/>
        <v>8</v>
      </c>
      <c r="B2230">
        <v>3330</v>
      </c>
      <c r="C2230" s="1">
        <v>21.809169054808919</v>
      </c>
      <c r="D2230" s="9">
        <v>19.345000000005815</v>
      </c>
      <c r="E2230" s="1">
        <v>9.4445700000000006</v>
      </c>
      <c r="F2230" s="1">
        <v>10.061400000000001</v>
      </c>
      <c r="G2230" s="1">
        <v>17.065100000000001</v>
      </c>
      <c r="H2230" s="1">
        <v>12.084099999999999</v>
      </c>
    </row>
    <row r="2231" spans="1:8" x14ac:dyDescent="0.3">
      <c r="A2231" t="e">
        <f t="shared" si="90"/>
        <v>#REF!</v>
      </c>
      <c r="B2231">
        <v>3380</v>
      </c>
      <c r="C2231" s="1">
        <v>21.513645985293401</v>
      </c>
      <c r="D2231" s="9">
        <v>19.392222222228124</v>
      </c>
      <c r="E2231" s="1">
        <v>11.1212</v>
      </c>
      <c r="F2231" s="1">
        <v>11.4147</v>
      </c>
      <c r="G2231" s="1">
        <v>17.279900000000001</v>
      </c>
      <c r="H2231" s="1">
        <v>13.518000000000001</v>
      </c>
    </row>
    <row r="2232" spans="1:8" x14ac:dyDescent="0.3">
      <c r="A2232">
        <f t="shared" si="90"/>
        <v>24</v>
      </c>
      <c r="B2232">
        <v>3430</v>
      </c>
      <c r="C2232" s="1">
        <v>21.147775372089939</v>
      </c>
      <c r="D2232" s="9">
        <v>19.439444444450434</v>
      </c>
      <c r="E2232" s="1">
        <v>12.9604</v>
      </c>
      <c r="F2232" s="1">
        <v>13.1015</v>
      </c>
      <c r="G2232" s="1">
        <v>17.635100000000001</v>
      </c>
      <c r="H2232" s="1">
        <v>14.9247</v>
      </c>
    </row>
    <row r="2233" spans="1:8" x14ac:dyDescent="0.3">
      <c r="A2233" t="e">
        <f t="shared" si="90"/>
        <v>#REF!</v>
      </c>
      <c r="B2233">
        <v>3480</v>
      </c>
      <c r="C2233" s="1">
        <v>20.63525800729882</v>
      </c>
      <c r="D2233" s="9">
        <v>19.486666666672743</v>
      </c>
      <c r="E2233" s="1">
        <v>14.875</v>
      </c>
      <c r="F2233" s="1">
        <v>14.9389</v>
      </c>
      <c r="G2233" s="1">
        <v>18.113600000000002</v>
      </c>
      <c r="H2233" s="1">
        <v>16.312899999999999</v>
      </c>
    </row>
    <row r="2234" spans="1:8" x14ac:dyDescent="0.3">
      <c r="A2234">
        <f t="shared" si="90"/>
        <v>15</v>
      </c>
      <c r="B2234">
        <v>3530</v>
      </c>
      <c r="C2234" s="1">
        <v>20.19385876005736</v>
      </c>
      <c r="D2234" s="9">
        <v>19.533888888895053</v>
      </c>
      <c r="E2234" s="1">
        <v>16.828800000000001</v>
      </c>
      <c r="F2234" s="1">
        <v>16.852799999999998</v>
      </c>
      <c r="G2234" s="1">
        <v>18.684899999999999</v>
      </c>
      <c r="H2234" s="1">
        <v>17.688500000000001</v>
      </c>
    </row>
    <row r="2235" spans="1:8" x14ac:dyDescent="0.3">
      <c r="A2235" t="e">
        <f t="shared" si="90"/>
        <v>#REF!</v>
      </c>
      <c r="B2235">
        <v>3580</v>
      </c>
      <c r="C2235" s="1">
        <v>19.772746612801779</v>
      </c>
      <c r="D2235" s="9">
        <v>19.581111111117362</v>
      </c>
      <c r="E2235" s="1">
        <v>18.805199999999999</v>
      </c>
      <c r="F2235" s="1">
        <v>18.8095</v>
      </c>
      <c r="G2235" s="1">
        <v>19.327000000000002</v>
      </c>
      <c r="H2235" s="1">
        <v>19.055299999999999</v>
      </c>
    </row>
    <row r="2236" spans="1:8" x14ac:dyDescent="0.3">
      <c r="A2236">
        <v>31</v>
      </c>
      <c r="B2236">
        <v>31</v>
      </c>
      <c r="C2236" s="1">
        <v>16.170000000000002</v>
      </c>
      <c r="D2236" s="9">
        <v>16.229277777777831</v>
      </c>
      <c r="E2236" s="1">
        <v>15.051500000000001</v>
      </c>
      <c r="F2236" s="1">
        <v>14.975</v>
      </c>
      <c r="G2236" s="1">
        <v>15.824400000000001</v>
      </c>
      <c r="H2236" s="1">
        <v>15.0441</v>
      </c>
    </row>
    <row r="2237" spans="1:8" x14ac:dyDescent="0.3">
      <c r="A2237" t="e">
        <f t="shared" ref="A2237:A2268" si="91">A2187</f>
        <v>#REF!</v>
      </c>
      <c r="B2237">
        <v>81</v>
      </c>
      <c r="C2237" s="1">
        <v>16.23</v>
      </c>
      <c r="D2237" s="9">
        <v>16.276500000000141</v>
      </c>
      <c r="E2237" s="1">
        <v>13.218</v>
      </c>
      <c r="F2237" s="1">
        <v>13.0228</v>
      </c>
      <c r="G2237" s="1">
        <v>15.263500000000001</v>
      </c>
      <c r="H2237" s="1">
        <v>13.1723</v>
      </c>
    </row>
    <row r="2238" spans="1:8" x14ac:dyDescent="0.3">
      <c r="A2238">
        <f t="shared" si="91"/>
        <v>22</v>
      </c>
      <c r="B2238">
        <v>131</v>
      </c>
      <c r="C2238" s="1">
        <v>16.357094687273069</v>
      </c>
      <c r="D2238" s="9">
        <v>16.32372222222245</v>
      </c>
      <c r="E2238" s="1">
        <v>11.4161</v>
      </c>
      <c r="F2238" s="1">
        <v>11.1165</v>
      </c>
      <c r="G2238" s="1">
        <v>14.7699</v>
      </c>
      <c r="H2238" s="1">
        <v>11.2905</v>
      </c>
    </row>
    <row r="2239" spans="1:8" x14ac:dyDescent="0.3">
      <c r="A2239" t="e">
        <f t="shared" si="91"/>
        <v>#REF!</v>
      </c>
      <c r="B2239">
        <v>181</v>
      </c>
      <c r="C2239" s="1">
        <v>16.632889263376949</v>
      </c>
      <c r="D2239" s="9">
        <v>16.37094444444476</v>
      </c>
      <c r="E2239" s="1">
        <v>9.6623999999999999</v>
      </c>
      <c r="F2239" s="1">
        <v>9.2930899999999994</v>
      </c>
      <c r="G2239" s="1">
        <v>14.3604</v>
      </c>
      <c r="H2239" s="1">
        <v>9.3988200000000006</v>
      </c>
    </row>
    <row r="2240" spans="1:8" x14ac:dyDescent="0.3">
      <c r="A2240">
        <f t="shared" si="91"/>
        <v>13</v>
      </c>
      <c r="B2240">
        <v>231</v>
      </c>
      <c r="C2240" s="1">
        <v>16.87</v>
      </c>
      <c r="D2240" s="9">
        <v>16.418166666667069</v>
      </c>
      <c r="E2240" s="1">
        <v>7.9878799999999996</v>
      </c>
      <c r="F2240" s="1">
        <v>7.6350800000000003</v>
      </c>
      <c r="G2240" s="1">
        <v>14.049899999999999</v>
      </c>
      <c r="H2240" s="1">
        <v>7.5020899999999999</v>
      </c>
    </row>
    <row r="2241" spans="1:8" x14ac:dyDescent="0.3">
      <c r="A2241" t="e">
        <f t="shared" si="91"/>
        <v>#REF!</v>
      </c>
      <c r="B2241">
        <v>281</v>
      </c>
      <c r="C2241" s="1">
        <v>17.02</v>
      </c>
      <c r="D2241" s="9">
        <v>16.465388888889379</v>
      </c>
      <c r="E2241" s="1">
        <v>6.4675700000000003</v>
      </c>
      <c r="F2241" s="1">
        <v>6.3789199999999999</v>
      </c>
      <c r="G2241" s="1">
        <v>13.8218</v>
      </c>
      <c r="H2241" s="1">
        <v>5.6483999999999996</v>
      </c>
    </row>
    <row r="2242" spans="1:8" x14ac:dyDescent="0.3">
      <c r="A2242">
        <f t="shared" si="91"/>
        <v>29</v>
      </c>
      <c r="B2242">
        <v>331</v>
      </c>
      <c r="C2242" s="1">
        <v>17.22878589173488</v>
      </c>
      <c r="D2242" s="9">
        <v>16.512611111111688</v>
      </c>
      <c r="E2242" s="1">
        <v>5.4255000000000004</v>
      </c>
      <c r="F2242" s="1">
        <v>6.2730100000000002</v>
      </c>
      <c r="G2242" s="1">
        <v>13.905900000000001</v>
      </c>
      <c r="H2242" s="1">
        <v>4.25007</v>
      </c>
    </row>
    <row r="2243" spans="1:8" x14ac:dyDescent="0.3">
      <c r="A2243" t="e">
        <f t="shared" si="91"/>
        <v>#REF!</v>
      </c>
      <c r="B2243">
        <v>381</v>
      </c>
      <c r="C2243" s="1">
        <v>17.44831702142762</v>
      </c>
      <c r="D2243" s="9">
        <v>16.559833333333998</v>
      </c>
      <c r="E2243" s="1">
        <v>4.72797</v>
      </c>
      <c r="F2243" s="1">
        <v>6.60358</v>
      </c>
      <c r="G2243" s="1">
        <v>14.0665</v>
      </c>
      <c r="H2243" s="1">
        <v>3.2686500000000001</v>
      </c>
    </row>
    <row r="2244" spans="1:8" x14ac:dyDescent="0.3">
      <c r="A2244">
        <f t="shared" si="91"/>
        <v>20</v>
      </c>
      <c r="B2244">
        <v>431</v>
      </c>
      <c r="C2244" s="1">
        <v>17.715657312792441</v>
      </c>
      <c r="D2244" s="9">
        <v>16.607055555556308</v>
      </c>
      <c r="E2244" s="1">
        <v>4.27813</v>
      </c>
      <c r="F2244" s="1">
        <v>6.7379600000000002</v>
      </c>
      <c r="G2244" s="1">
        <v>13.9778</v>
      </c>
      <c r="H2244" s="1">
        <v>2.6473300000000002</v>
      </c>
    </row>
    <row r="2245" spans="1:8" x14ac:dyDescent="0.3">
      <c r="A2245" t="e">
        <f t="shared" si="91"/>
        <v>#REF!</v>
      </c>
      <c r="B2245">
        <v>481</v>
      </c>
      <c r="C2245" s="1">
        <v>17.86001661446954</v>
      </c>
      <c r="D2245" s="9">
        <v>16.654277777778617</v>
      </c>
      <c r="E2245" s="1">
        <v>3.8822199999999998</v>
      </c>
      <c r="F2245" s="1">
        <v>6.4930500000000002</v>
      </c>
      <c r="G2245" s="1">
        <v>13.667299999999999</v>
      </c>
      <c r="H2245" s="1">
        <v>2.2051599999999998</v>
      </c>
    </row>
    <row r="2246" spans="1:8" x14ac:dyDescent="0.3">
      <c r="A2246">
        <f t="shared" si="91"/>
        <v>11</v>
      </c>
      <c r="B2246">
        <v>531</v>
      </c>
      <c r="C2246" s="1">
        <v>18.0767689239647</v>
      </c>
      <c r="D2246" s="9">
        <v>16.701500000000927</v>
      </c>
      <c r="E2246" s="1">
        <v>3.2299000000000002</v>
      </c>
      <c r="F2246" s="1">
        <v>5.8276700000000003</v>
      </c>
      <c r="G2246" s="1">
        <v>13.3276</v>
      </c>
      <c r="H2246" s="1">
        <v>1.6188400000000001</v>
      </c>
    </row>
    <row r="2247" spans="1:8" x14ac:dyDescent="0.3">
      <c r="A2247" t="e">
        <f t="shared" si="91"/>
        <v>#REF!</v>
      </c>
      <c r="B2247">
        <v>581</v>
      </c>
      <c r="C2247" s="1">
        <v>18.291375158103449</v>
      </c>
      <c r="D2247" s="9">
        <v>16.748722222223236</v>
      </c>
      <c r="E2247" s="1">
        <v>2.3330099999999998</v>
      </c>
      <c r="F2247" s="1">
        <v>4.8608000000000002</v>
      </c>
      <c r="G2247" s="1">
        <v>12.9886</v>
      </c>
      <c r="H2247" s="1">
        <v>0.88310599999999995</v>
      </c>
    </row>
    <row r="2248" spans="1:8" x14ac:dyDescent="0.3">
      <c r="A2248">
        <f t="shared" si="91"/>
        <v>27</v>
      </c>
      <c r="B2248">
        <v>631</v>
      </c>
      <c r="C2248" s="1">
        <v>18.480307771254981</v>
      </c>
      <c r="D2248" s="9">
        <v>16.795944444445546</v>
      </c>
      <c r="E2248" s="1">
        <v>1.4515100000000001</v>
      </c>
      <c r="F2248" s="1">
        <v>3.8334899999999998</v>
      </c>
      <c r="G2248" s="1">
        <v>12.5702</v>
      </c>
      <c r="H2248" s="1">
        <v>0.24023600000000001</v>
      </c>
    </row>
    <row r="2249" spans="1:8" x14ac:dyDescent="0.3">
      <c r="A2249" t="e">
        <f t="shared" si="91"/>
        <v>#REF!</v>
      </c>
      <c r="B2249">
        <v>681</v>
      </c>
      <c r="C2249" s="1">
        <v>18.59111921494787</v>
      </c>
      <c r="D2249" s="9">
        <v>16.843166666667855</v>
      </c>
      <c r="E2249" s="1">
        <v>0.82513000000000003</v>
      </c>
      <c r="F2249" s="1">
        <v>2.9695499999999999</v>
      </c>
      <c r="G2249" s="1">
        <v>12.201499999999999</v>
      </c>
      <c r="H2249" s="1">
        <v>-3.1046199999999999E-2</v>
      </c>
    </row>
    <row r="2250" spans="1:8" x14ac:dyDescent="0.3">
      <c r="A2250">
        <f t="shared" si="91"/>
        <v>18</v>
      </c>
      <c r="B2250">
        <v>731</v>
      </c>
      <c r="C2250" s="1">
        <v>18.760000000000002</v>
      </c>
      <c r="D2250" s="9">
        <v>16.890388888890165</v>
      </c>
      <c r="E2250" s="1">
        <v>0.64981</v>
      </c>
      <c r="F2250" s="1">
        <v>2.4525800000000002</v>
      </c>
      <c r="G2250" s="1">
        <v>12.1456</v>
      </c>
      <c r="H2250" s="1">
        <v>0.33905200000000002</v>
      </c>
    </row>
    <row r="2251" spans="1:8" x14ac:dyDescent="0.3">
      <c r="A2251" t="e">
        <f t="shared" si="91"/>
        <v>#REF!</v>
      </c>
      <c r="B2251">
        <v>781</v>
      </c>
      <c r="C2251" s="1">
        <v>18.958257024096021</v>
      </c>
      <c r="D2251" s="9">
        <v>16.937611111112474</v>
      </c>
      <c r="E2251" s="1">
        <v>0.83888200000000002</v>
      </c>
      <c r="F2251" s="1">
        <v>2.1849500000000002</v>
      </c>
      <c r="G2251" s="1">
        <v>12.4274</v>
      </c>
      <c r="H2251" s="1">
        <v>1.2483500000000001</v>
      </c>
    </row>
    <row r="2252" spans="1:8" x14ac:dyDescent="0.3">
      <c r="A2252">
        <f t="shared" si="91"/>
        <v>9</v>
      </c>
      <c r="B2252">
        <v>831</v>
      </c>
      <c r="C2252" s="1">
        <v>19.32735704905339</v>
      </c>
      <c r="D2252" s="9">
        <v>16.984833333334784</v>
      </c>
      <c r="E2252" s="1">
        <v>1.12174</v>
      </c>
      <c r="F2252" s="1">
        <v>1.8964099999999999</v>
      </c>
      <c r="G2252" s="1">
        <v>12.893000000000001</v>
      </c>
      <c r="H2252" s="1">
        <v>2.3312900000000001</v>
      </c>
    </row>
    <row r="2253" spans="1:8" x14ac:dyDescent="0.3">
      <c r="A2253">
        <f t="shared" si="91"/>
        <v>0</v>
      </c>
      <c r="B2253">
        <v>881</v>
      </c>
      <c r="C2253" s="1">
        <v>19.59179468217836</v>
      </c>
      <c r="D2253" s="9">
        <v>17.032055555557093</v>
      </c>
      <c r="E2253" s="1">
        <v>1.4264399999999999</v>
      </c>
      <c r="F2253" s="1">
        <v>1.6508400000000001</v>
      </c>
      <c r="G2253" s="1">
        <v>13.281499999999999</v>
      </c>
      <c r="H2253" s="1">
        <v>3.2084800000000002</v>
      </c>
    </row>
    <row r="2254" spans="1:8" x14ac:dyDescent="0.3">
      <c r="A2254">
        <f t="shared" si="91"/>
        <v>25</v>
      </c>
      <c r="B2254">
        <v>931</v>
      </c>
      <c r="C2254" s="1">
        <v>19.855250163787471</v>
      </c>
      <c r="D2254" s="9">
        <v>17.079277777779403</v>
      </c>
      <c r="E2254" s="1">
        <v>1.8117799999999999</v>
      </c>
      <c r="F2254" s="1">
        <v>1.7304999999999999</v>
      </c>
      <c r="G2254" s="1">
        <v>13.288600000000001</v>
      </c>
      <c r="H2254" s="1">
        <v>3.5239500000000001</v>
      </c>
    </row>
    <row r="2255" spans="1:8" x14ac:dyDescent="0.3">
      <c r="A2255" t="e">
        <f t="shared" si="91"/>
        <v>#REF!</v>
      </c>
      <c r="B2255">
        <v>981</v>
      </c>
      <c r="C2255" s="1">
        <v>20.216489470492959</v>
      </c>
      <c r="D2255" s="9">
        <v>17.126500000001712</v>
      </c>
      <c r="E2255" s="1">
        <v>2.1783399999999999</v>
      </c>
      <c r="F2255" s="1">
        <v>2.1608700000000001</v>
      </c>
      <c r="G2255" s="1">
        <v>12.9907</v>
      </c>
      <c r="H2255" s="1">
        <v>3.3060999999999998</v>
      </c>
    </row>
    <row r="2256" spans="1:8" x14ac:dyDescent="0.3">
      <c r="A2256">
        <f t="shared" si="91"/>
        <v>16</v>
      </c>
      <c r="B2256">
        <v>1031</v>
      </c>
      <c r="C2256" s="1">
        <v>20.645719950364349</v>
      </c>
      <c r="D2256" s="9">
        <v>17.173722222224022</v>
      </c>
      <c r="E2256" s="1">
        <v>2.3315600000000001</v>
      </c>
      <c r="F2256" s="1">
        <v>2.7755200000000002</v>
      </c>
      <c r="G2256" s="1">
        <v>12.7212</v>
      </c>
      <c r="H2256" s="1">
        <v>2.8577400000000002</v>
      </c>
    </row>
    <row r="2257" spans="1:8" x14ac:dyDescent="0.3">
      <c r="A2257" t="e">
        <f t="shared" si="91"/>
        <v>#REF!</v>
      </c>
      <c r="B2257">
        <v>1081</v>
      </c>
      <c r="C2257" s="1">
        <v>21.075504916296321</v>
      </c>
      <c r="D2257" s="9">
        <v>17.220944444446332</v>
      </c>
      <c r="E2257" s="1">
        <v>2.3139599999999998</v>
      </c>
      <c r="F2257" s="1">
        <v>3.3014600000000001</v>
      </c>
      <c r="G2257" s="1">
        <v>12.650499999999999</v>
      </c>
      <c r="H2257" s="1">
        <v>2.5510899999999999</v>
      </c>
    </row>
    <row r="2258" spans="1:8" x14ac:dyDescent="0.3">
      <c r="A2258">
        <f t="shared" si="91"/>
        <v>7</v>
      </c>
      <c r="B2258">
        <v>1131</v>
      </c>
      <c r="C2258" s="1">
        <v>21.45</v>
      </c>
      <c r="D2258" s="9">
        <v>17.268166666668641</v>
      </c>
      <c r="E2258" s="1">
        <v>2.3179599999999998</v>
      </c>
      <c r="F2258" s="1">
        <v>3.4254600000000002</v>
      </c>
      <c r="G2258" s="1">
        <v>12.815899999999999</v>
      </c>
      <c r="H2258" s="1">
        <v>2.7704</v>
      </c>
    </row>
    <row r="2259" spans="1:8" x14ac:dyDescent="0.3">
      <c r="A2259" t="e">
        <f t="shared" si="91"/>
        <v>#REF!</v>
      </c>
      <c r="B2259">
        <v>1181</v>
      </c>
      <c r="C2259" s="1">
        <v>21.760351028186768</v>
      </c>
      <c r="D2259" s="9">
        <v>17.315388888890951</v>
      </c>
      <c r="E2259" s="1">
        <v>2.3024399999999998</v>
      </c>
      <c r="F2259" s="1">
        <v>3.2433299999999998</v>
      </c>
      <c r="G2259" s="1">
        <v>13.0619</v>
      </c>
      <c r="H2259" s="1">
        <v>3.4794499999999999</v>
      </c>
    </row>
    <row r="2260" spans="1:8" x14ac:dyDescent="0.3">
      <c r="A2260">
        <f t="shared" si="91"/>
        <v>23</v>
      </c>
      <c r="B2260">
        <v>1231</v>
      </c>
      <c r="C2260" s="1">
        <v>22.220852343989829</v>
      </c>
      <c r="D2260" s="9">
        <v>17.36261111111326</v>
      </c>
      <c r="E2260" s="1">
        <v>2.08385</v>
      </c>
      <c r="F2260" s="1">
        <v>3.1204999999999998</v>
      </c>
      <c r="G2260" s="1">
        <v>13.124000000000001</v>
      </c>
      <c r="H2260" s="1">
        <v>4.3537499999999998</v>
      </c>
    </row>
    <row r="2261" spans="1:8" x14ac:dyDescent="0.3">
      <c r="A2261" t="e">
        <f t="shared" si="91"/>
        <v>#REF!</v>
      </c>
      <c r="B2261">
        <v>1281</v>
      </c>
      <c r="C2261" s="1">
        <v>22.629113475941821</v>
      </c>
      <c r="D2261" s="9">
        <v>17.40983333333557</v>
      </c>
      <c r="E2261" s="1">
        <v>1.7790900000000001</v>
      </c>
      <c r="F2261" s="1">
        <v>3.20865</v>
      </c>
      <c r="G2261" s="1">
        <v>13.046099999999999</v>
      </c>
      <c r="H2261" s="1">
        <v>5.1276799999999998</v>
      </c>
    </row>
    <row r="2262" spans="1:8" x14ac:dyDescent="0.3">
      <c r="A2262">
        <f t="shared" si="91"/>
        <v>14</v>
      </c>
      <c r="B2262">
        <v>1331</v>
      </c>
      <c r="C2262" s="1">
        <v>22.979630924453492</v>
      </c>
      <c r="D2262" s="9">
        <v>17.457055555557879</v>
      </c>
      <c r="E2262" s="1">
        <v>1.6993100000000001</v>
      </c>
      <c r="F2262" s="1">
        <v>3.49979</v>
      </c>
      <c r="G2262" s="1">
        <v>13.0684</v>
      </c>
      <c r="H2262" s="1">
        <v>5.6004300000000002</v>
      </c>
    </row>
    <row r="2263" spans="1:8" x14ac:dyDescent="0.3">
      <c r="A2263" t="e">
        <f t="shared" si="91"/>
        <v>#REF!</v>
      </c>
      <c r="B2263">
        <v>1381</v>
      </c>
      <c r="C2263" s="1">
        <v>23.18</v>
      </c>
      <c r="D2263" s="9">
        <v>17.504277777780189</v>
      </c>
      <c r="E2263" s="1">
        <v>1.93245</v>
      </c>
      <c r="F2263" s="1">
        <v>3.8941400000000002</v>
      </c>
      <c r="G2263" s="1">
        <v>13.165699999999999</v>
      </c>
      <c r="H2263" s="1">
        <v>5.8261399999999997</v>
      </c>
    </row>
    <row r="2264" spans="1:8" x14ac:dyDescent="0.3">
      <c r="A2264">
        <f t="shared" si="91"/>
        <v>30</v>
      </c>
      <c r="B2264">
        <v>1431</v>
      </c>
      <c r="C2264" s="1">
        <v>23.265036179625969</v>
      </c>
      <c r="D2264" s="9">
        <v>17.551500000002498</v>
      </c>
      <c r="E2264" s="1">
        <v>2.3982999999999999</v>
      </c>
      <c r="F2264" s="1">
        <v>4.2389999999999999</v>
      </c>
      <c r="G2264" s="1">
        <v>13.144399999999999</v>
      </c>
      <c r="H2264" s="1">
        <v>6.0155700000000003</v>
      </c>
    </row>
    <row r="2265" spans="1:8" x14ac:dyDescent="0.3">
      <c r="A2265" t="e">
        <f t="shared" si="91"/>
        <v>#REF!</v>
      </c>
      <c r="B2265">
        <v>1481</v>
      </c>
      <c r="C2265" s="1">
        <v>23.194965321828629</v>
      </c>
      <c r="D2265" s="9">
        <v>17.598722222224808</v>
      </c>
      <c r="E2265" s="1">
        <v>2.8870900000000002</v>
      </c>
      <c r="F2265" s="1">
        <v>4.4908000000000001</v>
      </c>
      <c r="G2265" s="1">
        <v>13.0585</v>
      </c>
      <c r="H2265" s="1">
        <v>6.1431500000000003</v>
      </c>
    </row>
    <row r="2266" spans="1:8" x14ac:dyDescent="0.3">
      <c r="A2266">
        <f t="shared" si="91"/>
        <v>21</v>
      </c>
      <c r="B2266">
        <v>1531</v>
      </c>
      <c r="C2266" s="1">
        <v>22.962908091321811</v>
      </c>
      <c r="D2266" s="9">
        <v>17.645944444447117</v>
      </c>
      <c r="E2266" s="1">
        <v>3.1335299999999999</v>
      </c>
      <c r="F2266" s="1">
        <v>4.6930199999999997</v>
      </c>
      <c r="G2266" s="1">
        <v>13.116199999999999</v>
      </c>
      <c r="H2266" s="1">
        <v>6.02759</v>
      </c>
    </row>
    <row r="2267" spans="1:8" x14ac:dyDescent="0.3">
      <c r="A2267" t="e">
        <f t="shared" si="91"/>
        <v>#REF!</v>
      </c>
      <c r="B2267">
        <v>1581</v>
      </c>
      <c r="C2267" s="1">
        <v>22.645407622237649</v>
      </c>
      <c r="D2267" s="9">
        <v>17.693166666669427</v>
      </c>
      <c r="E2267" s="1">
        <v>3.28044</v>
      </c>
      <c r="F2267" s="1">
        <v>5.02637</v>
      </c>
      <c r="G2267" s="1">
        <v>13.277699999999999</v>
      </c>
      <c r="H2267" s="1">
        <v>5.60419</v>
      </c>
    </row>
    <row r="2268" spans="1:8" x14ac:dyDescent="0.3">
      <c r="A2268">
        <f t="shared" si="91"/>
        <v>12</v>
      </c>
      <c r="B2268">
        <v>1631</v>
      </c>
      <c r="C2268" s="1">
        <v>22.25274972031006</v>
      </c>
      <c r="D2268" s="9">
        <v>17.740388888891736</v>
      </c>
      <c r="E2268" s="1">
        <v>3.7242500000000001</v>
      </c>
      <c r="F2268" s="1">
        <v>5.7402499999999996</v>
      </c>
      <c r="G2268" s="1">
        <v>13.3474</v>
      </c>
      <c r="H2268" s="1">
        <v>4.8941299999999996</v>
      </c>
    </row>
    <row r="2269" spans="1:8" x14ac:dyDescent="0.3">
      <c r="A2269" t="e">
        <f t="shared" ref="A2269:A2300" si="92">A2219</f>
        <v>#REF!</v>
      </c>
      <c r="B2269">
        <v>1681</v>
      </c>
      <c r="C2269" s="1">
        <v>21.815318995612209</v>
      </c>
      <c r="D2269" s="9">
        <v>17.787611111114046</v>
      </c>
      <c r="E2269" s="1">
        <v>4.4871699999999999</v>
      </c>
      <c r="F2269" s="1">
        <v>6.7668699999999999</v>
      </c>
      <c r="G2269" s="1">
        <v>13.352600000000001</v>
      </c>
      <c r="H2269" s="1">
        <v>3.9646499999999998</v>
      </c>
    </row>
    <row r="2270" spans="1:8" x14ac:dyDescent="0.3">
      <c r="A2270">
        <f t="shared" si="92"/>
        <v>28</v>
      </c>
      <c r="B2270">
        <v>1731</v>
      </c>
      <c r="C2270" s="1">
        <v>21.369302032887351</v>
      </c>
      <c r="D2270" s="9">
        <v>17.834833333336356</v>
      </c>
      <c r="E2270" s="1">
        <v>5.3216799999999997</v>
      </c>
      <c r="F2270" s="1">
        <v>7.8205999999999998</v>
      </c>
      <c r="G2270" s="1">
        <v>13.4581</v>
      </c>
      <c r="H2270" s="1">
        <v>2.9108800000000001</v>
      </c>
    </row>
    <row r="2271" spans="1:8" x14ac:dyDescent="0.3">
      <c r="A2271" t="e">
        <f t="shared" si="92"/>
        <v>#REF!</v>
      </c>
      <c r="B2271">
        <v>1781</v>
      </c>
      <c r="C2271" s="1">
        <v>21.045264374389401</v>
      </c>
      <c r="D2271" s="9">
        <v>17.882055555558665</v>
      </c>
      <c r="E2271" s="1">
        <v>5.8712900000000001</v>
      </c>
      <c r="F2271" s="1">
        <v>8.6339500000000005</v>
      </c>
      <c r="G2271" s="1">
        <v>13.6005</v>
      </c>
      <c r="H2271" s="1">
        <v>1.7965</v>
      </c>
    </row>
    <row r="2272" spans="1:8" x14ac:dyDescent="0.3">
      <c r="A2272">
        <f t="shared" si="92"/>
        <v>19</v>
      </c>
      <c r="B2272">
        <v>1831</v>
      </c>
      <c r="C2272" s="1">
        <v>20.682997645440992</v>
      </c>
      <c r="D2272" s="9">
        <v>17.929277777780975</v>
      </c>
      <c r="E2272" s="1">
        <v>5.7453399999999997</v>
      </c>
      <c r="F2272" s="1">
        <v>8.9832000000000001</v>
      </c>
      <c r="G2272" s="1">
        <v>13.579499999999999</v>
      </c>
      <c r="H2272" s="1">
        <v>0.65866599999999997</v>
      </c>
    </row>
    <row r="2273" spans="1:8" x14ac:dyDescent="0.3">
      <c r="A2273" t="e">
        <f t="shared" si="92"/>
        <v>#REF!</v>
      </c>
      <c r="B2273">
        <v>1881</v>
      </c>
      <c r="C2273" s="1">
        <v>20.323304894257841</v>
      </c>
      <c r="D2273" s="9">
        <v>17.976500000003284</v>
      </c>
      <c r="E2273" s="1">
        <v>5.0180899999999999</v>
      </c>
      <c r="F2273" s="1">
        <v>9.0003899999999994</v>
      </c>
      <c r="G2273" s="1">
        <v>13.457800000000001</v>
      </c>
      <c r="H2273" s="1">
        <v>-0.523231</v>
      </c>
    </row>
    <row r="2274" spans="1:8" x14ac:dyDescent="0.3">
      <c r="A2274">
        <f t="shared" si="92"/>
        <v>10</v>
      </c>
      <c r="B2274">
        <v>1931</v>
      </c>
      <c r="C2274" s="1">
        <v>19.904396157458859</v>
      </c>
      <c r="D2274" s="9">
        <v>18.023722222225594</v>
      </c>
      <c r="E2274" s="1">
        <v>4.0786499999999997</v>
      </c>
      <c r="F2274" s="1">
        <v>9.0334800000000008</v>
      </c>
      <c r="G2274" s="1">
        <v>13.460699999999999</v>
      </c>
      <c r="H2274" s="1">
        <v>-1.79983</v>
      </c>
    </row>
    <row r="2275" spans="1:8" x14ac:dyDescent="0.3">
      <c r="A2275" t="e">
        <f t="shared" si="92"/>
        <v>#REF!</v>
      </c>
      <c r="B2275">
        <v>1981</v>
      </c>
      <c r="C2275" s="1">
        <v>19.630672077814289</v>
      </c>
      <c r="D2275" s="9">
        <v>18.070944444447903</v>
      </c>
      <c r="E2275" s="1">
        <v>3.2744399999999998</v>
      </c>
      <c r="F2275" s="1">
        <v>9.1007899999999999</v>
      </c>
      <c r="G2275" s="1">
        <v>13.5787</v>
      </c>
      <c r="H2275" s="1">
        <v>-3.1104099999999999</v>
      </c>
    </row>
    <row r="2276" spans="1:8" x14ac:dyDescent="0.3">
      <c r="A2276">
        <f t="shared" si="92"/>
        <v>26</v>
      </c>
      <c r="B2276">
        <v>2031</v>
      </c>
      <c r="C2276" s="1">
        <v>19.391157775024869</v>
      </c>
      <c r="D2276" s="9">
        <v>18.118166666670213</v>
      </c>
      <c r="E2276" s="1">
        <v>2.8896600000000001</v>
      </c>
      <c r="F2276" s="1">
        <v>9.0102700000000002</v>
      </c>
      <c r="G2276" s="1">
        <v>13.655200000000001</v>
      </c>
      <c r="H2276" s="1">
        <v>-4.3212799999999998</v>
      </c>
    </row>
    <row r="2277" spans="1:8" x14ac:dyDescent="0.3">
      <c r="A2277" t="e">
        <f t="shared" si="92"/>
        <v>#REF!</v>
      </c>
      <c r="B2277">
        <v>2081</v>
      </c>
      <c r="C2277" s="1">
        <v>19.25417528198323</v>
      </c>
      <c r="D2277" s="9">
        <v>18.165388888892522</v>
      </c>
      <c r="E2277" s="1">
        <v>2.82653</v>
      </c>
      <c r="F2277" s="1">
        <v>8.7765599999999999</v>
      </c>
      <c r="G2277" s="1">
        <v>13.711600000000001</v>
      </c>
      <c r="H2277" s="1">
        <v>-5.3336100000000002</v>
      </c>
    </row>
    <row r="2278" spans="1:8" x14ac:dyDescent="0.3">
      <c r="A2278">
        <f t="shared" si="92"/>
        <v>17</v>
      </c>
      <c r="B2278">
        <v>2131</v>
      </c>
      <c r="C2278" s="1">
        <v>19.183709498189259</v>
      </c>
      <c r="D2278" s="9">
        <v>18.212611111114832</v>
      </c>
      <c r="E2278" s="1">
        <v>2.7545999999999999</v>
      </c>
      <c r="F2278" s="1">
        <v>8.5539000000000005</v>
      </c>
      <c r="G2278" s="1">
        <v>13.874700000000001</v>
      </c>
      <c r="H2278" s="1">
        <v>-6.0681200000000004</v>
      </c>
    </row>
    <row r="2279" spans="1:8" x14ac:dyDescent="0.3">
      <c r="A2279" t="e">
        <f t="shared" si="92"/>
        <v>#REF!</v>
      </c>
      <c r="B2279">
        <v>2181</v>
      </c>
      <c r="C2279" s="1">
        <v>19.16</v>
      </c>
      <c r="D2279" s="9">
        <v>18.259833333337141</v>
      </c>
      <c r="E2279" s="1">
        <v>2.65686</v>
      </c>
      <c r="F2279" s="1">
        <v>8.4566199999999991</v>
      </c>
      <c r="G2279" s="1">
        <v>14.0585</v>
      </c>
      <c r="H2279" s="1">
        <v>-6.3851100000000001</v>
      </c>
    </row>
    <row r="2280" spans="1:8" x14ac:dyDescent="0.3">
      <c r="A2280">
        <f t="shared" si="92"/>
        <v>8</v>
      </c>
      <c r="B2280">
        <v>2231</v>
      </c>
      <c r="C2280" s="1">
        <v>19.233054953341512</v>
      </c>
      <c r="D2280" s="9">
        <v>18.307055555559451</v>
      </c>
      <c r="E2280" s="1">
        <v>2.71163</v>
      </c>
      <c r="F2280" s="1">
        <v>8.5531299999999995</v>
      </c>
      <c r="G2280" s="1">
        <v>14.053599999999999</v>
      </c>
      <c r="H2280" s="1">
        <v>-6.1251199999999999</v>
      </c>
    </row>
    <row r="2281" spans="1:8" x14ac:dyDescent="0.3">
      <c r="A2281" t="e">
        <f t="shared" si="92"/>
        <v>#REF!</v>
      </c>
      <c r="B2281">
        <v>2281</v>
      </c>
      <c r="C2281" s="1">
        <v>19.46174511308563</v>
      </c>
      <c r="D2281" s="9">
        <v>18.354277777781761</v>
      </c>
      <c r="E2281" s="1">
        <v>2.8595799999999998</v>
      </c>
      <c r="F2281" s="1">
        <v>8.7007600000000007</v>
      </c>
      <c r="G2281" s="1">
        <v>13.912599999999999</v>
      </c>
      <c r="H2281" s="1">
        <v>-5.3871799999999999</v>
      </c>
    </row>
    <row r="2282" spans="1:8" x14ac:dyDescent="0.3">
      <c r="A2282">
        <f t="shared" si="92"/>
        <v>24</v>
      </c>
      <c r="B2282">
        <v>2331</v>
      </c>
      <c r="C2282" s="1">
        <v>19.802684755723671</v>
      </c>
      <c r="D2282" s="9">
        <v>18.40150000000407</v>
      </c>
      <c r="E2282" s="1">
        <v>2.8969</v>
      </c>
      <c r="F2282" s="1">
        <v>8.6359700000000004</v>
      </c>
      <c r="G2282" s="1">
        <v>13.847099999999999</v>
      </c>
      <c r="H2282" s="1">
        <v>-4.4326400000000001</v>
      </c>
    </row>
    <row r="2283" spans="1:8" x14ac:dyDescent="0.3">
      <c r="A2283" t="e">
        <f t="shared" si="92"/>
        <v>#REF!</v>
      </c>
      <c r="B2283">
        <v>2381</v>
      </c>
      <c r="C2283" s="1">
        <v>20.273740691898919</v>
      </c>
      <c r="D2283" s="9">
        <v>18.44872222222638</v>
      </c>
      <c r="E2283" s="1">
        <v>2.8404799999999999</v>
      </c>
      <c r="F2283" s="1">
        <v>8.3523999999999994</v>
      </c>
      <c r="G2283" s="1">
        <v>13.837400000000001</v>
      </c>
      <c r="H2283" s="1">
        <v>-3.3881999999999999</v>
      </c>
    </row>
    <row r="2284" spans="1:8" x14ac:dyDescent="0.3">
      <c r="A2284">
        <f t="shared" si="92"/>
        <v>15</v>
      </c>
      <c r="B2284">
        <v>2431</v>
      </c>
      <c r="C2284" s="1">
        <v>20.83564432722542</v>
      </c>
      <c r="D2284" s="9">
        <v>18.495944444448689</v>
      </c>
      <c r="E2284" s="1">
        <v>2.8359800000000002</v>
      </c>
      <c r="F2284" s="1">
        <v>8.0200999999999993</v>
      </c>
      <c r="G2284" s="1">
        <v>13.7278</v>
      </c>
      <c r="H2284" s="1">
        <v>-2.2861799999999999</v>
      </c>
    </row>
    <row r="2285" spans="1:8" x14ac:dyDescent="0.3">
      <c r="A2285" t="e">
        <f t="shared" si="92"/>
        <v>#REF!</v>
      </c>
      <c r="B2285">
        <v>2481</v>
      </c>
      <c r="C2285" s="1">
        <v>21.36635156407058</v>
      </c>
      <c r="D2285" s="9">
        <v>18.543166666670999</v>
      </c>
      <c r="E2285" s="1">
        <v>2.77034</v>
      </c>
      <c r="F2285" s="1">
        <v>7.8315200000000003</v>
      </c>
      <c r="G2285" s="1">
        <v>13.6191</v>
      </c>
      <c r="H2285" s="1">
        <v>-1.12805</v>
      </c>
    </row>
    <row r="2286" spans="1:8" x14ac:dyDescent="0.3">
      <c r="A2286">
        <f t="shared" si="92"/>
        <v>31</v>
      </c>
      <c r="B2286">
        <v>2531</v>
      </c>
      <c r="C2286" s="1">
        <v>21.881643488824839</v>
      </c>
      <c r="D2286" s="9">
        <v>18.590388888893308</v>
      </c>
      <c r="E2286" s="1">
        <v>2.3810600000000002</v>
      </c>
      <c r="F2286" s="1">
        <v>7.9644199999999996</v>
      </c>
      <c r="G2286" s="1">
        <v>13.7592</v>
      </c>
      <c r="H2286" s="1">
        <v>0.100175</v>
      </c>
    </row>
    <row r="2287" spans="1:8" x14ac:dyDescent="0.3">
      <c r="A2287" t="e">
        <f t="shared" si="92"/>
        <v>#REF!</v>
      </c>
      <c r="B2287">
        <v>2581</v>
      </c>
      <c r="C2287" s="1">
        <v>22.280484863503091</v>
      </c>
      <c r="D2287" s="9">
        <v>18.637611111115618</v>
      </c>
      <c r="E2287" s="1">
        <v>1.7146300000000001</v>
      </c>
      <c r="F2287" s="1">
        <v>8.2611799999999995</v>
      </c>
      <c r="G2287" s="1">
        <v>14.083299999999999</v>
      </c>
      <c r="H2287" s="1">
        <v>1.3647899999999999</v>
      </c>
    </row>
    <row r="2288" spans="1:8" x14ac:dyDescent="0.3">
      <c r="A2288">
        <f t="shared" si="92"/>
        <v>22</v>
      </c>
      <c r="B2288">
        <v>2631</v>
      </c>
      <c r="C2288" s="1">
        <v>22.617000034049269</v>
      </c>
      <c r="D2288" s="9">
        <v>18.684833333337927</v>
      </c>
      <c r="E2288" s="1">
        <v>1.0287200000000001</v>
      </c>
      <c r="F2288" s="1">
        <v>8.3636800000000004</v>
      </c>
      <c r="G2288" s="1">
        <v>14.324999999999999</v>
      </c>
      <c r="H2288" s="1">
        <v>2.59904</v>
      </c>
    </row>
    <row r="2289" spans="1:8" x14ac:dyDescent="0.3">
      <c r="A2289" t="e">
        <f t="shared" si="92"/>
        <v>#REF!</v>
      </c>
      <c r="B2289">
        <v>2681</v>
      </c>
      <c r="C2289" s="1">
        <v>23.024456829704789</v>
      </c>
      <c r="D2289" s="9">
        <v>18.732055555560237</v>
      </c>
      <c r="E2289" s="1">
        <v>0.62042900000000001</v>
      </c>
      <c r="F2289" s="1">
        <v>8.2010900000000007</v>
      </c>
      <c r="G2289" s="1">
        <v>14.315</v>
      </c>
      <c r="H2289" s="1">
        <v>3.7204000000000002</v>
      </c>
    </row>
    <row r="2290" spans="1:8" x14ac:dyDescent="0.3">
      <c r="A2290">
        <f t="shared" si="92"/>
        <v>13</v>
      </c>
      <c r="B2290">
        <v>2731</v>
      </c>
      <c r="C2290" s="1">
        <v>23.503108936255099</v>
      </c>
      <c r="D2290" s="9">
        <v>18.779277777782546</v>
      </c>
      <c r="E2290" s="1">
        <v>0.780227</v>
      </c>
      <c r="F2290" s="1">
        <v>7.9102300000000003</v>
      </c>
      <c r="G2290" s="1">
        <v>13.972200000000001</v>
      </c>
      <c r="H2290" s="1">
        <v>4.6387999999999998</v>
      </c>
    </row>
    <row r="2291" spans="1:8" x14ac:dyDescent="0.3">
      <c r="A2291" t="e">
        <f t="shared" si="92"/>
        <v>#REF!</v>
      </c>
      <c r="B2291">
        <v>2781</v>
      </c>
      <c r="C2291" s="1">
        <v>23.889303066507399</v>
      </c>
      <c r="D2291" s="9">
        <v>18.826500000004856</v>
      </c>
      <c r="E2291" s="1">
        <v>1.4336500000000001</v>
      </c>
      <c r="F2291" s="1">
        <v>7.7928699999999997</v>
      </c>
      <c r="G2291" s="1">
        <v>13.471399999999999</v>
      </c>
      <c r="H2291" s="1">
        <v>5.2932699999999997</v>
      </c>
    </row>
    <row r="2292" spans="1:8" x14ac:dyDescent="0.3">
      <c r="A2292">
        <f t="shared" si="92"/>
        <v>29</v>
      </c>
      <c r="B2292">
        <v>2831</v>
      </c>
      <c r="C2292" s="1">
        <v>24.12043597505966</v>
      </c>
      <c r="D2292" s="9">
        <v>18.873722222227165</v>
      </c>
      <c r="E2292" s="1">
        <v>2.26491</v>
      </c>
      <c r="F2292" s="1">
        <v>8.2278300000000009</v>
      </c>
      <c r="G2292" s="1">
        <v>13.1469</v>
      </c>
      <c r="H2292" s="1">
        <v>5.6558999999999999</v>
      </c>
    </row>
    <row r="2293" spans="1:8" x14ac:dyDescent="0.3">
      <c r="A2293" t="e">
        <f t="shared" si="92"/>
        <v>#REF!</v>
      </c>
      <c r="B2293">
        <v>2881</v>
      </c>
      <c r="C2293" s="1">
        <v>24.310911715722469</v>
      </c>
      <c r="D2293" s="9">
        <v>18.920944444449475</v>
      </c>
      <c r="E2293" s="1">
        <v>2.9634399999999999</v>
      </c>
      <c r="F2293" s="1">
        <v>9.2297399999999996</v>
      </c>
      <c r="G2293" s="1">
        <v>13.2417</v>
      </c>
      <c r="H2293" s="1">
        <v>5.8637699999999997</v>
      </c>
    </row>
    <row r="2294" spans="1:8" x14ac:dyDescent="0.3">
      <c r="A2294">
        <f t="shared" si="92"/>
        <v>20</v>
      </c>
      <c r="B2294">
        <v>2931</v>
      </c>
      <c r="C2294" s="1">
        <v>24.21242493782367</v>
      </c>
      <c r="D2294" s="9">
        <v>18.968166666671785</v>
      </c>
      <c r="E2294" s="1">
        <v>3.2621699999999998</v>
      </c>
      <c r="F2294" s="1">
        <v>10.563800000000001</v>
      </c>
      <c r="G2294" s="1">
        <v>13.9123</v>
      </c>
      <c r="H2294" s="1">
        <v>6.1428599999999998</v>
      </c>
    </row>
    <row r="2295" spans="1:8" x14ac:dyDescent="0.3">
      <c r="A2295" t="e">
        <f t="shared" si="92"/>
        <v>#REF!</v>
      </c>
      <c r="B2295">
        <v>2981</v>
      </c>
      <c r="C2295" s="1">
        <v>24.065894512281819</v>
      </c>
      <c r="D2295" s="9">
        <v>19.015388888894094</v>
      </c>
      <c r="E2295" s="1">
        <v>3.3402699999999999</v>
      </c>
      <c r="F2295" s="1">
        <v>11.909599999999999</v>
      </c>
      <c r="G2295" s="1">
        <v>15.029400000000001</v>
      </c>
      <c r="H2295" s="1">
        <v>6.4964399999999998</v>
      </c>
    </row>
    <row r="2296" spans="1:8" x14ac:dyDescent="0.3">
      <c r="A2296">
        <f t="shared" si="92"/>
        <v>11</v>
      </c>
      <c r="B2296">
        <v>3031</v>
      </c>
      <c r="C2296" s="1">
        <v>23.93914131287222</v>
      </c>
      <c r="D2296" s="9">
        <v>19.062611111116404</v>
      </c>
      <c r="E2296" s="1">
        <v>3.6455299999999999</v>
      </c>
      <c r="F2296" s="1">
        <v>12.901300000000001</v>
      </c>
      <c r="G2296" s="1">
        <v>16.2758</v>
      </c>
      <c r="H2296" s="1">
        <v>6.7979500000000002</v>
      </c>
    </row>
    <row r="2297" spans="1:8" x14ac:dyDescent="0.3">
      <c r="A2297" t="e">
        <f t="shared" si="92"/>
        <v>#REF!</v>
      </c>
      <c r="B2297">
        <v>3081</v>
      </c>
      <c r="C2297" s="1">
        <v>23.710604780910661</v>
      </c>
      <c r="D2297" s="9">
        <v>19.109833333338713</v>
      </c>
      <c r="E2297" s="1">
        <v>4.3207599999999999</v>
      </c>
      <c r="F2297" s="1">
        <v>13.283799999999999</v>
      </c>
      <c r="G2297" s="1">
        <v>17.324100000000001</v>
      </c>
      <c r="H2297" s="1">
        <v>7.1185700000000001</v>
      </c>
    </row>
    <row r="2298" spans="1:8" x14ac:dyDescent="0.3">
      <c r="A2298">
        <f t="shared" si="92"/>
        <v>27</v>
      </c>
      <c r="B2298">
        <v>3131</v>
      </c>
      <c r="C2298" s="1">
        <v>23.32008727180045</v>
      </c>
      <c r="D2298" s="9">
        <v>19.157055555561023</v>
      </c>
      <c r="E2298" s="1">
        <v>5.2911999999999999</v>
      </c>
      <c r="F2298" s="1">
        <v>12.9193</v>
      </c>
      <c r="G2298" s="1">
        <v>17.8781</v>
      </c>
      <c r="H2298" s="1">
        <v>7.6438899999999999</v>
      </c>
    </row>
    <row r="2299" spans="1:8" x14ac:dyDescent="0.3">
      <c r="A2299" t="e">
        <f t="shared" si="92"/>
        <v>#REF!</v>
      </c>
      <c r="B2299">
        <v>3181</v>
      </c>
      <c r="C2299" s="1">
        <v>22.91948096121925</v>
      </c>
      <c r="D2299" s="9">
        <v>19.204277777783332</v>
      </c>
      <c r="E2299" s="1">
        <v>6.3751800000000003</v>
      </c>
      <c r="F2299" s="1">
        <v>11.9938</v>
      </c>
      <c r="G2299" s="1">
        <v>17.9239</v>
      </c>
      <c r="H2299" s="1">
        <v>8.4385100000000008</v>
      </c>
    </row>
    <row r="2300" spans="1:8" x14ac:dyDescent="0.3">
      <c r="A2300">
        <f t="shared" si="92"/>
        <v>18</v>
      </c>
      <c r="B2300">
        <v>3231</v>
      </c>
      <c r="C2300" s="1">
        <v>22.565555791278051</v>
      </c>
      <c r="D2300" s="9">
        <v>19.251500000005642</v>
      </c>
      <c r="E2300" s="1">
        <v>7.3541299999999996</v>
      </c>
      <c r="F2300" s="1">
        <v>10.8751</v>
      </c>
      <c r="G2300" s="1">
        <v>17.620999999999999</v>
      </c>
      <c r="H2300" s="1">
        <v>9.4857899999999997</v>
      </c>
    </row>
    <row r="2301" spans="1:8" x14ac:dyDescent="0.3">
      <c r="A2301" t="e">
        <f t="shared" ref="A2301:A2307" si="93">A2251</f>
        <v>#REF!</v>
      </c>
      <c r="B2301">
        <v>3281</v>
      </c>
      <c r="C2301" s="1">
        <v>22.156323242040671</v>
      </c>
      <c r="D2301" s="9">
        <v>19.298722222227951</v>
      </c>
      <c r="E2301" s="1">
        <v>8.2566600000000001</v>
      </c>
      <c r="F2301" s="1">
        <v>9.9346599999999992</v>
      </c>
      <c r="G2301" s="1">
        <v>17.191299999999998</v>
      </c>
      <c r="H2301" s="1">
        <v>10.725199999999999</v>
      </c>
    </row>
    <row r="2302" spans="1:8" x14ac:dyDescent="0.3">
      <c r="A2302">
        <f t="shared" si="93"/>
        <v>9</v>
      </c>
      <c r="B2302">
        <v>3331</v>
      </c>
      <c r="C2302" s="1">
        <v>21.804891785075739</v>
      </c>
      <c r="D2302" s="9">
        <v>19.345944444450261</v>
      </c>
      <c r="E2302" s="1">
        <v>9.4752899999999993</v>
      </c>
      <c r="F2302" s="1">
        <v>10.0823</v>
      </c>
      <c r="G2302" s="1">
        <v>17.068100000000001</v>
      </c>
      <c r="H2302" s="1">
        <v>12.113</v>
      </c>
    </row>
    <row r="2303" spans="1:8" x14ac:dyDescent="0.3">
      <c r="A2303">
        <f t="shared" si="93"/>
        <v>0</v>
      </c>
      <c r="B2303">
        <v>3381</v>
      </c>
      <c r="C2303" s="1">
        <v>21.50518907536372</v>
      </c>
      <c r="D2303" s="9">
        <v>19.39316666667257</v>
      </c>
      <c r="E2303" s="1">
        <v>11.1568</v>
      </c>
      <c r="F2303" s="1">
        <v>11.446</v>
      </c>
      <c r="G2303" s="1">
        <v>17.285599999999999</v>
      </c>
      <c r="H2303" s="1">
        <v>13.5463</v>
      </c>
    </row>
    <row r="2304" spans="1:8" x14ac:dyDescent="0.3">
      <c r="A2304">
        <f t="shared" si="93"/>
        <v>25</v>
      </c>
      <c r="B2304">
        <v>3431</v>
      </c>
      <c r="C2304" s="1">
        <v>21.13963405453454</v>
      </c>
      <c r="D2304" s="9">
        <v>19.44038888889488</v>
      </c>
      <c r="E2304" s="1">
        <v>12.998100000000001</v>
      </c>
      <c r="F2304" s="1">
        <v>13.1371</v>
      </c>
      <c r="G2304" s="1">
        <v>17.643599999999999</v>
      </c>
      <c r="H2304" s="1">
        <v>14.9526</v>
      </c>
    </row>
    <row r="2305" spans="1:8" x14ac:dyDescent="0.3">
      <c r="A2305" t="e">
        <f t="shared" si="93"/>
        <v>#REF!</v>
      </c>
      <c r="B2305">
        <v>3481</v>
      </c>
      <c r="C2305" s="1">
        <v>20.631180452200852</v>
      </c>
      <c r="D2305" s="9">
        <v>19.487611111117189</v>
      </c>
      <c r="E2305" s="1">
        <v>14.9138</v>
      </c>
      <c r="F2305" s="1">
        <v>14.976599999999999</v>
      </c>
      <c r="G2305" s="1">
        <v>18.124199999999998</v>
      </c>
      <c r="H2305" s="1">
        <v>16.340499999999999</v>
      </c>
    </row>
    <row r="2306" spans="1:8" x14ac:dyDescent="0.3">
      <c r="A2306">
        <f t="shared" si="93"/>
        <v>16</v>
      </c>
      <c r="B2306">
        <v>3531</v>
      </c>
      <c r="C2306" s="1">
        <v>20.17826592028938</v>
      </c>
      <c r="D2306" s="9">
        <v>19.534833333339499</v>
      </c>
      <c r="E2306" s="1">
        <v>16.868200000000002</v>
      </c>
      <c r="F2306" s="1">
        <v>16.8916</v>
      </c>
      <c r="G2306" s="1">
        <v>18.697199999999999</v>
      </c>
      <c r="H2306" s="1">
        <v>17.716000000000001</v>
      </c>
    </row>
    <row r="2307" spans="1:8" x14ac:dyDescent="0.3">
      <c r="A2307" t="e">
        <f t="shared" si="93"/>
        <v>#REF!</v>
      </c>
      <c r="B2307">
        <v>3581</v>
      </c>
      <c r="C2307" s="1">
        <v>19.761313032376069</v>
      </c>
      <c r="D2307" s="9">
        <v>19.582055555561809</v>
      </c>
      <c r="E2307" s="1">
        <v>18.844899999999999</v>
      </c>
      <c r="F2307" s="1">
        <v>18.8489</v>
      </c>
      <c r="G2307" s="1">
        <v>19.340399999999999</v>
      </c>
      <c r="H2307" s="1">
        <v>19.0825</v>
      </c>
    </row>
    <row r="2308" spans="1:8" x14ac:dyDescent="0.3">
      <c r="A2308">
        <v>32</v>
      </c>
      <c r="B2308">
        <v>32</v>
      </c>
      <c r="C2308" s="1">
        <v>16.170000000000002</v>
      </c>
      <c r="D2308" s="9">
        <v>16.230222222222277</v>
      </c>
      <c r="E2308" s="1">
        <v>15.0146</v>
      </c>
      <c r="F2308" s="1">
        <v>14.935700000000001</v>
      </c>
      <c r="G2308" s="1">
        <v>15.8126</v>
      </c>
      <c r="H2308" s="1">
        <v>15.0067</v>
      </c>
    </row>
    <row r="2309" spans="1:8" x14ac:dyDescent="0.3">
      <c r="A2309" t="e">
        <f t="shared" ref="A2309:A2340" si="94">A2259</f>
        <v>#REF!</v>
      </c>
      <c r="B2309">
        <v>82</v>
      </c>
      <c r="C2309" s="1">
        <v>16.23</v>
      </c>
      <c r="D2309" s="9">
        <v>16.277444444444587</v>
      </c>
      <c r="E2309" s="1">
        <v>13.1816</v>
      </c>
      <c r="F2309" s="1">
        <v>12.9841</v>
      </c>
      <c r="G2309" s="1">
        <v>15.2529</v>
      </c>
      <c r="H2309" s="1">
        <v>13.1347</v>
      </c>
    </row>
    <row r="2310" spans="1:8" x14ac:dyDescent="0.3">
      <c r="A2310">
        <f t="shared" si="94"/>
        <v>23</v>
      </c>
      <c r="B2310">
        <v>132</v>
      </c>
      <c r="C2310" s="1">
        <v>16.362214168389869</v>
      </c>
      <c r="D2310" s="9">
        <v>16.324666666666896</v>
      </c>
      <c r="E2310" s="1">
        <v>11.3805</v>
      </c>
      <c r="F2310" s="1">
        <v>11.0791</v>
      </c>
      <c r="G2310" s="1">
        <v>14.7608</v>
      </c>
      <c r="H2310" s="1">
        <v>11.252800000000001</v>
      </c>
    </row>
    <row r="2311" spans="1:8" x14ac:dyDescent="0.3">
      <c r="A2311" t="e">
        <f t="shared" si="94"/>
        <v>#REF!</v>
      </c>
      <c r="B2311">
        <v>182</v>
      </c>
      <c r="C2311" s="1">
        <v>16.644199305563411</v>
      </c>
      <c r="D2311" s="9">
        <v>16.371888888889206</v>
      </c>
      <c r="E2311" s="1">
        <v>9.6279900000000005</v>
      </c>
      <c r="F2311" s="1">
        <v>9.2578999999999994</v>
      </c>
      <c r="G2311" s="1">
        <v>14.353199999999999</v>
      </c>
      <c r="H2311" s="1">
        <v>9.3609100000000005</v>
      </c>
    </row>
    <row r="2312" spans="1:8" x14ac:dyDescent="0.3">
      <c r="A2312">
        <f t="shared" si="94"/>
        <v>14</v>
      </c>
      <c r="B2312">
        <v>232</v>
      </c>
      <c r="C2312" s="1">
        <v>16.87</v>
      </c>
      <c r="D2312" s="9">
        <v>16.419111111111516</v>
      </c>
      <c r="E2312" s="1">
        <v>7.9555400000000001</v>
      </c>
      <c r="F2312" s="1">
        <v>7.6046699999999996</v>
      </c>
      <c r="G2312" s="1">
        <v>14.044700000000001</v>
      </c>
      <c r="H2312" s="1">
        <v>7.4642200000000001</v>
      </c>
    </row>
    <row r="2313" spans="1:8" x14ac:dyDescent="0.3">
      <c r="A2313" t="e">
        <f t="shared" si="94"/>
        <v>#REF!</v>
      </c>
      <c r="B2313">
        <v>282</v>
      </c>
      <c r="C2313" s="1">
        <v>17.020586856774489</v>
      </c>
      <c r="D2313" s="9">
        <v>16.466333333333825</v>
      </c>
      <c r="E2313" s="1">
        <v>6.4411100000000001</v>
      </c>
      <c r="F2313" s="1">
        <v>6.3640699999999999</v>
      </c>
      <c r="G2313" s="1">
        <v>13.8192</v>
      </c>
      <c r="H2313" s="1">
        <v>5.6144400000000001</v>
      </c>
    </row>
    <row r="2314" spans="1:8" x14ac:dyDescent="0.3">
      <c r="A2314">
        <f t="shared" si="94"/>
        <v>30</v>
      </c>
      <c r="B2314">
        <v>332</v>
      </c>
      <c r="C2314" s="1">
        <v>17.23267396093577</v>
      </c>
      <c r="D2314" s="9">
        <v>16.513555555556135</v>
      </c>
      <c r="E2314" s="1">
        <v>5.4089200000000002</v>
      </c>
      <c r="F2314" s="1">
        <v>6.2787199999999999</v>
      </c>
      <c r="G2314" s="1">
        <v>13.91</v>
      </c>
      <c r="H2314" s="1">
        <v>4.2269899999999998</v>
      </c>
    </row>
    <row r="2315" spans="1:8" x14ac:dyDescent="0.3">
      <c r="A2315" t="e">
        <f t="shared" si="94"/>
        <v>#REF!</v>
      </c>
      <c r="B2315">
        <v>382</v>
      </c>
      <c r="C2315" s="1">
        <v>17.456203518955199</v>
      </c>
      <c r="D2315" s="9">
        <v>16.560777777778444</v>
      </c>
      <c r="E2315" s="1">
        <v>4.7166399999999999</v>
      </c>
      <c r="F2315" s="1">
        <v>6.6094200000000001</v>
      </c>
      <c r="G2315" s="1">
        <v>14.0678</v>
      </c>
      <c r="H2315" s="1">
        <v>3.25265</v>
      </c>
    </row>
    <row r="2316" spans="1:8" x14ac:dyDescent="0.3">
      <c r="A2316">
        <f t="shared" si="94"/>
        <v>21</v>
      </c>
      <c r="B2316">
        <v>432</v>
      </c>
      <c r="C2316" s="1">
        <v>17.723662339949492</v>
      </c>
      <c r="D2316" s="9">
        <v>16.608000000000754</v>
      </c>
      <c r="E2316" s="1">
        <v>4.27074</v>
      </c>
      <c r="F2316" s="1">
        <v>6.7369599999999998</v>
      </c>
      <c r="G2316" s="1">
        <v>13.973100000000001</v>
      </c>
      <c r="H2316" s="1">
        <v>2.6378300000000001</v>
      </c>
    </row>
    <row r="2317" spans="1:8" x14ac:dyDescent="0.3">
      <c r="A2317" t="e">
        <f t="shared" si="94"/>
        <v>#REF!</v>
      </c>
      <c r="B2317">
        <v>482</v>
      </c>
      <c r="C2317" s="1">
        <v>17.873305897806819</v>
      </c>
      <c r="D2317" s="9">
        <v>16.655222222223063</v>
      </c>
      <c r="E2317" s="1">
        <v>3.8725999999999998</v>
      </c>
      <c r="F2317" s="1">
        <v>6.4839200000000003</v>
      </c>
      <c r="G2317" s="1">
        <v>13.660299999999999</v>
      </c>
      <c r="H2317" s="1">
        <v>2.1958099999999998</v>
      </c>
    </row>
    <row r="2318" spans="1:8" x14ac:dyDescent="0.3">
      <c r="A2318">
        <f t="shared" si="94"/>
        <v>12</v>
      </c>
      <c r="B2318">
        <v>532</v>
      </c>
      <c r="C2318" s="1">
        <v>18.08101161769758</v>
      </c>
      <c r="D2318" s="9">
        <v>16.702444444445373</v>
      </c>
      <c r="E2318" s="1">
        <v>3.2135400000000001</v>
      </c>
      <c r="F2318" s="1">
        <v>5.8105200000000004</v>
      </c>
      <c r="G2318" s="1">
        <v>13.321099999999999</v>
      </c>
      <c r="H2318" s="1">
        <v>1.60484</v>
      </c>
    </row>
    <row r="2319" spans="1:8" x14ac:dyDescent="0.3">
      <c r="A2319" t="e">
        <f t="shared" si="94"/>
        <v>#REF!</v>
      </c>
      <c r="B2319">
        <v>582</v>
      </c>
      <c r="C2319" s="1">
        <v>18.29992129012409</v>
      </c>
      <c r="D2319" s="9">
        <v>16.749666666667682</v>
      </c>
      <c r="E2319" s="1">
        <v>2.3143500000000001</v>
      </c>
      <c r="F2319" s="1">
        <v>4.8400299999999996</v>
      </c>
      <c r="G2319" s="1">
        <v>12.981199999999999</v>
      </c>
      <c r="H2319" s="1">
        <v>0.86848700000000001</v>
      </c>
    </row>
    <row r="2320" spans="1:8" x14ac:dyDescent="0.3">
      <c r="A2320">
        <f t="shared" si="94"/>
        <v>28</v>
      </c>
      <c r="B2320">
        <v>632</v>
      </c>
      <c r="C2320" s="1">
        <v>18.484413030091549</v>
      </c>
      <c r="D2320" s="9">
        <v>16.796888888889992</v>
      </c>
      <c r="E2320" s="1">
        <v>1.4357599999999999</v>
      </c>
      <c r="F2320" s="1">
        <v>3.81392</v>
      </c>
      <c r="G2320" s="1">
        <v>12.561400000000001</v>
      </c>
      <c r="H2320" s="1">
        <v>0.23017799999999999</v>
      </c>
    </row>
    <row r="2321" spans="1:8" x14ac:dyDescent="0.3">
      <c r="A2321" t="e">
        <f t="shared" si="94"/>
        <v>#REF!</v>
      </c>
      <c r="B2321">
        <v>682</v>
      </c>
      <c r="C2321" s="1">
        <v>18.595025724364511</v>
      </c>
      <c r="D2321" s="9">
        <v>16.844111111112301</v>
      </c>
      <c r="E2321" s="1">
        <v>0.81669899999999995</v>
      </c>
      <c r="F2321" s="1">
        <v>2.9553400000000001</v>
      </c>
      <c r="G2321" s="1">
        <v>12.1965</v>
      </c>
      <c r="H2321" s="1">
        <v>-3.0635900000000001E-2</v>
      </c>
    </row>
    <row r="2322" spans="1:8" x14ac:dyDescent="0.3">
      <c r="A2322">
        <f t="shared" si="94"/>
        <v>19</v>
      </c>
      <c r="B2322">
        <v>732</v>
      </c>
      <c r="C2322" s="1">
        <v>18.760000000000002</v>
      </c>
      <c r="D2322" s="9">
        <v>16.891333333334611</v>
      </c>
      <c r="E2322" s="1">
        <v>0.65094700000000005</v>
      </c>
      <c r="F2322" s="1">
        <v>2.4457399999999998</v>
      </c>
      <c r="G2322" s="1">
        <v>12.148400000000001</v>
      </c>
      <c r="H2322" s="1">
        <v>0.353134</v>
      </c>
    </row>
    <row r="2323" spans="1:8" x14ac:dyDescent="0.3">
      <c r="A2323" t="e">
        <f t="shared" si="94"/>
        <v>#REF!</v>
      </c>
      <c r="B2323">
        <v>782</v>
      </c>
      <c r="C2323" s="1">
        <v>18.97388348907711</v>
      </c>
      <c r="D2323" s="9">
        <v>16.93855555555692</v>
      </c>
      <c r="E2323" s="1">
        <v>0.84443000000000001</v>
      </c>
      <c r="F2323" s="1">
        <v>2.1801200000000001</v>
      </c>
      <c r="G2323" s="1">
        <v>12.435499999999999</v>
      </c>
      <c r="H2323" s="1">
        <v>1.2695399999999999</v>
      </c>
    </row>
    <row r="2324" spans="1:8" x14ac:dyDescent="0.3">
      <c r="A2324">
        <f t="shared" si="94"/>
        <v>10</v>
      </c>
      <c r="B2324">
        <v>832</v>
      </c>
      <c r="C2324" s="1">
        <v>19.329999999999998</v>
      </c>
      <c r="D2324" s="9">
        <v>16.98577777777923</v>
      </c>
      <c r="E2324" s="1">
        <v>1.1274</v>
      </c>
      <c r="F2324" s="1">
        <v>1.8900999999999999</v>
      </c>
      <c r="G2324" s="1">
        <v>12.9026</v>
      </c>
      <c r="H2324" s="1">
        <v>2.3521299999999998</v>
      </c>
    </row>
    <row r="2325" spans="1:8" x14ac:dyDescent="0.3">
      <c r="A2325" t="e">
        <f t="shared" si="94"/>
        <v>#REF!</v>
      </c>
      <c r="B2325">
        <v>882</v>
      </c>
      <c r="C2325" s="1">
        <v>19.595925991720861</v>
      </c>
      <c r="D2325" s="9">
        <v>17.03300000000154</v>
      </c>
      <c r="E2325" s="1">
        <v>1.43323</v>
      </c>
      <c r="F2325" s="1">
        <v>1.6484300000000001</v>
      </c>
      <c r="G2325" s="1">
        <v>13.286199999999999</v>
      </c>
      <c r="H2325" s="1">
        <v>3.2212700000000001</v>
      </c>
    </row>
    <row r="2326" spans="1:8" x14ac:dyDescent="0.3">
      <c r="A2326">
        <f t="shared" si="94"/>
        <v>26</v>
      </c>
      <c r="B2326">
        <v>932</v>
      </c>
      <c r="C2326" s="1">
        <v>19.863870556187731</v>
      </c>
      <c r="D2326" s="9">
        <v>17.080222222223849</v>
      </c>
      <c r="E2326" s="1">
        <v>1.81999</v>
      </c>
      <c r="F2326" s="1">
        <v>1.7361800000000001</v>
      </c>
      <c r="G2326" s="1">
        <v>13.284599999999999</v>
      </c>
      <c r="H2326" s="1">
        <v>3.52386</v>
      </c>
    </row>
    <row r="2327" spans="1:8" x14ac:dyDescent="0.3">
      <c r="A2327" t="e">
        <f t="shared" si="94"/>
        <v>#REF!</v>
      </c>
      <c r="B2327">
        <v>982</v>
      </c>
      <c r="C2327" s="1">
        <v>20.225539326147761</v>
      </c>
      <c r="D2327" s="9">
        <v>17.127444444446159</v>
      </c>
      <c r="E2327" s="1">
        <v>2.1840299999999999</v>
      </c>
      <c r="F2327" s="1">
        <v>2.17198</v>
      </c>
      <c r="G2327" s="1">
        <v>12.984</v>
      </c>
      <c r="H2327" s="1">
        <v>3.29833</v>
      </c>
    </row>
    <row r="2328" spans="1:8" x14ac:dyDescent="0.3">
      <c r="A2328">
        <f t="shared" si="94"/>
        <v>17</v>
      </c>
      <c r="B2328">
        <v>1032</v>
      </c>
      <c r="C2328" s="1">
        <v>20.655049962213461</v>
      </c>
      <c r="D2328" s="9">
        <v>17.174666666668468</v>
      </c>
      <c r="E2328" s="1">
        <v>2.3321999999999998</v>
      </c>
      <c r="F2328" s="1">
        <v>2.7880400000000001</v>
      </c>
      <c r="G2328" s="1">
        <v>12.717700000000001</v>
      </c>
      <c r="H2328" s="1">
        <v>2.84883</v>
      </c>
    </row>
    <row r="2329" spans="1:8" x14ac:dyDescent="0.3">
      <c r="A2329" t="e">
        <f t="shared" si="94"/>
        <v>#REF!</v>
      </c>
      <c r="B2329">
        <v>1082</v>
      </c>
      <c r="C2329" s="1">
        <v>21.08011024353884</v>
      </c>
      <c r="D2329" s="9">
        <v>17.221888888890778</v>
      </c>
      <c r="E2329" s="1">
        <v>2.3132999999999999</v>
      </c>
      <c r="F2329" s="1">
        <v>3.30871</v>
      </c>
      <c r="G2329" s="1">
        <v>12.6515</v>
      </c>
      <c r="H2329" s="1">
        <v>2.5492699999999999</v>
      </c>
    </row>
    <row r="2330" spans="1:8" x14ac:dyDescent="0.3">
      <c r="A2330">
        <f t="shared" si="94"/>
        <v>8</v>
      </c>
      <c r="B2330">
        <v>1132</v>
      </c>
      <c r="C2330" s="1">
        <v>21.45</v>
      </c>
      <c r="D2330" s="9">
        <v>17.269111111113087</v>
      </c>
      <c r="E2330" s="1">
        <v>2.3185099999999998</v>
      </c>
      <c r="F2330" s="1">
        <v>3.4235799999999998</v>
      </c>
      <c r="G2330" s="1">
        <v>12.821</v>
      </c>
      <c r="H2330" s="1">
        <v>2.78084</v>
      </c>
    </row>
    <row r="2331" spans="1:8" x14ac:dyDescent="0.3">
      <c r="A2331" t="e">
        <f t="shared" si="94"/>
        <v>#REF!</v>
      </c>
      <c r="B2331">
        <v>1182</v>
      </c>
      <c r="C2331" s="1">
        <v>21.764742173880592</v>
      </c>
      <c r="D2331" s="9">
        <v>17.316333333335397</v>
      </c>
      <c r="E2331" s="1">
        <v>2.3005200000000001</v>
      </c>
      <c r="F2331" s="1">
        <v>3.2391700000000001</v>
      </c>
      <c r="G2331" s="1">
        <v>13.0657</v>
      </c>
      <c r="H2331" s="1">
        <v>3.4963799999999998</v>
      </c>
    </row>
    <row r="2332" spans="1:8" x14ac:dyDescent="0.3">
      <c r="A2332">
        <f t="shared" si="94"/>
        <v>24</v>
      </c>
      <c r="B2332">
        <v>1232</v>
      </c>
      <c r="C2332" s="1">
        <v>22.229623119764948</v>
      </c>
      <c r="D2332" s="9">
        <v>17.363555555557706</v>
      </c>
      <c r="E2332" s="1">
        <v>2.0775299999999999</v>
      </c>
      <c r="F2332" s="1">
        <v>3.12018</v>
      </c>
      <c r="G2332" s="1">
        <v>13.122999999999999</v>
      </c>
      <c r="H2332" s="1">
        <v>4.3709600000000002</v>
      </c>
    </row>
    <row r="2333" spans="1:8" x14ac:dyDescent="0.3">
      <c r="A2333" t="e">
        <f t="shared" si="94"/>
        <v>#REF!</v>
      </c>
      <c r="B2333">
        <v>1282</v>
      </c>
      <c r="C2333" s="1">
        <v>22.63683263736878</v>
      </c>
      <c r="D2333" s="9">
        <v>17.410777777780016</v>
      </c>
      <c r="E2333" s="1">
        <v>1.7743599999999999</v>
      </c>
      <c r="F2333" s="1">
        <v>3.2125699999999999</v>
      </c>
      <c r="G2333" s="1">
        <v>13.0449</v>
      </c>
      <c r="H2333" s="1">
        <v>5.1406200000000002</v>
      </c>
    </row>
    <row r="2334" spans="1:8" x14ac:dyDescent="0.3">
      <c r="A2334">
        <f t="shared" si="94"/>
        <v>15</v>
      </c>
      <c r="B2334">
        <v>1332</v>
      </c>
      <c r="C2334" s="1">
        <v>22.9875556863981</v>
      </c>
      <c r="D2334" s="9">
        <v>17.458000000002325</v>
      </c>
      <c r="E2334" s="1">
        <v>1.70112</v>
      </c>
      <c r="F2334" s="1">
        <v>3.5072000000000001</v>
      </c>
      <c r="G2334" s="1">
        <v>13.0703</v>
      </c>
      <c r="H2334" s="1">
        <v>5.60663</v>
      </c>
    </row>
    <row r="2335" spans="1:8" x14ac:dyDescent="0.3">
      <c r="A2335" t="e">
        <f t="shared" si="94"/>
        <v>#REF!</v>
      </c>
      <c r="B2335">
        <v>1382</v>
      </c>
      <c r="C2335" s="1">
        <v>23.18</v>
      </c>
      <c r="D2335" s="9">
        <v>17.505222222224635</v>
      </c>
      <c r="E2335" s="1">
        <v>1.9398299999999999</v>
      </c>
      <c r="F2335" s="1">
        <v>3.90198</v>
      </c>
      <c r="G2335" s="1">
        <v>13.1669</v>
      </c>
      <c r="H2335" s="1">
        <v>5.8296999999999999</v>
      </c>
    </row>
    <row r="2336" spans="1:8" x14ac:dyDescent="0.3">
      <c r="A2336">
        <f t="shared" si="94"/>
        <v>31</v>
      </c>
      <c r="B2336">
        <v>1432</v>
      </c>
      <c r="C2336" s="1">
        <v>23.269087649499241</v>
      </c>
      <c r="D2336" s="9">
        <v>17.552444444446945</v>
      </c>
      <c r="E2336" s="1">
        <v>2.40883</v>
      </c>
      <c r="F2336" s="1">
        <v>4.2448499999999996</v>
      </c>
      <c r="G2336" s="1">
        <v>13.1425</v>
      </c>
      <c r="H2336" s="1">
        <v>6.0193399999999997</v>
      </c>
    </row>
    <row r="2337" spans="1:8" x14ac:dyDescent="0.3">
      <c r="A2337" t="e">
        <f t="shared" si="94"/>
        <v>#REF!</v>
      </c>
      <c r="B2337">
        <v>1482</v>
      </c>
      <c r="C2337" s="1">
        <v>23.19096322472976</v>
      </c>
      <c r="D2337" s="9">
        <v>17.599666666669254</v>
      </c>
      <c r="E2337" s="1">
        <v>2.89506</v>
      </c>
      <c r="F2337" s="1">
        <v>4.4951100000000004</v>
      </c>
      <c r="G2337" s="1">
        <v>13.057600000000001</v>
      </c>
      <c r="H2337" s="1">
        <v>6.14377</v>
      </c>
    </row>
    <row r="2338" spans="1:8" x14ac:dyDescent="0.3">
      <c r="A2338">
        <f t="shared" si="94"/>
        <v>22</v>
      </c>
      <c r="B2338">
        <v>1532</v>
      </c>
      <c r="C2338" s="1">
        <v>22.95882908662788</v>
      </c>
      <c r="D2338" s="9">
        <v>17.646888888891564</v>
      </c>
      <c r="E2338" s="1">
        <v>3.1360600000000001</v>
      </c>
      <c r="F2338" s="1">
        <v>4.6974999999999998</v>
      </c>
      <c r="G2338" s="1">
        <v>13.1191</v>
      </c>
      <c r="H2338" s="1">
        <v>6.0220900000000004</v>
      </c>
    </row>
    <row r="2339" spans="1:8" x14ac:dyDescent="0.3">
      <c r="A2339" t="e">
        <f t="shared" si="94"/>
        <v>#REF!</v>
      </c>
      <c r="B2339">
        <v>1582</v>
      </c>
      <c r="C2339" s="1">
        <v>22.637238021322649</v>
      </c>
      <c r="D2339" s="9">
        <v>17.694111111113873</v>
      </c>
      <c r="E2339" s="1">
        <v>3.2852700000000001</v>
      </c>
      <c r="F2339" s="1">
        <v>5.0362499999999999</v>
      </c>
      <c r="G2339" s="1">
        <v>13.2805</v>
      </c>
      <c r="H2339" s="1">
        <v>5.5926999999999998</v>
      </c>
    </row>
    <row r="2340" spans="1:8" x14ac:dyDescent="0.3">
      <c r="A2340">
        <f t="shared" si="94"/>
        <v>13</v>
      </c>
      <c r="B2340">
        <v>1632</v>
      </c>
      <c r="C2340" s="1">
        <v>22.244787017609511</v>
      </c>
      <c r="D2340" s="9">
        <v>17.741333333336183</v>
      </c>
      <c r="E2340" s="1">
        <v>3.7371400000000001</v>
      </c>
      <c r="F2340" s="1">
        <v>5.7586500000000003</v>
      </c>
      <c r="G2340" s="1">
        <v>13.3476</v>
      </c>
      <c r="H2340" s="1">
        <v>4.87737</v>
      </c>
    </row>
    <row r="2341" spans="1:8" x14ac:dyDescent="0.3">
      <c r="A2341" t="e">
        <f t="shared" ref="A2341:A2372" si="95">A2291</f>
        <v>#REF!</v>
      </c>
      <c r="B2341">
        <v>1682</v>
      </c>
      <c r="C2341" s="1">
        <v>21.807312077635071</v>
      </c>
      <c r="D2341" s="9">
        <v>17.788555555558492</v>
      </c>
      <c r="E2341" s="1">
        <v>4.50406</v>
      </c>
      <c r="F2341" s="1">
        <v>6.7886300000000004</v>
      </c>
      <c r="G2341" s="1">
        <v>13.353300000000001</v>
      </c>
      <c r="H2341" s="1">
        <v>3.9444900000000001</v>
      </c>
    </row>
    <row r="2342" spans="1:8" x14ac:dyDescent="0.3">
      <c r="A2342">
        <f t="shared" si="95"/>
        <v>29</v>
      </c>
      <c r="B2342">
        <v>1732</v>
      </c>
      <c r="C2342" s="1">
        <v>21.365393385787371</v>
      </c>
      <c r="D2342" s="9">
        <v>17.835777777780802</v>
      </c>
      <c r="E2342" s="1">
        <v>5.3368799999999998</v>
      </c>
      <c r="F2342" s="1">
        <v>7.8400600000000003</v>
      </c>
      <c r="G2342" s="1">
        <v>13.4613</v>
      </c>
      <c r="H2342" s="1">
        <v>2.8890500000000001</v>
      </c>
    </row>
    <row r="2343" spans="1:8" x14ac:dyDescent="0.3">
      <c r="A2343" t="e">
        <f t="shared" si="95"/>
        <v>#REF!</v>
      </c>
      <c r="B2343">
        <v>1782</v>
      </c>
      <c r="C2343" s="1">
        <v>21.038660812860901</v>
      </c>
      <c r="D2343" s="9">
        <v>17.883000000003111</v>
      </c>
      <c r="E2343" s="1">
        <v>5.8764500000000002</v>
      </c>
      <c r="F2343" s="1">
        <v>8.6460399999999993</v>
      </c>
      <c r="G2343" s="1">
        <v>13.6022</v>
      </c>
      <c r="H2343" s="1">
        <v>1.7738799999999999</v>
      </c>
    </row>
    <row r="2344" spans="1:8" x14ac:dyDescent="0.3">
      <c r="A2344">
        <f t="shared" si="95"/>
        <v>20</v>
      </c>
      <c r="B2344">
        <v>1832</v>
      </c>
      <c r="C2344" s="1">
        <v>20.678000367741109</v>
      </c>
      <c r="D2344" s="9">
        <v>17.930222222225421</v>
      </c>
      <c r="E2344" s="1">
        <v>5.7354200000000004</v>
      </c>
      <c r="F2344" s="1">
        <v>8.9855800000000006</v>
      </c>
      <c r="G2344" s="1">
        <v>13.577299999999999</v>
      </c>
      <c r="H2344" s="1">
        <v>0.63565400000000005</v>
      </c>
    </row>
    <row r="2345" spans="1:8" x14ac:dyDescent="0.3">
      <c r="A2345" t="e">
        <f t="shared" si="95"/>
        <v>#REF!</v>
      </c>
      <c r="B2345">
        <v>1882</v>
      </c>
      <c r="C2345" s="1">
        <v>20.31758600070777</v>
      </c>
      <c r="D2345" s="9">
        <v>17.97744444444773</v>
      </c>
      <c r="E2345" s="1">
        <v>5.0000900000000001</v>
      </c>
      <c r="F2345" s="1">
        <v>8.9999000000000002</v>
      </c>
      <c r="G2345" s="1">
        <v>13.456</v>
      </c>
      <c r="H2345" s="1">
        <v>-0.54772500000000002</v>
      </c>
    </row>
    <row r="2346" spans="1:8" x14ac:dyDescent="0.3">
      <c r="A2346">
        <f t="shared" si="95"/>
        <v>11</v>
      </c>
      <c r="B2346">
        <v>1932</v>
      </c>
      <c r="C2346" s="1">
        <v>19.896192611065761</v>
      </c>
      <c r="D2346" s="9">
        <v>18.02466666667004</v>
      </c>
      <c r="E2346" s="1">
        <v>4.0601900000000004</v>
      </c>
      <c r="F2346" s="1">
        <v>9.0351599999999994</v>
      </c>
      <c r="G2346" s="1">
        <v>13.462400000000001</v>
      </c>
      <c r="H2346" s="1">
        <v>-1.8261499999999999</v>
      </c>
    </row>
    <row r="2347" spans="1:8" x14ac:dyDescent="0.3">
      <c r="A2347" t="e">
        <f t="shared" si="95"/>
        <v>#REF!</v>
      </c>
      <c r="B2347">
        <v>1982</v>
      </c>
      <c r="C2347" s="1">
        <v>19.626525783837781</v>
      </c>
      <c r="D2347" s="9">
        <v>18.071888888892349</v>
      </c>
      <c r="E2347" s="1">
        <v>3.2618999999999998</v>
      </c>
      <c r="F2347" s="1">
        <v>9.1010600000000004</v>
      </c>
      <c r="G2347" s="1">
        <v>13.581099999999999</v>
      </c>
      <c r="H2347" s="1">
        <v>-3.1360399999999999</v>
      </c>
    </row>
    <row r="2348" spans="1:8" x14ac:dyDescent="0.3">
      <c r="A2348">
        <f t="shared" si="95"/>
        <v>27</v>
      </c>
      <c r="B2348">
        <v>2032</v>
      </c>
      <c r="C2348" s="1">
        <v>19.383034463150619</v>
      </c>
      <c r="D2348" s="9">
        <v>18.119111111114659</v>
      </c>
      <c r="E2348" s="1">
        <v>2.8864000000000001</v>
      </c>
      <c r="F2348" s="1">
        <v>9.0064899999999994</v>
      </c>
      <c r="G2348" s="1">
        <v>13.6561</v>
      </c>
      <c r="H2348" s="1">
        <v>-4.3437299999999999</v>
      </c>
    </row>
    <row r="2349" spans="1:8" x14ac:dyDescent="0.3">
      <c r="A2349" t="e">
        <f t="shared" si="95"/>
        <v>#REF!</v>
      </c>
      <c r="B2349">
        <v>2082</v>
      </c>
      <c r="C2349" s="1">
        <v>19.250154130727619</v>
      </c>
      <c r="D2349" s="9">
        <v>18.166333333336969</v>
      </c>
      <c r="E2349" s="1">
        <v>2.82612</v>
      </c>
      <c r="F2349" s="1">
        <v>8.7714999999999996</v>
      </c>
      <c r="G2349" s="1">
        <v>13.7135</v>
      </c>
      <c r="H2349" s="1">
        <v>-5.3513200000000003</v>
      </c>
    </row>
    <row r="2350" spans="1:8" x14ac:dyDescent="0.3">
      <c r="A2350">
        <f t="shared" si="95"/>
        <v>18</v>
      </c>
      <c r="B2350">
        <v>2132</v>
      </c>
      <c r="C2350" s="1">
        <v>19.18</v>
      </c>
      <c r="D2350" s="9">
        <v>18.213555555559278</v>
      </c>
      <c r="E2350" s="1">
        <v>2.7522600000000002</v>
      </c>
      <c r="F2350" s="1">
        <v>8.55044</v>
      </c>
      <c r="G2350" s="1">
        <v>13.8789</v>
      </c>
      <c r="H2350" s="1">
        <v>-6.0791500000000003</v>
      </c>
    </row>
    <row r="2351" spans="1:8" x14ac:dyDescent="0.3">
      <c r="A2351" t="e">
        <f t="shared" si="95"/>
        <v>#REF!</v>
      </c>
      <c r="B2351">
        <v>2182</v>
      </c>
      <c r="C2351" s="1">
        <v>19.15962482540791</v>
      </c>
      <c r="D2351" s="9">
        <v>18.260777777781588</v>
      </c>
      <c r="E2351" s="1">
        <v>2.6559900000000001</v>
      </c>
      <c r="F2351" s="1">
        <v>8.45655</v>
      </c>
      <c r="G2351" s="1">
        <v>14.0609</v>
      </c>
      <c r="H2351" s="1">
        <v>-6.3859500000000002</v>
      </c>
    </row>
    <row r="2352" spans="1:8" x14ac:dyDescent="0.3">
      <c r="A2352">
        <f t="shared" si="95"/>
        <v>9</v>
      </c>
      <c r="B2352">
        <v>2232</v>
      </c>
      <c r="C2352" s="1">
        <v>19.236982436296231</v>
      </c>
      <c r="D2352" s="9">
        <v>18.308000000003897</v>
      </c>
      <c r="E2352" s="1">
        <v>2.7143999999999999</v>
      </c>
      <c r="F2352" s="1">
        <v>8.5565099999999994</v>
      </c>
      <c r="G2352" s="1">
        <v>14.051399999999999</v>
      </c>
      <c r="H2352" s="1">
        <v>-6.1141500000000004</v>
      </c>
    </row>
    <row r="2353" spans="1:8" x14ac:dyDescent="0.3">
      <c r="A2353">
        <f t="shared" si="95"/>
        <v>0</v>
      </c>
      <c r="B2353">
        <v>2282</v>
      </c>
      <c r="C2353" s="1">
        <v>19.46578388529888</v>
      </c>
      <c r="D2353" s="9">
        <v>18.355222222226207</v>
      </c>
      <c r="E2353" s="1">
        <v>2.86198</v>
      </c>
      <c r="F2353" s="1">
        <v>8.7022899999999996</v>
      </c>
      <c r="G2353" s="1">
        <v>13.9099</v>
      </c>
      <c r="H2353" s="1">
        <v>-5.3694100000000002</v>
      </c>
    </row>
    <row r="2354" spans="1:8" x14ac:dyDescent="0.3">
      <c r="A2354">
        <f t="shared" si="95"/>
        <v>25</v>
      </c>
      <c r="B2354">
        <v>2332</v>
      </c>
      <c r="C2354" s="1">
        <v>19.810913982469561</v>
      </c>
      <c r="D2354" s="9">
        <v>18.402444444448516</v>
      </c>
      <c r="E2354" s="1">
        <v>2.8961600000000001</v>
      </c>
      <c r="F2354" s="1">
        <v>8.6318999999999999</v>
      </c>
      <c r="G2354" s="1">
        <v>13.8469</v>
      </c>
      <c r="H2354" s="1">
        <v>-4.4125100000000002</v>
      </c>
    </row>
    <row r="2355" spans="1:8" x14ac:dyDescent="0.3">
      <c r="A2355" t="e">
        <f t="shared" si="95"/>
        <v>#REF!</v>
      </c>
      <c r="B2355">
        <v>2382</v>
      </c>
      <c r="C2355" s="1">
        <v>20.28556855397407</v>
      </c>
      <c r="D2355" s="9">
        <v>18.449666666670826</v>
      </c>
      <c r="E2355" s="1">
        <v>2.8395299999999999</v>
      </c>
      <c r="F2355" s="1">
        <v>8.3456399999999995</v>
      </c>
      <c r="G2355" s="1">
        <v>13.836600000000001</v>
      </c>
      <c r="H2355" s="1">
        <v>-3.3666399999999999</v>
      </c>
    </row>
    <row r="2356" spans="1:8" x14ac:dyDescent="0.3">
      <c r="A2356">
        <f t="shared" si="95"/>
        <v>16</v>
      </c>
      <c r="B2356">
        <v>2432</v>
      </c>
      <c r="C2356" s="1">
        <v>20.847161482027499</v>
      </c>
      <c r="D2356" s="9">
        <v>18.496888888893135</v>
      </c>
      <c r="E2356" s="1">
        <v>2.8362099999999999</v>
      </c>
      <c r="F2356" s="1">
        <v>8.0142399999999991</v>
      </c>
      <c r="G2356" s="1">
        <v>13.7248</v>
      </c>
      <c r="H2356" s="1">
        <v>-2.26363</v>
      </c>
    </row>
    <row r="2357" spans="1:8" x14ac:dyDescent="0.3">
      <c r="A2357" t="e">
        <f t="shared" si="95"/>
        <v>#REF!</v>
      </c>
      <c r="B2357">
        <v>2482</v>
      </c>
      <c r="C2357" s="1">
        <v>21.37393769510582</v>
      </c>
      <c r="D2357" s="9">
        <v>18.544111111115445</v>
      </c>
      <c r="E2357" s="1">
        <v>2.7664300000000002</v>
      </c>
      <c r="F2357" s="1">
        <v>7.8306199999999997</v>
      </c>
      <c r="G2357" s="1">
        <v>13.6188</v>
      </c>
      <c r="H2357" s="1">
        <v>-1.10419</v>
      </c>
    </row>
    <row r="2358" spans="1:8" x14ac:dyDescent="0.3">
      <c r="A2358">
        <f t="shared" si="95"/>
        <v>32</v>
      </c>
      <c r="B2358">
        <v>2532</v>
      </c>
      <c r="C2358" s="1">
        <v>21.88541633339873</v>
      </c>
      <c r="D2358" s="9">
        <v>18.591333333337754</v>
      </c>
      <c r="E2358" s="1">
        <v>2.3696199999999998</v>
      </c>
      <c r="F2358" s="1">
        <v>7.9699900000000001</v>
      </c>
      <c r="G2358" s="1">
        <v>13.764799999999999</v>
      </c>
      <c r="H2358" s="1">
        <v>0.12532499999999999</v>
      </c>
    </row>
    <row r="2359" spans="1:8" x14ac:dyDescent="0.3">
      <c r="A2359" t="e">
        <f t="shared" si="95"/>
        <v>#REF!</v>
      </c>
      <c r="B2359">
        <v>2582</v>
      </c>
      <c r="C2359" s="1">
        <v>22.287993977690441</v>
      </c>
      <c r="D2359" s="9">
        <v>18.638555555560064</v>
      </c>
      <c r="E2359" s="1">
        <v>1.70021</v>
      </c>
      <c r="F2359" s="1">
        <v>8.2661700000000007</v>
      </c>
      <c r="G2359" s="1">
        <v>14.0898</v>
      </c>
      <c r="H2359" s="1">
        <v>1.39001</v>
      </c>
    </row>
    <row r="2360" spans="1:8" x14ac:dyDescent="0.3">
      <c r="A2360">
        <f t="shared" si="95"/>
        <v>23</v>
      </c>
      <c r="B2360">
        <v>2632</v>
      </c>
      <c r="C2360" s="1">
        <v>22.62228212739408</v>
      </c>
      <c r="D2360" s="9">
        <v>18.685777777782373</v>
      </c>
      <c r="E2360" s="1">
        <v>1.01677</v>
      </c>
      <c r="F2360" s="1">
        <v>8.3626400000000007</v>
      </c>
      <c r="G2360" s="1">
        <v>14.3276</v>
      </c>
      <c r="H2360" s="1">
        <v>2.6228799999999999</v>
      </c>
    </row>
    <row r="2361" spans="1:8" x14ac:dyDescent="0.3">
      <c r="A2361" t="e">
        <f t="shared" si="95"/>
        <v>#REF!</v>
      </c>
      <c r="B2361">
        <v>2682</v>
      </c>
      <c r="C2361" s="1">
        <v>23.046824858335871</v>
      </c>
      <c r="D2361" s="9">
        <v>18.733000000004683</v>
      </c>
      <c r="E2361" s="1">
        <v>0.61729599999999996</v>
      </c>
      <c r="F2361" s="1">
        <v>8.1959700000000009</v>
      </c>
      <c r="G2361" s="1">
        <v>14.311500000000001</v>
      </c>
      <c r="H2361" s="1">
        <v>3.7410399999999999</v>
      </c>
    </row>
    <row r="2362" spans="1:8" x14ac:dyDescent="0.3">
      <c r="A2362">
        <f t="shared" si="95"/>
        <v>14</v>
      </c>
      <c r="B2362">
        <v>2732</v>
      </c>
      <c r="C2362" s="1">
        <v>23.514613856526001</v>
      </c>
      <c r="D2362" s="9">
        <v>18.780222222226993</v>
      </c>
      <c r="E2362" s="1">
        <v>0.78948499999999999</v>
      </c>
      <c r="F2362" s="1">
        <v>7.9048299999999996</v>
      </c>
      <c r="G2362" s="1">
        <v>13.9626</v>
      </c>
      <c r="H2362" s="1">
        <v>4.6546200000000004</v>
      </c>
    </row>
    <row r="2363" spans="1:8" x14ac:dyDescent="0.3">
      <c r="A2363" t="e">
        <f t="shared" si="95"/>
        <v>#REF!</v>
      </c>
      <c r="B2363">
        <v>2782</v>
      </c>
      <c r="C2363" s="1">
        <v>23.897280546380099</v>
      </c>
      <c r="D2363" s="9">
        <v>18.827444444449302</v>
      </c>
      <c r="E2363" s="1">
        <v>1.4496</v>
      </c>
      <c r="F2363" s="1">
        <v>7.7950999999999997</v>
      </c>
      <c r="G2363" s="1">
        <v>13.4621</v>
      </c>
      <c r="H2363" s="1">
        <v>5.3033799999999998</v>
      </c>
    </row>
    <row r="2364" spans="1:8" x14ac:dyDescent="0.3">
      <c r="A2364">
        <f t="shared" si="95"/>
        <v>30</v>
      </c>
      <c r="B2364">
        <v>2832</v>
      </c>
      <c r="C2364" s="1">
        <v>24.124445678542092</v>
      </c>
      <c r="D2364" s="9">
        <v>18.874666666671612</v>
      </c>
      <c r="E2364" s="1">
        <v>2.2811900000000001</v>
      </c>
      <c r="F2364" s="1">
        <v>8.2430500000000002</v>
      </c>
      <c r="G2364" s="1">
        <v>13.1441</v>
      </c>
      <c r="H2364" s="1">
        <v>5.6607700000000003</v>
      </c>
    </row>
    <row r="2365" spans="1:8" x14ac:dyDescent="0.3">
      <c r="A2365" t="e">
        <f t="shared" si="95"/>
        <v>#REF!</v>
      </c>
      <c r="B2365">
        <v>2882</v>
      </c>
      <c r="C2365" s="1">
        <v>24.314944250210711</v>
      </c>
      <c r="D2365" s="9">
        <v>18.921888888893921</v>
      </c>
      <c r="E2365" s="1">
        <v>2.9739599999999999</v>
      </c>
      <c r="F2365" s="1">
        <v>9.2540099999999992</v>
      </c>
      <c r="G2365" s="1">
        <v>13.2492</v>
      </c>
      <c r="H2365" s="1">
        <v>5.8680300000000001</v>
      </c>
    </row>
    <row r="2366" spans="1:8" x14ac:dyDescent="0.3">
      <c r="A2366">
        <f t="shared" si="95"/>
        <v>21</v>
      </c>
      <c r="B2366">
        <v>2932</v>
      </c>
      <c r="C2366" s="1">
        <v>24.216429855863019</v>
      </c>
      <c r="D2366" s="9">
        <v>18.969111111116231</v>
      </c>
      <c r="E2366" s="1">
        <v>3.2643499999999999</v>
      </c>
      <c r="F2366" s="1">
        <v>10.591799999999999</v>
      </c>
      <c r="G2366" s="1">
        <v>13.9313</v>
      </c>
      <c r="H2366" s="1">
        <v>6.1496599999999999</v>
      </c>
    </row>
    <row r="2367" spans="1:8" x14ac:dyDescent="0.3">
      <c r="A2367" t="e">
        <f t="shared" si="95"/>
        <v>#REF!</v>
      </c>
      <c r="B2367">
        <v>2982</v>
      </c>
      <c r="C2367" s="1">
        <v>24.061831040858181</v>
      </c>
      <c r="D2367" s="9">
        <v>19.01633333333854</v>
      </c>
      <c r="E2367" s="1">
        <v>3.3428200000000001</v>
      </c>
      <c r="F2367" s="1">
        <v>11.933999999999999</v>
      </c>
      <c r="G2367" s="1">
        <v>15.0541</v>
      </c>
      <c r="H2367" s="1">
        <v>6.5032899999999998</v>
      </c>
    </row>
    <row r="2368" spans="1:8" x14ac:dyDescent="0.3">
      <c r="A2368">
        <f t="shared" si="95"/>
        <v>12</v>
      </c>
      <c r="B2368">
        <v>3032</v>
      </c>
      <c r="C2368" s="1">
        <v>23.930662964454491</v>
      </c>
      <c r="D2368" s="9">
        <v>19.06355555556085</v>
      </c>
      <c r="E2368" s="1">
        <v>3.6556000000000002</v>
      </c>
      <c r="F2368" s="1">
        <v>12.9155</v>
      </c>
      <c r="G2368" s="1">
        <v>16.299800000000001</v>
      </c>
      <c r="H2368" s="1">
        <v>6.8035300000000003</v>
      </c>
    </row>
    <row r="2369" spans="1:8" x14ac:dyDescent="0.3">
      <c r="A2369" t="e">
        <f t="shared" si="95"/>
        <v>#REF!</v>
      </c>
      <c r="B2369">
        <v>3082</v>
      </c>
      <c r="C2369" s="1">
        <v>23.702021458306479</v>
      </c>
      <c r="D2369" s="9">
        <v>19.110777777783159</v>
      </c>
      <c r="E2369" s="1">
        <v>4.3376099999999997</v>
      </c>
      <c r="F2369" s="1">
        <v>13.2841</v>
      </c>
      <c r="G2369" s="1">
        <v>17.340800000000002</v>
      </c>
      <c r="H2369" s="1">
        <v>7.1265299999999998</v>
      </c>
    </row>
    <row r="2370" spans="1:8" x14ac:dyDescent="0.3">
      <c r="A2370">
        <f t="shared" si="95"/>
        <v>28</v>
      </c>
      <c r="B2370">
        <v>3132</v>
      </c>
      <c r="C2370" s="1">
        <v>23.31186571735115</v>
      </c>
      <c r="D2370" s="9">
        <v>19.158000000005469</v>
      </c>
      <c r="E2370" s="1">
        <v>5.31257</v>
      </c>
      <c r="F2370" s="1">
        <v>12.904999999999999</v>
      </c>
      <c r="G2370" s="1">
        <v>17.883500000000002</v>
      </c>
      <c r="H2370" s="1">
        <v>7.6571699999999998</v>
      </c>
    </row>
    <row r="2371" spans="1:8" x14ac:dyDescent="0.3">
      <c r="A2371" t="e">
        <f t="shared" si="95"/>
        <v>#REF!</v>
      </c>
      <c r="B2371">
        <v>3182</v>
      </c>
      <c r="C2371" s="1">
        <v>22.915392754061621</v>
      </c>
      <c r="D2371" s="9">
        <v>19.205222222227778</v>
      </c>
      <c r="E2371" s="1">
        <v>6.3963900000000002</v>
      </c>
      <c r="F2371" s="1">
        <v>11.972099999999999</v>
      </c>
      <c r="G2371" s="1">
        <v>17.9207</v>
      </c>
      <c r="H2371" s="1">
        <v>8.4570699999999999</v>
      </c>
    </row>
    <row r="2372" spans="1:8" x14ac:dyDescent="0.3">
      <c r="A2372">
        <f t="shared" si="95"/>
        <v>19</v>
      </c>
      <c r="B2372">
        <v>3232</v>
      </c>
      <c r="C2372" s="1">
        <v>22.5570638878614</v>
      </c>
      <c r="D2372" s="9">
        <v>19.252444444450088</v>
      </c>
      <c r="E2372" s="1">
        <v>7.3722099999999999</v>
      </c>
      <c r="F2372" s="1">
        <v>10.8531</v>
      </c>
      <c r="G2372" s="1">
        <v>17.6127</v>
      </c>
      <c r="H2372" s="1">
        <v>9.5089500000000005</v>
      </c>
    </row>
    <row r="2373" spans="1:8" x14ac:dyDescent="0.3">
      <c r="A2373" t="e">
        <f t="shared" ref="A2373:A2379" si="96">A2323</f>
        <v>#REF!</v>
      </c>
      <c r="B2373">
        <v>3282</v>
      </c>
      <c r="C2373" s="1">
        <v>22.147733689513419</v>
      </c>
      <c r="D2373" s="9">
        <v>19.299666666672397</v>
      </c>
      <c r="E2373" s="1">
        <v>8.2758000000000003</v>
      </c>
      <c r="F2373" s="1">
        <v>9.9216899999999999</v>
      </c>
      <c r="G2373" s="1">
        <v>17.183599999999998</v>
      </c>
      <c r="H2373" s="1">
        <v>10.7516</v>
      </c>
    </row>
    <row r="2374" spans="1:8" x14ac:dyDescent="0.3">
      <c r="A2374">
        <f t="shared" si="96"/>
        <v>10</v>
      </c>
      <c r="B2374">
        <v>3332</v>
      </c>
      <c r="C2374" s="1">
        <v>21.800614515342549</v>
      </c>
      <c r="D2374" s="9">
        <v>19.346888888894707</v>
      </c>
      <c r="E2374" s="1">
        <v>9.5061999999999998</v>
      </c>
      <c r="F2374" s="1">
        <v>10.1037</v>
      </c>
      <c r="G2374" s="1">
        <v>17.071200000000001</v>
      </c>
      <c r="H2374" s="1">
        <v>12.1419</v>
      </c>
    </row>
    <row r="2375" spans="1:8" x14ac:dyDescent="0.3">
      <c r="A2375" t="e">
        <f t="shared" si="96"/>
        <v>#REF!</v>
      </c>
      <c r="B2375">
        <v>3382</v>
      </c>
      <c r="C2375" s="1">
        <v>21.498366338308021</v>
      </c>
      <c r="D2375" s="9">
        <v>19.394111111117017</v>
      </c>
      <c r="E2375" s="1">
        <v>11.192500000000001</v>
      </c>
      <c r="F2375" s="1">
        <v>11.477499999999999</v>
      </c>
      <c r="G2375" s="1">
        <v>17.291399999999999</v>
      </c>
      <c r="H2375" s="1">
        <v>13.5747</v>
      </c>
    </row>
    <row r="2376" spans="1:8" x14ac:dyDescent="0.3">
      <c r="A2376">
        <f t="shared" si="96"/>
        <v>26</v>
      </c>
      <c r="B2376">
        <v>3432</v>
      </c>
      <c r="C2376" s="1">
        <v>21.13538085293704</v>
      </c>
      <c r="D2376" s="9">
        <v>19.441333333339326</v>
      </c>
      <c r="E2376" s="1">
        <v>13.0359</v>
      </c>
      <c r="F2376" s="1">
        <v>13.172800000000001</v>
      </c>
      <c r="G2376" s="1">
        <v>17.652100000000001</v>
      </c>
      <c r="H2376" s="1">
        <v>14.980600000000001</v>
      </c>
    </row>
    <row r="2377" spans="1:8" x14ac:dyDescent="0.3">
      <c r="A2377" t="e">
        <f t="shared" si="96"/>
        <v>#REF!</v>
      </c>
      <c r="B2377">
        <v>3482</v>
      </c>
      <c r="C2377" s="1">
        <v>20.62133540107558</v>
      </c>
      <c r="D2377" s="9">
        <v>19.488555555561636</v>
      </c>
      <c r="E2377" s="1">
        <v>14.952500000000001</v>
      </c>
      <c r="F2377" s="1">
        <v>15.0143</v>
      </c>
      <c r="G2377" s="1">
        <v>18.134799999999998</v>
      </c>
      <c r="H2377" s="1">
        <v>16.368099999999998</v>
      </c>
    </row>
    <row r="2378" spans="1:8" x14ac:dyDescent="0.3">
      <c r="A2378">
        <f t="shared" si="96"/>
        <v>17</v>
      </c>
      <c r="B2378">
        <v>3532</v>
      </c>
      <c r="C2378" s="1">
        <v>20.16633696863866</v>
      </c>
      <c r="D2378" s="9">
        <v>19.535777777783945</v>
      </c>
      <c r="E2378" s="1">
        <v>16.907499999999999</v>
      </c>
      <c r="F2378" s="1">
        <v>16.930399999999999</v>
      </c>
      <c r="G2378" s="1">
        <v>18.709399999999999</v>
      </c>
      <c r="H2378" s="1">
        <v>17.743400000000001</v>
      </c>
    </row>
    <row r="2379" spans="1:8" x14ac:dyDescent="0.3">
      <c r="A2379" t="e">
        <f t="shared" si="96"/>
        <v>#REF!</v>
      </c>
      <c r="B2379">
        <v>3582</v>
      </c>
      <c r="C2379" s="1">
        <v>19.753251193217331</v>
      </c>
      <c r="D2379" s="9">
        <v>19.583000000006255</v>
      </c>
      <c r="E2379" s="1">
        <v>18.884599999999999</v>
      </c>
      <c r="F2379" s="1">
        <v>18.888400000000001</v>
      </c>
      <c r="G2379" s="1">
        <v>19.353899999999999</v>
      </c>
      <c r="H2379" s="1">
        <v>19.1098</v>
      </c>
    </row>
    <row r="2380" spans="1:8" x14ac:dyDescent="0.3">
      <c r="A2380">
        <v>33</v>
      </c>
      <c r="B2380">
        <v>33</v>
      </c>
      <c r="C2380" s="1">
        <v>16.170000000000002</v>
      </c>
      <c r="D2380" s="9">
        <v>16.231166666666724</v>
      </c>
      <c r="E2380" s="1">
        <v>14.9777</v>
      </c>
      <c r="F2380" s="1">
        <v>14.8963</v>
      </c>
      <c r="G2380" s="1">
        <v>15.800800000000001</v>
      </c>
      <c r="H2380" s="1">
        <v>14.9694</v>
      </c>
    </row>
    <row r="2381" spans="1:8" x14ac:dyDescent="0.3">
      <c r="A2381" t="e">
        <f t="shared" ref="A2381:A2412" si="97">A2331</f>
        <v>#REF!</v>
      </c>
      <c r="B2381">
        <v>83</v>
      </c>
      <c r="C2381" s="1">
        <v>16.23</v>
      </c>
      <c r="D2381" s="9">
        <v>16.278388888889033</v>
      </c>
      <c r="E2381" s="1">
        <v>13.145200000000001</v>
      </c>
      <c r="F2381" s="1">
        <v>12.945499999999999</v>
      </c>
      <c r="G2381" s="1">
        <v>15.2424</v>
      </c>
      <c r="H2381" s="1">
        <v>13.097200000000001</v>
      </c>
    </row>
    <row r="2382" spans="1:8" x14ac:dyDescent="0.3">
      <c r="A2382">
        <f t="shared" si="97"/>
        <v>24</v>
      </c>
      <c r="B2382">
        <v>133</v>
      </c>
      <c r="C2382" s="1">
        <v>16.365880556411049</v>
      </c>
      <c r="D2382" s="9">
        <v>16.325611111111343</v>
      </c>
      <c r="E2382" s="1">
        <v>11.344900000000001</v>
      </c>
      <c r="F2382" s="1">
        <v>11.041700000000001</v>
      </c>
      <c r="G2382" s="1">
        <v>14.7517</v>
      </c>
      <c r="H2382" s="1">
        <v>11.215</v>
      </c>
    </row>
    <row r="2383" spans="1:8" x14ac:dyDescent="0.3">
      <c r="A2383" t="e">
        <f t="shared" si="97"/>
        <v>#REF!</v>
      </c>
      <c r="B2383">
        <v>183</v>
      </c>
      <c r="C2383" s="1">
        <v>16.655501279927719</v>
      </c>
      <c r="D2383" s="9">
        <v>16.372833333333652</v>
      </c>
      <c r="E2383" s="1">
        <v>9.59361</v>
      </c>
      <c r="F2383" s="1">
        <v>9.2227800000000002</v>
      </c>
      <c r="G2383" s="1">
        <v>14.346</v>
      </c>
      <c r="H2383" s="1">
        <v>9.3229799999999994</v>
      </c>
    </row>
    <row r="2384" spans="1:8" x14ac:dyDescent="0.3">
      <c r="A2384">
        <f t="shared" si="97"/>
        <v>15</v>
      </c>
      <c r="B2384">
        <v>233</v>
      </c>
      <c r="C2384" s="1">
        <v>16.87</v>
      </c>
      <c r="D2384" s="9">
        <v>16.420055555555962</v>
      </c>
      <c r="E2384" s="1">
        <v>7.9232500000000003</v>
      </c>
      <c r="F2384" s="1">
        <v>7.5743999999999998</v>
      </c>
      <c r="G2384" s="1">
        <v>14.0395</v>
      </c>
      <c r="H2384" s="1">
        <v>7.4263500000000002</v>
      </c>
    </row>
    <row r="2385" spans="1:8" x14ac:dyDescent="0.3">
      <c r="A2385" t="e">
        <f t="shared" si="97"/>
        <v>#REF!</v>
      </c>
      <c r="B2385">
        <v>283</v>
      </c>
      <c r="C2385" s="1">
        <v>17.02437890106556</v>
      </c>
      <c r="D2385" s="9">
        <v>16.467277777778271</v>
      </c>
      <c r="E2385" s="1">
        <v>6.41493</v>
      </c>
      <c r="F2385" s="1">
        <v>6.3498599999999996</v>
      </c>
      <c r="G2385" s="1">
        <v>13.816800000000001</v>
      </c>
      <c r="H2385" s="1">
        <v>5.5807399999999996</v>
      </c>
    </row>
    <row r="2386" spans="1:8" x14ac:dyDescent="0.3">
      <c r="A2386">
        <f t="shared" si="97"/>
        <v>31</v>
      </c>
      <c r="B2386">
        <v>333</v>
      </c>
      <c r="C2386" s="1">
        <v>17.236559402574489</v>
      </c>
      <c r="D2386" s="9">
        <v>16.514500000000581</v>
      </c>
      <c r="E2386" s="1">
        <v>5.3924599999999998</v>
      </c>
      <c r="F2386" s="1">
        <v>6.2845500000000003</v>
      </c>
      <c r="G2386" s="1">
        <v>13.914</v>
      </c>
      <c r="H2386" s="1">
        <v>4.2040499999999996</v>
      </c>
    </row>
    <row r="2387" spans="1:8" x14ac:dyDescent="0.3">
      <c r="A2387" t="e">
        <f t="shared" si="97"/>
        <v>#REF!</v>
      </c>
      <c r="B2387">
        <v>383</v>
      </c>
      <c r="C2387" s="1">
        <v>17.464084572490709</v>
      </c>
      <c r="D2387" s="9">
        <v>16.56172222222289</v>
      </c>
      <c r="E2387" s="1">
        <v>4.7054200000000002</v>
      </c>
      <c r="F2387" s="1">
        <v>6.6151600000000004</v>
      </c>
      <c r="G2387" s="1">
        <v>14.069000000000001</v>
      </c>
      <c r="H2387" s="1">
        <v>3.2368000000000001</v>
      </c>
    </row>
    <row r="2388" spans="1:8" x14ac:dyDescent="0.3">
      <c r="A2388">
        <f t="shared" si="97"/>
        <v>22</v>
      </c>
      <c r="B2388">
        <v>433</v>
      </c>
      <c r="C2388" s="1">
        <v>17.730834291299001</v>
      </c>
      <c r="D2388" s="9">
        <v>16.6089444444452</v>
      </c>
      <c r="E2388" s="1">
        <v>4.2633700000000001</v>
      </c>
      <c r="F2388" s="1">
        <v>6.7358099999999999</v>
      </c>
      <c r="G2388" s="1">
        <v>13.968299999999999</v>
      </c>
      <c r="H2388" s="1">
        <v>2.6284000000000001</v>
      </c>
    </row>
    <row r="2389" spans="1:8" x14ac:dyDescent="0.3">
      <c r="A2389" t="e">
        <f t="shared" si="97"/>
        <v>#REF!</v>
      </c>
      <c r="B2389">
        <v>483</v>
      </c>
      <c r="C2389" s="1">
        <v>17.8899334896327</v>
      </c>
      <c r="D2389" s="9">
        <v>16.656166666667509</v>
      </c>
      <c r="E2389" s="1">
        <v>3.86286</v>
      </c>
      <c r="F2389" s="1">
        <v>6.4746100000000002</v>
      </c>
      <c r="G2389" s="1">
        <v>13.6532</v>
      </c>
      <c r="H2389" s="1">
        <v>2.1863800000000002</v>
      </c>
    </row>
    <row r="2390" spans="1:8" x14ac:dyDescent="0.3">
      <c r="A2390">
        <f t="shared" si="97"/>
        <v>13</v>
      </c>
      <c r="B2390">
        <v>533</v>
      </c>
      <c r="C2390" s="1">
        <v>18.085253201335249</v>
      </c>
      <c r="D2390" s="9">
        <v>16.703388888889819</v>
      </c>
      <c r="E2390" s="1">
        <v>3.1970900000000002</v>
      </c>
      <c r="F2390" s="1">
        <v>5.7932499999999996</v>
      </c>
      <c r="G2390" s="1">
        <v>13.3146</v>
      </c>
      <c r="H2390" s="1">
        <v>1.5907800000000001</v>
      </c>
    </row>
    <row r="2391" spans="1:8" x14ac:dyDescent="0.3">
      <c r="A2391" t="e">
        <f t="shared" si="97"/>
        <v>#REF!</v>
      </c>
      <c r="B2391">
        <v>583</v>
      </c>
      <c r="C2391" s="1">
        <v>18.308467422144741</v>
      </c>
      <c r="D2391" s="9">
        <v>16.750611111112129</v>
      </c>
      <c r="E2391" s="1">
        <v>2.29569</v>
      </c>
      <c r="F2391" s="1">
        <v>4.8192399999999997</v>
      </c>
      <c r="G2391" s="1">
        <v>12.973699999999999</v>
      </c>
      <c r="H2391" s="1">
        <v>0.85390699999999997</v>
      </c>
    </row>
    <row r="2392" spans="1:8" x14ac:dyDescent="0.3">
      <c r="A2392">
        <f t="shared" si="97"/>
        <v>29</v>
      </c>
      <c r="B2392">
        <v>633</v>
      </c>
      <c r="C2392" s="1">
        <v>18.48851828892812</v>
      </c>
      <c r="D2392" s="9">
        <v>16.797833333334438</v>
      </c>
      <c r="E2392" s="1">
        <v>1.42011</v>
      </c>
      <c r="F2392" s="1">
        <v>3.7944200000000001</v>
      </c>
      <c r="G2392" s="1">
        <v>12.5526</v>
      </c>
      <c r="H2392" s="1">
        <v>0.22026999999999999</v>
      </c>
    </row>
    <row r="2393" spans="1:8" x14ac:dyDescent="0.3">
      <c r="A2393" t="e">
        <f t="shared" si="97"/>
        <v>#REF!</v>
      </c>
      <c r="B2393">
        <v>683</v>
      </c>
      <c r="C2393" s="1">
        <v>18.598932233781149</v>
      </c>
      <c r="D2393" s="9">
        <v>16.845055555556748</v>
      </c>
      <c r="E2393" s="1">
        <v>0.80845800000000001</v>
      </c>
      <c r="F2393" s="1">
        <v>2.94129</v>
      </c>
      <c r="G2393" s="1">
        <v>12.191700000000001</v>
      </c>
      <c r="H2393" s="1">
        <v>-2.9955499999999999E-2</v>
      </c>
    </row>
    <row r="2394" spans="1:8" x14ac:dyDescent="0.3">
      <c r="A2394">
        <f t="shared" si="97"/>
        <v>20</v>
      </c>
      <c r="B2394">
        <v>733</v>
      </c>
      <c r="C2394" s="1">
        <v>18.763312403790039</v>
      </c>
      <c r="D2394" s="9">
        <v>16.892277777779057</v>
      </c>
      <c r="E2394" s="1">
        <v>0.65222899999999995</v>
      </c>
      <c r="F2394" s="1">
        <v>2.4390000000000001</v>
      </c>
      <c r="G2394" s="1">
        <v>12.151300000000001</v>
      </c>
      <c r="H2394" s="1">
        <v>0.36743199999999998</v>
      </c>
    </row>
    <row r="2395" spans="1:8" x14ac:dyDescent="0.3">
      <c r="A2395" t="e">
        <f t="shared" si="97"/>
        <v>#REF!</v>
      </c>
      <c r="B2395">
        <v>783</v>
      </c>
      <c r="C2395" s="1">
        <v>18.98950995405821</v>
      </c>
      <c r="D2395" s="9">
        <v>16.939500000001367</v>
      </c>
      <c r="E2395" s="1">
        <v>0.85000600000000004</v>
      </c>
      <c r="F2395" s="1">
        <v>2.1752699999999998</v>
      </c>
      <c r="G2395" s="1">
        <v>12.4437</v>
      </c>
      <c r="H2395" s="1">
        <v>1.29081</v>
      </c>
    </row>
    <row r="2396" spans="1:8" x14ac:dyDescent="0.3">
      <c r="A2396">
        <f t="shared" si="97"/>
        <v>11</v>
      </c>
      <c r="B2396">
        <v>833</v>
      </c>
      <c r="C2396" s="1">
        <v>19.329999999999998</v>
      </c>
      <c r="D2396" s="9">
        <v>16.986722222223676</v>
      </c>
      <c r="E2396" s="1">
        <v>1.13307</v>
      </c>
      <c r="F2396" s="1">
        <v>1.88381</v>
      </c>
      <c r="G2396" s="1">
        <v>12.9122</v>
      </c>
      <c r="H2396" s="1">
        <v>2.3728899999999999</v>
      </c>
    </row>
    <row r="2397" spans="1:8" x14ac:dyDescent="0.3">
      <c r="A2397" t="e">
        <f t="shared" si="97"/>
        <v>#REF!</v>
      </c>
      <c r="B2397">
        <v>883</v>
      </c>
      <c r="C2397" s="1">
        <v>19.60011476895199</v>
      </c>
      <c r="D2397" s="9">
        <v>17.033944444445986</v>
      </c>
      <c r="E2397" s="1">
        <v>1.44007</v>
      </c>
      <c r="F2397" s="1">
        <v>1.6461600000000001</v>
      </c>
      <c r="G2397" s="1">
        <v>13.290800000000001</v>
      </c>
      <c r="H2397" s="1">
        <v>3.2338300000000002</v>
      </c>
    </row>
    <row r="2398" spans="1:8" x14ac:dyDescent="0.3">
      <c r="A2398">
        <f t="shared" si="97"/>
        <v>27</v>
      </c>
      <c r="B2398">
        <v>933</v>
      </c>
      <c r="C2398" s="1">
        <v>19.87124639293987</v>
      </c>
      <c r="D2398" s="9">
        <v>17.081166666668295</v>
      </c>
      <c r="E2398" s="1">
        <v>1.82819</v>
      </c>
      <c r="F2398" s="1">
        <v>1.7419899999999999</v>
      </c>
      <c r="G2398" s="1">
        <v>13.2803</v>
      </c>
      <c r="H2398" s="1">
        <v>3.5235599999999998</v>
      </c>
    </row>
    <row r="2399" spans="1:8" x14ac:dyDescent="0.3">
      <c r="A2399" t="e">
        <f t="shared" si="97"/>
        <v>#REF!</v>
      </c>
      <c r="B2399">
        <v>983</v>
      </c>
      <c r="C2399" s="1">
        <v>20.23459517013276</v>
      </c>
      <c r="D2399" s="9">
        <v>17.128388888890605</v>
      </c>
      <c r="E2399" s="1">
        <v>2.1896200000000001</v>
      </c>
      <c r="F2399" s="1">
        <v>2.1831700000000001</v>
      </c>
      <c r="G2399" s="1">
        <v>12.9773</v>
      </c>
      <c r="H2399" s="1">
        <v>3.29047</v>
      </c>
    </row>
    <row r="2400" spans="1:8" x14ac:dyDescent="0.3">
      <c r="A2400">
        <f t="shared" si="97"/>
        <v>18</v>
      </c>
      <c r="B2400">
        <v>1033</v>
      </c>
      <c r="C2400" s="1">
        <v>20.664387362675889</v>
      </c>
      <c r="D2400" s="9">
        <v>17.175611111112914</v>
      </c>
      <c r="E2400" s="1">
        <v>2.3327800000000001</v>
      </c>
      <c r="F2400" s="1">
        <v>2.8005300000000002</v>
      </c>
      <c r="G2400" s="1">
        <v>12.7142</v>
      </c>
      <c r="H2400" s="1">
        <v>2.8399899999999998</v>
      </c>
    </row>
    <row r="2401" spans="1:8" x14ac:dyDescent="0.3">
      <c r="A2401" t="e">
        <f t="shared" si="97"/>
        <v>#REF!</v>
      </c>
      <c r="B2401">
        <v>1083</v>
      </c>
      <c r="C2401" s="1">
        <v>21.084711392905952</v>
      </c>
      <c r="D2401" s="9">
        <v>17.222833333335224</v>
      </c>
      <c r="E2401" s="1">
        <v>2.3126500000000001</v>
      </c>
      <c r="F2401" s="1">
        <v>3.3157800000000002</v>
      </c>
      <c r="G2401" s="1">
        <v>12.6526</v>
      </c>
      <c r="H2401" s="1">
        <v>2.5476700000000001</v>
      </c>
    </row>
    <row r="2402" spans="1:8" x14ac:dyDescent="0.3">
      <c r="A2402">
        <f t="shared" si="97"/>
        <v>9</v>
      </c>
      <c r="B2402">
        <v>1133</v>
      </c>
      <c r="C2402" s="1">
        <v>21.449052820655751</v>
      </c>
      <c r="D2402" s="9">
        <v>17.270055555557533</v>
      </c>
      <c r="E2402" s="1">
        <v>2.3190499999999998</v>
      </c>
      <c r="F2402" s="1">
        <v>3.4215800000000001</v>
      </c>
      <c r="G2402" s="1">
        <v>12.8261</v>
      </c>
      <c r="H2402" s="1">
        <v>2.79148</v>
      </c>
    </row>
    <row r="2403" spans="1:8" x14ac:dyDescent="0.3">
      <c r="A2403">
        <f t="shared" si="97"/>
        <v>0</v>
      </c>
      <c r="B2403">
        <v>1183</v>
      </c>
      <c r="C2403" s="1">
        <v>21.769133319574411</v>
      </c>
      <c r="D2403" s="9">
        <v>17.317277777779843</v>
      </c>
      <c r="E2403" s="1">
        <v>2.2985099999999998</v>
      </c>
      <c r="F2403" s="1">
        <v>3.2350500000000002</v>
      </c>
      <c r="G2403" s="1">
        <v>13.0694</v>
      </c>
      <c r="H2403" s="1">
        <v>3.5133800000000002</v>
      </c>
    </row>
    <row r="2404" spans="1:8" x14ac:dyDescent="0.3">
      <c r="A2404">
        <f t="shared" si="97"/>
        <v>25</v>
      </c>
      <c r="B2404">
        <v>1233</v>
      </c>
      <c r="C2404" s="1">
        <v>22.238393895540071</v>
      </c>
      <c r="D2404" s="9">
        <v>17.364500000002153</v>
      </c>
      <c r="E2404" s="1">
        <v>2.07118</v>
      </c>
      <c r="F2404" s="1">
        <v>3.1199400000000002</v>
      </c>
      <c r="G2404" s="1">
        <v>13.1219</v>
      </c>
      <c r="H2404" s="1">
        <v>4.3881199999999998</v>
      </c>
    </row>
    <row r="2405" spans="1:8" x14ac:dyDescent="0.3">
      <c r="A2405" t="e">
        <f t="shared" si="97"/>
        <v>#REF!</v>
      </c>
      <c r="B2405">
        <v>1283</v>
      </c>
      <c r="C2405" s="1">
        <v>22.645433641105921</v>
      </c>
      <c r="D2405" s="9">
        <v>17.411722222224462</v>
      </c>
      <c r="E2405" s="1">
        <v>1.76973</v>
      </c>
      <c r="F2405" s="1">
        <v>3.2165699999999999</v>
      </c>
      <c r="G2405" s="1">
        <v>13.043699999999999</v>
      </c>
      <c r="H2405" s="1">
        <v>5.1534199999999997</v>
      </c>
    </row>
    <row r="2406" spans="1:8" x14ac:dyDescent="0.3">
      <c r="A2406">
        <f t="shared" si="97"/>
        <v>16</v>
      </c>
      <c r="B2406">
        <v>1333</v>
      </c>
      <c r="C2406" s="1">
        <v>22.995848523045801</v>
      </c>
      <c r="D2406" s="9">
        <v>17.458944444446772</v>
      </c>
      <c r="E2406" s="1">
        <v>1.70306</v>
      </c>
      <c r="F2406" s="1">
        <v>3.51464</v>
      </c>
      <c r="G2406" s="1">
        <v>13.0722</v>
      </c>
      <c r="H2406" s="1">
        <v>5.6127200000000004</v>
      </c>
    </row>
    <row r="2407" spans="1:8" x14ac:dyDescent="0.3">
      <c r="A2407" t="e">
        <f t="shared" si="97"/>
        <v>#REF!</v>
      </c>
      <c r="B2407">
        <v>1383</v>
      </c>
      <c r="C2407" s="1">
        <v>23.18</v>
      </c>
      <c r="D2407" s="9">
        <v>17.506166666669081</v>
      </c>
      <c r="E2407" s="1">
        <v>1.9473100000000001</v>
      </c>
      <c r="F2407" s="1">
        <v>3.9097900000000001</v>
      </c>
      <c r="G2407" s="1">
        <v>13.168100000000001</v>
      </c>
      <c r="H2407" s="1">
        <v>5.8332499999999996</v>
      </c>
    </row>
    <row r="2408" spans="1:8" x14ac:dyDescent="0.3">
      <c r="A2408">
        <f t="shared" si="97"/>
        <v>32</v>
      </c>
      <c r="B2408">
        <v>1433</v>
      </c>
      <c r="C2408" s="1">
        <v>23.27</v>
      </c>
      <c r="D2408" s="9">
        <v>17.553388888891391</v>
      </c>
      <c r="E2408" s="1">
        <v>2.4193600000000002</v>
      </c>
      <c r="F2408" s="1">
        <v>4.2506599999999999</v>
      </c>
      <c r="G2408" s="1">
        <v>13.140700000000001</v>
      </c>
      <c r="H2408" s="1">
        <v>6.0230899999999998</v>
      </c>
    </row>
    <row r="2409" spans="1:8" x14ac:dyDescent="0.3">
      <c r="A2409" t="e">
        <f t="shared" si="97"/>
        <v>#REF!</v>
      </c>
      <c r="B2409">
        <v>1483</v>
      </c>
      <c r="C2409" s="1">
        <v>23.186961699130901</v>
      </c>
      <c r="D2409" s="9">
        <v>17.6006111111137</v>
      </c>
      <c r="E2409" s="1">
        <v>2.9029199999999999</v>
      </c>
      <c r="F2409" s="1">
        <v>4.49939</v>
      </c>
      <c r="G2409" s="1">
        <v>13.056900000000001</v>
      </c>
      <c r="H2409" s="1">
        <v>6.1442899999999998</v>
      </c>
    </row>
    <row r="2410" spans="1:8" x14ac:dyDescent="0.3">
      <c r="A2410">
        <f t="shared" si="97"/>
        <v>23</v>
      </c>
      <c r="B2410">
        <v>1533</v>
      </c>
      <c r="C2410" s="1">
        <v>22.954741130156439</v>
      </c>
      <c r="D2410" s="9">
        <v>17.64783333333601</v>
      </c>
      <c r="E2410" s="1">
        <v>3.13855</v>
      </c>
      <c r="F2410" s="1">
        <v>4.7020299999999997</v>
      </c>
      <c r="G2410" s="1">
        <v>13.122</v>
      </c>
      <c r="H2410" s="1">
        <v>6.01647</v>
      </c>
    </row>
    <row r="2411" spans="1:8" x14ac:dyDescent="0.3">
      <c r="A2411" t="e">
        <f t="shared" si="97"/>
        <v>#REF!</v>
      </c>
      <c r="B2411">
        <v>1583</v>
      </c>
      <c r="C2411" s="1">
        <v>22.62907348800929</v>
      </c>
      <c r="D2411" s="9">
        <v>17.695055555558319</v>
      </c>
      <c r="E2411" s="1">
        <v>3.2902399999999998</v>
      </c>
      <c r="F2411" s="1">
        <v>5.0462999999999996</v>
      </c>
      <c r="G2411" s="1">
        <v>13.283300000000001</v>
      </c>
      <c r="H2411" s="1">
        <v>5.5810899999999997</v>
      </c>
    </row>
    <row r="2412" spans="1:8" x14ac:dyDescent="0.3">
      <c r="A2412">
        <f t="shared" si="97"/>
        <v>14</v>
      </c>
      <c r="B2412">
        <v>1633</v>
      </c>
      <c r="C2412" s="1">
        <v>22.236836594671331</v>
      </c>
      <c r="D2412" s="9">
        <v>17.742277777780629</v>
      </c>
      <c r="E2412" s="1">
        <v>3.7501699999999998</v>
      </c>
      <c r="F2412" s="1">
        <v>5.7771699999999999</v>
      </c>
      <c r="G2412" s="1">
        <v>13.3477</v>
      </c>
      <c r="H2412" s="1">
        <v>4.8605200000000002</v>
      </c>
    </row>
    <row r="2413" spans="1:8" x14ac:dyDescent="0.3">
      <c r="A2413" t="e">
        <f t="shared" ref="A2413:A2444" si="98">A2363</f>
        <v>#REF!</v>
      </c>
      <c r="B2413">
        <v>1683</v>
      </c>
      <c r="C2413" s="1">
        <v>21.799652647968841</v>
      </c>
      <c r="D2413" s="9">
        <v>17.789500000002938</v>
      </c>
      <c r="E2413" s="1">
        <v>4.5209799999999998</v>
      </c>
      <c r="F2413" s="1">
        <v>6.8103999999999996</v>
      </c>
      <c r="G2413" s="1">
        <v>13.354100000000001</v>
      </c>
      <c r="H2413" s="1">
        <v>3.92428</v>
      </c>
    </row>
    <row r="2414" spans="1:8" x14ac:dyDescent="0.3">
      <c r="A2414">
        <f t="shared" si="98"/>
        <v>30</v>
      </c>
      <c r="B2414">
        <v>1733</v>
      </c>
      <c r="C2414" s="1">
        <v>21.361484738687391</v>
      </c>
      <c r="D2414" s="9">
        <v>17.836722222225248</v>
      </c>
      <c r="E2414" s="1">
        <v>5.3519699999999997</v>
      </c>
      <c r="F2414" s="1">
        <v>7.8594299999999997</v>
      </c>
      <c r="G2414" s="1">
        <v>13.464499999999999</v>
      </c>
      <c r="H2414" s="1">
        <v>2.8671899999999999</v>
      </c>
    </row>
    <row r="2415" spans="1:8" x14ac:dyDescent="0.3">
      <c r="A2415" t="e">
        <f t="shared" si="98"/>
        <v>#REF!</v>
      </c>
      <c r="B2415">
        <v>1783</v>
      </c>
      <c r="C2415" s="1">
        <v>21.034689438527099</v>
      </c>
      <c r="D2415" s="9">
        <v>17.883944444447557</v>
      </c>
      <c r="E2415" s="1">
        <v>5.88131</v>
      </c>
      <c r="F2415" s="1">
        <v>8.6579200000000007</v>
      </c>
      <c r="G2415" s="1">
        <v>13.603899999999999</v>
      </c>
      <c r="H2415" s="1">
        <v>1.75125</v>
      </c>
    </row>
    <row r="2416" spans="1:8" x14ac:dyDescent="0.3">
      <c r="A2416">
        <f t="shared" si="98"/>
        <v>21</v>
      </c>
      <c r="B2416">
        <v>1833</v>
      </c>
      <c r="C2416" s="1">
        <v>20.670005995778968</v>
      </c>
      <c r="D2416" s="9">
        <v>17.931166666669867</v>
      </c>
      <c r="E2416" s="1">
        <v>5.7252599999999996</v>
      </c>
      <c r="F2416" s="1">
        <v>8.9878300000000007</v>
      </c>
      <c r="G2416" s="1">
        <v>13.574999999999999</v>
      </c>
      <c r="H2416" s="1">
        <v>0.61262399999999995</v>
      </c>
    </row>
    <row r="2417" spans="1:8" x14ac:dyDescent="0.3">
      <c r="A2417" t="e">
        <f t="shared" si="98"/>
        <v>#REF!</v>
      </c>
      <c r="B2417">
        <v>1883</v>
      </c>
      <c r="C2417" s="1">
        <v>20.313518330953741</v>
      </c>
      <c r="D2417" s="9">
        <v>17.978388888892177</v>
      </c>
      <c r="E2417" s="1">
        <v>4.9820099999999998</v>
      </c>
      <c r="F2417" s="1">
        <v>8.9994399999999999</v>
      </c>
      <c r="G2417" s="1">
        <v>13.4543</v>
      </c>
      <c r="H2417" s="1">
        <v>-0.57226200000000005</v>
      </c>
    </row>
    <row r="2418" spans="1:8" x14ac:dyDescent="0.3">
      <c r="A2418">
        <f t="shared" si="98"/>
        <v>12</v>
      </c>
      <c r="B2418">
        <v>1933</v>
      </c>
      <c r="C2418" s="1">
        <v>19.887989378063029</v>
      </c>
      <c r="D2418" s="9">
        <v>18.025611111114486</v>
      </c>
      <c r="E2418" s="1">
        <v>4.0417800000000002</v>
      </c>
      <c r="F2418" s="1">
        <v>9.0368499999999994</v>
      </c>
      <c r="G2418" s="1">
        <v>13.4643</v>
      </c>
      <c r="H2418" s="1">
        <v>-1.85249</v>
      </c>
    </row>
    <row r="2419" spans="1:8" x14ac:dyDescent="0.3">
      <c r="A2419" t="e">
        <f t="shared" si="98"/>
        <v>#REF!</v>
      </c>
      <c r="B2419">
        <v>1983</v>
      </c>
      <c r="C2419" s="1">
        <v>19.622380139044921</v>
      </c>
      <c r="D2419" s="9">
        <v>18.072833333336796</v>
      </c>
      <c r="E2419" s="1">
        <v>3.2495500000000002</v>
      </c>
      <c r="F2419" s="1">
        <v>9.1012699999999995</v>
      </c>
      <c r="G2419" s="1">
        <v>13.583399999999999</v>
      </c>
      <c r="H2419" s="1">
        <v>-3.1616200000000001</v>
      </c>
    </row>
    <row r="2420" spans="1:8" x14ac:dyDescent="0.3">
      <c r="A2420">
        <f t="shared" si="98"/>
        <v>28</v>
      </c>
      <c r="B2420">
        <v>2033</v>
      </c>
      <c r="C2420" s="1">
        <v>19.374913341263682</v>
      </c>
      <c r="D2420" s="9">
        <v>18.120055555559105</v>
      </c>
      <c r="E2420" s="1">
        <v>2.8832599999999999</v>
      </c>
      <c r="F2420" s="1">
        <v>9.0026600000000006</v>
      </c>
      <c r="G2420" s="1">
        <v>13.6569</v>
      </c>
      <c r="H2420" s="1">
        <v>-4.3660899999999998</v>
      </c>
    </row>
    <row r="2421" spans="1:8" x14ac:dyDescent="0.3">
      <c r="A2421" t="e">
        <f t="shared" si="98"/>
        <v>#REF!</v>
      </c>
      <c r="B2421">
        <v>2083</v>
      </c>
      <c r="C2421" s="1">
        <v>19.246141311762202</v>
      </c>
      <c r="D2421" s="9">
        <v>18.167277777781415</v>
      </c>
      <c r="E2421" s="1">
        <v>2.8256899999999998</v>
      </c>
      <c r="F2421" s="1">
        <v>8.7664399999999993</v>
      </c>
      <c r="G2421" s="1">
        <v>13.7155</v>
      </c>
      <c r="H2421" s="1">
        <v>-5.3689200000000001</v>
      </c>
    </row>
    <row r="2422" spans="1:8" x14ac:dyDescent="0.3">
      <c r="A2422">
        <f t="shared" si="98"/>
        <v>19</v>
      </c>
      <c r="B2422">
        <v>2133</v>
      </c>
      <c r="C2422" s="1">
        <v>19.18</v>
      </c>
      <c r="D2422" s="9">
        <v>18.214500000003724</v>
      </c>
      <c r="E2422" s="1">
        <v>2.7499199999999999</v>
      </c>
      <c r="F2422" s="1">
        <v>8.5470299999999995</v>
      </c>
      <c r="G2422" s="1">
        <v>13.883100000000001</v>
      </c>
      <c r="H2422" s="1">
        <v>-6.0900100000000004</v>
      </c>
    </row>
    <row r="2423" spans="1:8" x14ac:dyDescent="0.3">
      <c r="A2423" t="e">
        <f t="shared" si="98"/>
        <v>#REF!</v>
      </c>
      <c r="B2423">
        <v>2183</v>
      </c>
      <c r="C2423" s="1">
        <v>19.15565682337629</v>
      </c>
      <c r="D2423" s="9">
        <v>18.261722222226034</v>
      </c>
      <c r="E2423" s="1">
        <v>2.6551900000000002</v>
      </c>
      <c r="F2423" s="1">
        <v>8.45655</v>
      </c>
      <c r="G2423" s="1">
        <v>14.0631</v>
      </c>
      <c r="H2423" s="1">
        <v>-6.3865600000000002</v>
      </c>
    </row>
    <row r="2424" spans="1:8" x14ac:dyDescent="0.3">
      <c r="A2424">
        <f t="shared" si="98"/>
        <v>10</v>
      </c>
      <c r="B2424">
        <v>2233</v>
      </c>
      <c r="C2424" s="1">
        <v>19.241816521026671</v>
      </c>
      <c r="D2424" s="9">
        <v>18.308944444448343</v>
      </c>
      <c r="E2424" s="1">
        <v>2.7172000000000001</v>
      </c>
      <c r="F2424" s="1">
        <v>8.5599100000000004</v>
      </c>
      <c r="G2424" s="1">
        <v>14.049099999999999</v>
      </c>
      <c r="H2424" s="1">
        <v>-6.1029999999999998</v>
      </c>
    </row>
    <row r="2425" spans="1:8" x14ac:dyDescent="0.3">
      <c r="A2425" t="e">
        <f t="shared" si="98"/>
        <v>#REF!</v>
      </c>
      <c r="B2425">
        <v>2283</v>
      </c>
      <c r="C2425" s="1">
        <v>19.469822657512118</v>
      </c>
      <c r="D2425" s="9">
        <v>18.356166666670653</v>
      </c>
      <c r="E2425" s="1">
        <v>2.8643200000000002</v>
      </c>
      <c r="F2425" s="1">
        <v>8.7037200000000006</v>
      </c>
      <c r="G2425" s="1">
        <v>13.907299999999999</v>
      </c>
      <c r="H2425" s="1">
        <v>-5.3515600000000001</v>
      </c>
    </row>
    <row r="2426" spans="1:8" x14ac:dyDescent="0.3">
      <c r="A2426">
        <f t="shared" si="98"/>
        <v>26</v>
      </c>
      <c r="B2426">
        <v>2333</v>
      </c>
      <c r="C2426" s="1">
        <v>19.819128816817418</v>
      </c>
      <c r="D2426" s="9">
        <v>18.403388888892962</v>
      </c>
      <c r="E2426" s="1">
        <v>2.8953700000000002</v>
      </c>
      <c r="F2426" s="1">
        <v>8.6277500000000007</v>
      </c>
      <c r="G2426" s="1">
        <v>13.8468</v>
      </c>
      <c r="H2426" s="1">
        <v>-4.3923399999999999</v>
      </c>
    </row>
    <row r="2427" spans="1:8" x14ac:dyDescent="0.3">
      <c r="A2427" t="e">
        <f t="shared" si="98"/>
        <v>#REF!</v>
      </c>
      <c r="B2427">
        <v>2383</v>
      </c>
      <c r="C2427" s="1">
        <v>20.29737734601337</v>
      </c>
      <c r="D2427" s="9">
        <v>18.450611111115272</v>
      </c>
      <c r="E2427" s="1">
        <v>2.8386200000000001</v>
      </c>
      <c r="F2427" s="1">
        <v>8.3388600000000004</v>
      </c>
      <c r="G2427" s="1">
        <v>13.835699999999999</v>
      </c>
      <c r="H2427" s="1">
        <v>-3.3450500000000001</v>
      </c>
    </row>
    <row r="2428" spans="1:8" x14ac:dyDescent="0.3">
      <c r="A2428">
        <f t="shared" si="98"/>
        <v>17</v>
      </c>
      <c r="B2428">
        <v>2433</v>
      </c>
      <c r="C2428" s="1">
        <v>20.85867863682958</v>
      </c>
      <c r="D2428" s="9">
        <v>18.497833333337582</v>
      </c>
      <c r="E2428" s="1">
        <v>2.8364099999999999</v>
      </c>
      <c r="F2428" s="1">
        <v>8.0084300000000006</v>
      </c>
      <c r="G2428" s="1">
        <v>13.7217</v>
      </c>
      <c r="H2428" s="1">
        <v>-2.24105</v>
      </c>
    </row>
    <row r="2429" spans="1:8" x14ac:dyDescent="0.3">
      <c r="A2429" t="e">
        <f t="shared" si="98"/>
        <v>#REF!</v>
      </c>
      <c r="B2429">
        <v>2483</v>
      </c>
      <c r="C2429" s="1">
        <v>21.38152539412534</v>
      </c>
      <c r="D2429" s="9">
        <v>18.545055555559891</v>
      </c>
      <c r="E2429" s="1">
        <v>2.7623799999999998</v>
      </c>
      <c r="F2429" s="1">
        <v>7.82986</v>
      </c>
      <c r="G2429" s="1">
        <v>13.618600000000001</v>
      </c>
      <c r="H2429" s="1">
        <v>-1.0803</v>
      </c>
    </row>
    <row r="2430" spans="1:8" x14ac:dyDescent="0.3">
      <c r="A2430">
        <f t="shared" si="98"/>
        <v>33</v>
      </c>
      <c r="B2430">
        <v>2533</v>
      </c>
      <c r="C2430" s="1">
        <v>21.889189177972629</v>
      </c>
      <c r="D2430" s="9">
        <v>18.592277777782201</v>
      </c>
      <c r="E2430" s="1">
        <v>2.3580700000000001</v>
      </c>
      <c r="F2430" s="1">
        <v>7.9756299999999998</v>
      </c>
      <c r="G2430" s="1">
        <v>13.7704</v>
      </c>
      <c r="H2430" s="1">
        <v>0.15049000000000001</v>
      </c>
    </row>
    <row r="2431" spans="1:8" x14ac:dyDescent="0.3">
      <c r="A2431" t="e">
        <f t="shared" si="98"/>
        <v>#REF!</v>
      </c>
      <c r="B2431">
        <v>2583</v>
      </c>
      <c r="C2431" s="1">
        <v>22.29550309187778</v>
      </c>
      <c r="D2431" s="9">
        <v>18.63950000000451</v>
      </c>
      <c r="E2431" s="1">
        <v>1.6857800000000001</v>
      </c>
      <c r="F2431" s="1">
        <v>8.2710799999999995</v>
      </c>
      <c r="G2431" s="1">
        <v>14.096299999999999</v>
      </c>
      <c r="H2431" s="1">
        <v>1.4152100000000001</v>
      </c>
    </row>
    <row r="2432" spans="1:8" x14ac:dyDescent="0.3">
      <c r="A2432">
        <f t="shared" si="98"/>
        <v>24</v>
      </c>
      <c r="B2432">
        <v>2633</v>
      </c>
      <c r="C2432" s="1">
        <v>22.626063489062421</v>
      </c>
      <c r="D2432" s="9">
        <v>18.68672222222682</v>
      </c>
      <c r="E2432" s="1">
        <v>1.0049300000000001</v>
      </c>
      <c r="F2432" s="1">
        <v>8.3614899999999999</v>
      </c>
      <c r="G2432" s="1">
        <v>14.3301</v>
      </c>
      <c r="H2432" s="1">
        <v>2.6466699999999999</v>
      </c>
    </row>
    <row r="2433" spans="1:8" x14ac:dyDescent="0.3">
      <c r="A2433" t="e">
        <f t="shared" si="98"/>
        <v>#REF!</v>
      </c>
      <c r="B2433">
        <v>2683</v>
      </c>
      <c r="C2433" s="1">
        <v>23.069139942449731</v>
      </c>
      <c r="D2433" s="9">
        <v>18.733944444449129</v>
      </c>
      <c r="E2433" s="1">
        <v>0.61440600000000001</v>
      </c>
      <c r="F2433" s="1">
        <v>8.1907999999999994</v>
      </c>
      <c r="G2433" s="1">
        <v>14.3079</v>
      </c>
      <c r="H2433" s="1">
        <v>3.7616000000000001</v>
      </c>
    </row>
    <row r="2434" spans="1:8" x14ac:dyDescent="0.3">
      <c r="A2434">
        <f t="shared" si="98"/>
        <v>15</v>
      </c>
      <c r="B2434">
        <v>2733</v>
      </c>
      <c r="C2434" s="1">
        <v>23.524090872379471</v>
      </c>
      <c r="D2434" s="9">
        <v>18.781166666671439</v>
      </c>
      <c r="E2434" s="1">
        <v>0.79893999999999998</v>
      </c>
      <c r="F2434" s="1">
        <v>7.8995100000000003</v>
      </c>
      <c r="G2434" s="1">
        <v>13.952999999999999</v>
      </c>
      <c r="H2434" s="1">
        <v>4.6703299999999999</v>
      </c>
    </row>
    <row r="2435" spans="1:8" x14ac:dyDescent="0.3">
      <c r="A2435" t="e">
        <f t="shared" si="98"/>
        <v>#REF!</v>
      </c>
      <c r="B2435">
        <v>2783</v>
      </c>
      <c r="C2435" s="1">
        <v>23.905259227344569</v>
      </c>
      <c r="D2435" s="9">
        <v>18.828388888893748</v>
      </c>
      <c r="E2435" s="1">
        <v>1.4656100000000001</v>
      </c>
      <c r="F2435" s="1">
        <v>7.7975599999999998</v>
      </c>
      <c r="G2435" s="1">
        <v>13.4529</v>
      </c>
      <c r="H2435" s="1">
        <v>5.3133600000000003</v>
      </c>
    </row>
    <row r="2436" spans="1:8" x14ac:dyDescent="0.3">
      <c r="A2436">
        <f t="shared" si="98"/>
        <v>31</v>
      </c>
      <c r="B2436">
        <v>2833</v>
      </c>
      <c r="C2436" s="1">
        <v>24.128455382024519</v>
      </c>
      <c r="D2436" s="9">
        <v>18.875611111116058</v>
      </c>
      <c r="E2436" s="1">
        <v>2.2974199999999998</v>
      </c>
      <c r="F2436" s="1">
        <v>8.2584900000000001</v>
      </c>
      <c r="G2436" s="1">
        <v>13.141500000000001</v>
      </c>
      <c r="H2436" s="1">
        <v>5.6655800000000003</v>
      </c>
    </row>
    <row r="2437" spans="1:8" x14ac:dyDescent="0.3">
      <c r="A2437" t="e">
        <f t="shared" si="98"/>
        <v>#REF!</v>
      </c>
      <c r="B2437">
        <v>2883</v>
      </c>
      <c r="C2437" s="1">
        <v>24.318976784698972</v>
      </c>
      <c r="D2437" s="9">
        <v>18.922833333338367</v>
      </c>
      <c r="E2437" s="1">
        <v>2.9843099999999998</v>
      </c>
      <c r="F2437" s="1">
        <v>9.2784099999999992</v>
      </c>
      <c r="G2437" s="1">
        <v>13.2568</v>
      </c>
      <c r="H2437" s="1">
        <v>5.8723200000000002</v>
      </c>
    </row>
    <row r="2438" spans="1:8" x14ac:dyDescent="0.3">
      <c r="A2438">
        <f t="shared" si="98"/>
        <v>22</v>
      </c>
      <c r="B2438">
        <v>2933</v>
      </c>
      <c r="C2438" s="1">
        <v>24.22</v>
      </c>
      <c r="D2438" s="9">
        <v>18.970055555560677</v>
      </c>
      <c r="E2438" s="1">
        <v>3.2664499999999999</v>
      </c>
      <c r="F2438" s="1">
        <v>10.6198</v>
      </c>
      <c r="G2438" s="1">
        <v>13.9505</v>
      </c>
      <c r="H2438" s="1">
        <v>6.1564899999999998</v>
      </c>
    </row>
    <row r="2439" spans="1:8" x14ac:dyDescent="0.3">
      <c r="A2439" t="e">
        <f t="shared" si="98"/>
        <v>#REF!</v>
      </c>
      <c r="B2439">
        <v>2983</v>
      </c>
      <c r="C2439" s="1">
        <v>24.057768938378668</v>
      </c>
      <c r="D2439" s="9">
        <v>19.017277777782986</v>
      </c>
      <c r="E2439" s="1">
        <v>3.3454700000000002</v>
      </c>
      <c r="F2439" s="1">
        <v>11.958299999999999</v>
      </c>
      <c r="G2439" s="1">
        <v>15.078900000000001</v>
      </c>
      <c r="H2439" s="1">
        <v>6.5101199999999997</v>
      </c>
    </row>
    <row r="2440" spans="1:8" x14ac:dyDescent="0.3">
      <c r="A2440">
        <f t="shared" si="98"/>
        <v>13</v>
      </c>
      <c r="B2440">
        <v>3033</v>
      </c>
      <c r="C2440" s="1">
        <v>23.922184616036759</v>
      </c>
      <c r="D2440" s="9">
        <v>19.064500000005296</v>
      </c>
      <c r="E2440" s="1">
        <v>3.66581</v>
      </c>
      <c r="F2440" s="1">
        <v>12.929500000000001</v>
      </c>
      <c r="G2440" s="1">
        <v>16.323699999999999</v>
      </c>
      <c r="H2440" s="1">
        <v>6.8091100000000004</v>
      </c>
    </row>
    <row r="2441" spans="1:8" x14ac:dyDescent="0.3">
      <c r="A2441" t="e">
        <f t="shared" si="98"/>
        <v>#REF!</v>
      </c>
      <c r="B2441">
        <v>3083</v>
      </c>
      <c r="C2441" s="1">
        <v>23.690188279685771</v>
      </c>
      <c r="D2441" s="9">
        <v>19.111722222227606</v>
      </c>
      <c r="E2441" s="1">
        <v>4.3545699999999998</v>
      </c>
      <c r="F2441" s="1">
        <v>13.284000000000001</v>
      </c>
      <c r="G2441" s="1">
        <v>17.357299999999999</v>
      </c>
      <c r="H2441" s="1">
        <v>7.1345799999999997</v>
      </c>
    </row>
    <row r="2442" spans="1:8" x14ac:dyDescent="0.3">
      <c r="A2442">
        <f t="shared" si="98"/>
        <v>29</v>
      </c>
      <c r="B2442">
        <v>3133</v>
      </c>
      <c r="C2442" s="1">
        <v>23.300476736021238</v>
      </c>
      <c r="D2442" s="9">
        <v>19.158944444449915</v>
      </c>
      <c r="E2442" s="1">
        <v>5.33399</v>
      </c>
      <c r="F2442" s="1">
        <v>12.890499999999999</v>
      </c>
      <c r="G2442" s="1">
        <v>17.8886</v>
      </c>
      <c r="H2442" s="1">
        <v>7.6705699999999997</v>
      </c>
    </row>
    <row r="2443" spans="1:8" x14ac:dyDescent="0.3">
      <c r="A2443" t="e">
        <f t="shared" si="98"/>
        <v>#REF!</v>
      </c>
      <c r="B2443">
        <v>3183</v>
      </c>
      <c r="C2443" s="1">
        <v>22.911304546903981</v>
      </c>
      <c r="D2443" s="9">
        <v>19.206166666672225</v>
      </c>
      <c r="E2443" s="1">
        <v>6.4175399999999998</v>
      </c>
      <c r="F2443" s="1">
        <v>11.9504</v>
      </c>
      <c r="G2443" s="1">
        <v>17.917300000000001</v>
      </c>
      <c r="H2443" s="1">
        <v>8.4757300000000004</v>
      </c>
    </row>
    <row r="2444" spans="1:8" x14ac:dyDescent="0.3">
      <c r="A2444">
        <f t="shared" si="98"/>
        <v>20</v>
      </c>
      <c r="B2444">
        <v>3233</v>
      </c>
      <c r="C2444" s="1">
        <v>22.54856081187366</v>
      </c>
      <c r="D2444" s="9">
        <v>19.253388888894534</v>
      </c>
      <c r="E2444" s="1">
        <v>7.3902599999999996</v>
      </c>
      <c r="F2444" s="1">
        <v>10.831200000000001</v>
      </c>
      <c r="G2444" s="1">
        <v>17.604399999999998</v>
      </c>
      <c r="H2444" s="1">
        <v>9.5321899999999999</v>
      </c>
    </row>
    <row r="2445" spans="1:8" x14ac:dyDescent="0.3">
      <c r="A2445" t="e">
        <f t="shared" ref="A2445:A2451" si="99">A2395</f>
        <v>#REF!</v>
      </c>
      <c r="B2445">
        <v>3283</v>
      </c>
      <c r="C2445" s="1">
        <v>22.139146344075399</v>
      </c>
      <c r="D2445" s="9">
        <v>19.300611111116844</v>
      </c>
      <c r="E2445" s="1">
        <v>8.2950499999999998</v>
      </c>
      <c r="F2445" s="1">
        <v>9.9091000000000005</v>
      </c>
      <c r="G2445" s="1">
        <v>17.176100000000002</v>
      </c>
      <c r="H2445" s="1">
        <v>10.778</v>
      </c>
    </row>
    <row r="2446" spans="1:8" x14ac:dyDescent="0.3">
      <c r="A2446">
        <f t="shared" si="99"/>
        <v>11</v>
      </c>
      <c r="B2446">
        <v>3333</v>
      </c>
      <c r="C2446" s="1">
        <v>21.7926660528851</v>
      </c>
      <c r="D2446" s="9">
        <v>19.347833333339153</v>
      </c>
      <c r="E2446" s="1">
        <v>9.5373000000000001</v>
      </c>
      <c r="F2446" s="1">
        <v>10.1256</v>
      </c>
      <c r="G2446" s="1">
        <v>17.074400000000001</v>
      </c>
      <c r="H2446" s="1">
        <v>12.1708</v>
      </c>
    </row>
    <row r="2447" spans="1:8" x14ac:dyDescent="0.3">
      <c r="A2447" t="e">
        <f t="shared" si="99"/>
        <v>#REF!</v>
      </c>
      <c r="B2447">
        <v>3383</v>
      </c>
      <c r="C2447" s="1">
        <v>21.494138544793451</v>
      </c>
      <c r="D2447" s="9">
        <v>19.395055555561463</v>
      </c>
      <c r="E2447" s="1">
        <v>11.228300000000001</v>
      </c>
      <c r="F2447" s="1">
        <v>11.5092</v>
      </c>
      <c r="G2447" s="1">
        <v>17.2972</v>
      </c>
      <c r="H2447" s="1">
        <v>13.6031</v>
      </c>
    </row>
    <row r="2448" spans="1:8" x14ac:dyDescent="0.3">
      <c r="A2448">
        <f t="shared" si="99"/>
        <v>27</v>
      </c>
      <c r="B2448">
        <v>3433</v>
      </c>
      <c r="C2448" s="1">
        <v>21.131127651339529</v>
      </c>
      <c r="D2448" s="9">
        <v>19.442277777783772</v>
      </c>
      <c r="E2448" s="1">
        <v>13.073600000000001</v>
      </c>
      <c r="F2448" s="1">
        <v>13.208500000000001</v>
      </c>
      <c r="G2448" s="1">
        <v>17.660699999999999</v>
      </c>
      <c r="H2448" s="1">
        <v>15.0085</v>
      </c>
    </row>
    <row r="2449" spans="1:8" x14ac:dyDescent="0.3">
      <c r="A2449" t="e">
        <f t="shared" si="99"/>
        <v>#REF!</v>
      </c>
      <c r="B2449">
        <v>3483</v>
      </c>
      <c r="C2449" s="1">
        <v>20.60914032869783</v>
      </c>
      <c r="D2449" s="9">
        <v>19.489500000006082</v>
      </c>
      <c r="E2449" s="1">
        <v>14.991300000000001</v>
      </c>
      <c r="F2449" s="1">
        <v>15.052</v>
      </c>
      <c r="G2449" s="1">
        <v>18.145499999999998</v>
      </c>
      <c r="H2449" s="1">
        <v>16.395700000000001</v>
      </c>
    </row>
    <row r="2450" spans="1:8" x14ac:dyDescent="0.3">
      <c r="A2450">
        <f t="shared" si="99"/>
        <v>18</v>
      </c>
      <c r="B2450">
        <v>3533</v>
      </c>
      <c r="C2450" s="1">
        <v>20.1585414604105</v>
      </c>
      <c r="D2450" s="9">
        <v>19.536722222228391</v>
      </c>
      <c r="E2450" s="1">
        <v>16.946899999999999</v>
      </c>
      <c r="F2450" s="1">
        <v>16.969200000000001</v>
      </c>
      <c r="G2450" s="1">
        <v>18.721699999999998</v>
      </c>
      <c r="H2450" s="1">
        <v>17.770800000000001</v>
      </c>
    </row>
    <row r="2451" spans="1:8" x14ac:dyDescent="0.3">
      <c r="A2451" t="e">
        <f t="shared" si="99"/>
        <v>#REF!</v>
      </c>
      <c r="B2451">
        <v>3583</v>
      </c>
      <c r="C2451" s="1">
        <v>19.745626801262581</v>
      </c>
      <c r="D2451" s="9">
        <v>19.583944444450701</v>
      </c>
      <c r="E2451" s="1">
        <v>18.924299999999999</v>
      </c>
      <c r="F2451" s="1">
        <v>18.927800000000001</v>
      </c>
      <c r="G2451" s="1">
        <v>19.3674</v>
      </c>
      <c r="H2451" s="1">
        <v>19.137</v>
      </c>
    </row>
    <row r="2452" spans="1:8" x14ac:dyDescent="0.3">
      <c r="A2452">
        <v>34</v>
      </c>
      <c r="B2452">
        <v>34</v>
      </c>
      <c r="C2452" s="1">
        <v>16.170000000000002</v>
      </c>
      <c r="D2452" s="9">
        <v>16.23211111111117</v>
      </c>
      <c r="E2452" s="1">
        <v>14.940799999999999</v>
      </c>
      <c r="F2452" s="1">
        <v>14.856999999999999</v>
      </c>
      <c r="G2452" s="1">
        <v>15.789099999999999</v>
      </c>
      <c r="H2452" s="1">
        <v>14.932</v>
      </c>
    </row>
    <row r="2453" spans="1:8" x14ac:dyDescent="0.3">
      <c r="A2453">
        <f t="shared" ref="A2453:A2484" si="100">A2403</f>
        <v>0</v>
      </c>
      <c r="B2453">
        <v>84</v>
      </c>
      <c r="C2453" s="1">
        <v>16.23</v>
      </c>
      <c r="D2453" s="9">
        <v>16.279333333333479</v>
      </c>
      <c r="E2453" s="1">
        <v>13.1088</v>
      </c>
      <c r="F2453" s="1">
        <v>12.9069</v>
      </c>
      <c r="G2453" s="1">
        <v>15.2318</v>
      </c>
      <c r="H2453" s="1">
        <v>13.0596</v>
      </c>
    </row>
    <row r="2454" spans="1:8" x14ac:dyDescent="0.3">
      <c r="A2454">
        <f t="shared" si="100"/>
        <v>25</v>
      </c>
      <c r="B2454">
        <v>134</v>
      </c>
      <c r="C2454" s="1">
        <v>16.369546944432219</v>
      </c>
      <c r="D2454" s="9">
        <v>16.326555555555789</v>
      </c>
      <c r="E2454" s="1">
        <v>11.3093</v>
      </c>
      <c r="F2454" s="1">
        <v>11.004300000000001</v>
      </c>
      <c r="G2454" s="1">
        <v>14.742699999999999</v>
      </c>
      <c r="H2454" s="1">
        <v>11.177300000000001</v>
      </c>
    </row>
    <row r="2455" spans="1:8" x14ac:dyDescent="0.3">
      <c r="A2455" t="e">
        <f t="shared" si="100"/>
        <v>#REF!</v>
      </c>
      <c r="B2455">
        <v>184</v>
      </c>
      <c r="C2455" s="1">
        <v>16.666794759825329</v>
      </c>
      <c r="D2455" s="9">
        <v>16.373777777778098</v>
      </c>
      <c r="E2455" s="1">
        <v>9.5592699999999997</v>
      </c>
      <c r="F2455" s="1">
        <v>9.1877200000000006</v>
      </c>
      <c r="G2455" s="1">
        <v>14.338900000000001</v>
      </c>
      <c r="H2455" s="1">
        <v>9.2850599999999996</v>
      </c>
    </row>
    <row r="2456" spans="1:8" x14ac:dyDescent="0.3">
      <c r="A2456">
        <f t="shared" si="100"/>
        <v>16</v>
      </c>
      <c r="B2456">
        <v>234</v>
      </c>
      <c r="C2456" s="1">
        <v>16.87</v>
      </c>
      <c r="D2456" s="9">
        <v>16.421000000000408</v>
      </c>
      <c r="E2456" s="1">
        <v>7.8910200000000001</v>
      </c>
      <c r="F2456" s="1">
        <v>7.54427</v>
      </c>
      <c r="G2456" s="1">
        <v>14.0343</v>
      </c>
      <c r="H2456" s="1">
        <v>7.38849</v>
      </c>
    </row>
    <row r="2457" spans="1:8" x14ac:dyDescent="0.3">
      <c r="A2457" t="e">
        <f t="shared" si="100"/>
        <v>#REF!</v>
      </c>
      <c r="B2457">
        <v>284</v>
      </c>
      <c r="C2457" s="1">
        <v>17.028170945356639</v>
      </c>
      <c r="D2457" s="9">
        <v>16.468222222222717</v>
      </c>
      <c r="E2457" s="1">
        <v>6.3890200000000004</v>
      </c>
      <c r="F2457" s="1">
        <v>6.3362999999999996</v>
      </c>
      <c r="G2457" s="1">
        <v>13.8147</v>
      </c>
      <c r="H2457" s="1">
        <v>5.54732</v>
      </c>
    </row>
    <row r="2458" spans="1:8" x14ac:dyDescent="0.3">
      <c r="A2458">
        <f t="shared" si="100"/>
        <v>32</v>
      </c>
      <c r="B2458">
        <v>334</v>
      </c>
      <c r="C2458" s="1">
        <v>17.24044655498567</v>
      </c>
      <c r="D2458" s="9">
        <v>16.515444444445027</v>
      </c>
      <c r="E2458" s="1">
        <v>5.3761099999999997</v>
      </c>
      <c r="F2458" s="1">
        <v>6.2904999999999998</v>
      </c>
      <c r="G2458" s="1">
        <v>13.918100000000001</v>
      </c>
      <c r="H2458" s="1">
        <v>4.18126</v>
      </c>
    </row>
    <row r="2459" spans="1:8" x14ac:dyDescent="0.3">
      <c r="A2459" t="e">
        <f t="shared" si="100"/>
        <v>#REF!</v>
      </c>
      <c r="B2459">
        <v>384</v>
      </c>
      <c r="C2459" s="1">
        <v>17.471960572742741</v>
      </c>
      <c r="D2459" s="9">
        <v>16.562666666667337</v>
      </c>
      <c r="E2459" s="1">
        <v>4.6943099999999998</v>
      </c>
      <c r="F2459" s="1">
        <v>6.6208</v>
      </c>
      <c r="G2459" s="1">
        <v>14.0701</v>
      </c>
      <c r="H2459" s="1">
        <v>3.2210899999999998</v>
      </c>
    </row>
    <row r="2460" spans="1:8" x14ac:dyDescent="0.3">
      <c r="A2460">
        <f t="shared" si="100"/>
        <v>23</v>
      </c>
      <c r="B2460">
        <v>434</v>
      </c>
      <c r="C2460" s="1">
        <v>17.734839722663931</v>
      </c>
      <c r="D2460" s="9">
        <v>16.609888888889646</v>
      </c>
      <c r="E2460" s="1">
        <v>4.2560200000000004</v>
      </c>
      <c r="F2460" s="1">
        <v>6.7345100000000002</v>
      </c>
      <c r="G2460" s="1">
        <v>13.9635</v>
      </c>
      <c r="H2460" s="1">
        <v>2.61903</v>
      </c>
    </row>
    <row r="2461" spans="1:8" x14ac:dyDescent="0.3">
      <c r="A2461" t="e">
        <f t="shared" si="100"/>
        <v>#REF!</v>
      </c>
      <c r="B2461">
        <v>484</v>
      </c>
      <c r="C2461" s="1">
        <v>17.90656108145858</v>
      </c>
      <c r="D2461" s="9">
        <v>16.657111111111956</v>
      </c>
      <c r="E2461" s="1">
        <v>3.8530000000000002</v>
      </c>
      <c r="F2461" s="1">
        <v>6.4651300000000003</v>
      </c>
      <c r="G2461" s="1">
        <v>13.646000000000001</v>
      </c>
      <c r="H2461" s="1">
        <v>2.1768900000000002</v>
      </c>
    </row>
    <row r="2462" spans="1:8" x14ac:dyDescent="0.3">
      <c r="A2462">
        <f t="shared" si="100"/>
        <v>14</v>
      </c>
      <c r="B2462">
        <v>534</v>
      </c>
      <c r="C2462" s="1">
        <v>18.089494784972921</v>
      </c>
      <c r="D2462" s="9">
        <v>16.704333333334265</v>
      </c>
      <c r="E2462" s="1">
        <v>3.1805300000000001</v>
      </c>
      <c r="F2462" s="1">
        <v>5.7758599999999998</v>
      </c>
      <c r="G2462" s="1">
        <v>13.3081</v>
      </c>
      <c r="H2462" s="1">
        <v>1.57666</v>
      </c>
    </row>
    <row r="2463" spans="1:8" x14ac:dyDescent="0.3">
      <c r="A2463" t="e">
        <f t="shared" si="100"/>
        <v>#REF!</v>
      </c>
      <c r="B2463">
        <v>584</v>
      </c>
      <c r="C2463" s="1">
        <v>18.313503423721869</v>
      </c>
      <c r="D2463" s="9">
        <v>16.751555555556575</v>
      </c>
      <c r="E2463" s="1">
        <v>2.27705</v>
      </c>
      <c r="F2463" s="1">
        <v>4.7984299999999998</v>
      </c>
      <c r="G2463" s="1">
        <v>12.966200000000001</v>
      </c>
      <c r="H2463" s="1">
        <v>0.83936699999999997</v>
      </c>
    </row>
    <row r="2464" spans="1:8" x14ac:dyDescent="0.3">
      <c r="A2464">
        <f t="shared" si="100"/>
        <v>30</v>
      </c>
      <c r="B2464">
        <v>634</v>
      </c>
      <c r="C2464" s="1">
        <v>18.489999999999998</v>
      </c>
      <c r="D2464" s="9">
        <v>16.798777777778884</v>
      </c>
      <c r="E2464" s="1">
        <v>1.40456</v>
      </c>
      <c r="F2464" s="1">
        <v>3.7749899999999998</v>
      </c>
      <c r="G2464" s="1">
        <v>12.543900000000001</v>
      </c>
      <c r="H2464" s="1">
        <v>0.21051600000000001</v>
      </c>
    </row>
    <row r="2465" spans="1:8" x14ac:dyDescent="0.3">
      <c r="A2465" t="e">
        <f t="shared" si="100"/>
        <v>#REF!</v>
      </c>
      <c r="B2465">
        <v>684</v>
      </c>
      <c r="C2465" s="1">
        <v>18.605673784891671</v>
      </c>
      <c r="D2465" s="9">
        <v>16.846000000001194</v>
      </c>
      <c r="E2465" s="1">
        <v>0.80040999999999995</v>
      </c>
      <c r="F2465" s="1">
        <v>2.9273799999999999</v>
      </c>
      <c r="G2465" s="1">
        <v>12.186999999999999</v>
      </c>
      <c r="H2465" s="1">
        <v>-2.9002400000000001E-2</v>
      </c>
    </row>
    <row r="2466" spans="1:8" x14ac:dyDescent="0.3">
      <c r="A2466">
        <f t="shared" si="100"/>
        <v>21</v>
      </c>
      <c r="B2466">
        <v>734</v>
      </c>
      <c r="C2466" s="1">
        <v>18.767229348886222</v>
      </c>
      <c r="D2466" s="9">
        <v>16.893222222223503</v>
      </c>
      <c r="E2466" s="1">
        <v>0.65365399999999996</v>
      </c>
      <c r="F2466" s="1">
        <v>2.4323600000000001</v>
      </c>
      <c r="G2466" s="1">
        <v>12.154299999999999</v>
      </c>
      <c r="H2466" s="1">
        <v>0.381942</v>
      </c>
    </row>
    <row r="2467" spans="1:8" x14ac:dyDescent="0.3">
      <c r="A2467" t="e">
        <f t="shared" si="100"/>
        <v>#REF!</v>
      </c>
      <c r="B2467">
        <v>784</v>
      </c>
      <c r="C2467" s="1">
        <v>19.005098845342999</v>
      </c>
      <c r="D2467" s="9">
        <v>16.940444444445813</v>
      </c>
      <c r="E2467" s="1">
        <v>0.85560899999999995</v>
      </c>
      <c r="F2467" s="1">
        <v>2.1703999999999999</v>
      </c>
      <c r="G2467" s="1">
        <v>12.4519</v>
      </c>
      <c r="H2467" s="1">
        <v>1.3121400000000001</v>
      </c>
    </row>
    <row r="2468" spans="1:8" x14ac:dyDescent="0.3">
      <c r="A2468">
        <f t="shared" si="100"/>
        <v>12</v>
      </c>
      <c r="B2468">
        <v>834</v>
      </c>
      <c r="C2468" s="1">
        <v>19.330689518343199</v>
      </c>
      <c r="D2468" s="9">
        <v>16.987666666668122</v>
      </c>
      <c r="E2468" s="1">
        <v>1.1387499999999999</v>
      </c>
      <c r="F2468" s="1">
        <v>1.8775500000000001</v>
      </c>
      <c r="G2468" s="1">
        <v>12.9217</v>
      </c>
      <c r="H2468" s="1">
        <v>2.3935599999999999</v>
      </c>
    </row>
    <row r="2469" spans="1:8" x14ac:dyDescent="0.3">
      <c r="A2469" t="e">
        <f t="shared" si="100"/>
        <v>#REF!</v>
      </c>
      <c r="B2469">
        <v>884</v>
      </c>
      <c r="C2469" s="1">
        <v>19.608389386974931</v>
      </c>
      <c r="D2469" s="9">
        <v>17.034888888890432</v>
      </c>
      <c r="E2469" s="1">
        <v>1.4469399999999999</v>
      </c>
      <c r="F2469" s="1">
        <v>1.6440300000000001</v>
      </c>
      <c r="G2469" s="1">
        <v>13.2951</v>
      </c>
      <c r="H2469" s="1">
        <v>3.2461500000000001</v>
      </c>
    </row>
    <row r="2470" spans="1:8" x14ac:dyDescent="0.3">
      <c r="A2470">
        <f t="shared" si="100"/>
        <v>28</v>
      </c>
      <c r="B2470">
        <v>934</v>
      </c>
      <c r="C2470" s="1">
        <v>19.875559768285481</v>
      </c>
      <c r="D2470" s="9">
        <v>17.082111111112741</v>
      </c>
      <c r="E2470" s="1">
        <v>1.8363799999999999</v>
      </c>
      <c r="F2470" s="1">
        <v>1.74794</v>
      </c>
      <c r="G2470" s="1">
        <v>13.276</v>
      </c>
      <c r="H2470" s="1">
        <v>3.52305</v>
      </c>
    </row>
    <row r="2471" spans="1:8" x14ac:dyDescent="0.3">
      <c r="A2471" t="e">
        <f t="shared" si="100"/>
        <v>#REF!</v>
      </c>
      <c r="B2471">
        <v>984</v>
      </c>
      <c r="C2471" s="1">
        <v>20.24365683476055</v>
      </c>
      <c r="D2471" s="9">
        <v>17.129333333335051</v>
      </c>
      <c r="E2471" s="1">
        <v>2.1951100000000001</v>
      </c>
      <c r="F2471" s="1">
        <v>2.19442</v>
      </c>
      <c r="G2471" s="1">
        <v>12.970599999999999</v>
      </c>
      <c r="H2471" s="1">
        <v>3.2825199999999999</v>
      </c>
    </row>
    <row r="2472" spans="1:8" x14ac:dyDescent="0.3">
      <c r="A2472">
        <f t="shared" si="100"/>
        <v>19</v>
      </c>
      <c r="B2472">
        <v>1034</v>
      </c>
      <c r="C2472" s="1">
        <v>20.673733113396679</v>
      </c>
      <c r="D2472" s="9">
        <v>17.176555555557361</v>
      </c>
      <c r="E2472" s="1">
        <v>2.3332899999999999</v>
      </c>
      <c r="F2472" s="1">
        <v>2.81298</v>
      </c>
      <c r="G2472" s="1">
        <v>12.710800000000001</v>
      </c>
      <c r="H2472" s="1">
        <v>2.83121</v>
      </c>
    </row>
    <row r="2473" spans="1:8" x14ac:dyDescent="0.3">
      <c r="A2473" t="e">
        <f t="shared" si="100"/>
        <v>#REF!</v>
      </c>
      <c r="B2473">
        <v>1084</v>
      </c>
      <c r="C2473" s="1">
        <v>21.08931254227306</v>
      </c>
      <c r="D2473" s="9">
        <v>17.22377777777967</v>
      </c>
      <c r="E2473" s="1">
        <v>2.31203</v>
      </c>
      <c r="F2473" s="1">
        <v>3.3226800000000001</v>
      </c>
      <c r="G2473" s="1">
        <v>12.6538</v>
      </c>
      <c r="H2473" s="1">
        <v>2.5463</v>
      </c>
    </row>
    <row r="2474" spans="1:8" x14ac:dyDescent="0.3">
      <c r="A2474">
        <f t="shared" si="100"/>
        <v>10</v>
      </c>
      <c r="B2474">
        <v>1134</v>
      </c>
      <c r="C2474" s="1">
        <v>21.444628609603189</v>
      </c>
      <c r="D2474" s="9">
        <v>17.27100000000198</v>
      </c>
      <c r="E2474" s="1">
        <v>2.3195800000000002</v>
      </c>
      <c r="F2474" s="1">
        <v>3.4194599999999999</v>
      </c>
      <c r="G2474" s="1">
        <v>12.831200000000001</v>
      </c>
      <c r="H2474" s="1">
        <v>2.8023099999999999</v>
      </c>
    </row>
    <row r="2475" spans="1:8" x14ac:dyDescent="0.3">
      <c r="A2475" t="e">
        <f t="shared" si="100"/>
        <v>#REF!</v>
      </c>
      <c r="B2475">
        <v>1184</v>
      </c>
      <c r="C2475" s="1">
        <v>21.777062234384221</v>
      </c>
      <c r="D2475" s="9">
        <v>17.318222222224289</v>
      </c>
      <c r="E2475" s="1">
        <v>2.2964000000000002</v>
      </c>
      <c r="F2475" s="1">
        <v>3.2309600000000001</v>
      </c>
      <c r="G2475" s="1">
        <v>13.073</v>
      </c>
      <c r="H2475" s="1">
        <v>3.53043</v>
      </c>
    </row>
    <row r="2476" spans="1:8" x14ac:dyDescent="0.3">
      <c r="A2476">
        <f t="shared" si="100"/>
        <v>26</v>
      </c>
      <c r="B2476">
        <v>1234</v>
      </c>
      <c r="C2476" s="1">
        <v>22.247173133240551</v>
      </c>
      <c r="D2476" s="9">
        <v>17.365444444446599</v>
      </c>
      <c r="E2476" s="1">
        <v>2.0648</v>
      </c>
      <c r="F2476" s="1">
        <v>3.1197900000000001</v>
      </c>
      <c r="G2476" s="1">
        <v>13.120799999999999</v>
      </c>
      <c r="H2476" s="1">
        <v>4.40524</v>
      </c>
    </row>
    <row r="2477" spans="1:8" x14ac:dyDescent="0.3">
      <c r="A2477" t="e">
        <f t="shared" si="100"/>
        <v>#REF!</v>
      </c>
      <c r="B2477">
        <v>1284</v>
      </c>
      <c r="C2477" s="1">
        <v>22.656033363630129</v>
      </c>
      <c r="D2477" s="9">
        <v>17.412666666668908</v>
      </c>
      <c r="E2477" s="1">
        <v>1.7652000000000001</v>
      </c>
      <c r="F2477" s="1">
        <v>3.22065</v>
      </c>
      <c r="G2477" s="1">
        <v>13.0426</v>
      </c>
      <c r="H2477" s="1">
        <v>5.1661000000000001</v>
      </c>
    </row>
    <row r="2478" spans="1:8" x14ac:dyDescent="0.3">
      <c r="A2478">
        <f t="shared" si="100"/>
        <v>17</v>
      </c>
      <c r="B2478">
        <v>1334</v>
      </c>
      <c r="C2478" s="1">
        <v>23.004140638603069</v>
      </c>
      <c r="D2478" s="9">
        <v>17.459888888891218</v>
      </c>
      <c r="E2478" s="1">
        <v>1.70512</v>
      </c>
      <c r="F2478" s="1">
        <v>3.5221300000000002</v>
      </c>
      <c r="G2478" s="1">
        <v>13.074199999999999</v>
      </c>
      <c r="H2478" s="1">
        <v>5.6187199999999997</v>
      </c>
    </row>
    <row r="2479" spans="1:8" x14ac:dyDescent="0.3">
      <c r="A2479" t="e">
        <f t="shared" si="100"/>
        <v>#REF!</v>
      </c>
      <c r="B2479">
        <v>1384</v>
      </c>
      <c r="C2479" s="1">
        <v>23.181265633172249</v>
      </c>
      <c r="D2479" s="9">
        <v>17.507111111113527</v>
      </c>
      <c r="E2479" s="1">
        <v>1.95489</v>
      </c>
      <c r="F2479" s="1">
        <v>3.9175800000000001</v>
      </c>
      <c r="G2479" s="1">
        <v>13.1693</v>
      </c>
      <c r="H2479" s="1">
        <v>5.8368000000000002</v>
      </c>
    </row>
    <row r="2480" spans="1:8" x14ac:dyDescent="0.3">
      <c r="A2480">
        <f t="shared" si="100"/>
        <v>33</v>
      </c>
      <c r="B2480">
        <v>1434</v>
      </c>
      <c r="C2480" s="1">
        <v>23.27</v>
      </c>
      <c r="D2480" s="9">
        <v>17.554333333335837</v>
      </c>
      <c r="E2480" s="1">
        <v>2.42991</v>
      </c>
      <c r="F2480" s="1">
        <v>4.2564299999999999</v>
      </c>
      <c r="G2480" s="1">
        <v>13.1388</v>
      </c>
      <c r="H2480" s="1">
        <v>6.0268100000000002</v>
      </c>
    </row>
    <row r="2481" spans="1:8" x14ac:dyDescent="0.3">
      <c r="A2481" t="e">
        <f t="shared" si="100"/>
        <v>#REF!</v>
      </c>
      <c r="B2481">
        <v>1484</v>
      </c>
      <c r="C2481" s="1">
        <v>23.182960354679171</v>
      </c>
      <c r="D2481" s="9">
        <v>17.601555555558146</v>
      </c>
      <c r="E2481" s="1">
        <v>2.9106700000000001</v>
      </c>
      <c r="F2481" s="1">
        <v>4.5036500000000004</v>
      </c>
      <c r="G2481" s="1">
        <v>13.0562</v>
      </c>
      <c r="H2481" s="1">
        <v>6.1447000000000003</v>
      </c>
    </row>
    <row r="2482" spans="1:8" x14ac:dyDescent="0.3">
      <c r="A2482">
        <f t="shared" si="100"/>
        <v>24</v>
      </c>
      <c r="B2482">
        <v>1534</v>
      </c>
      <c r="C2482" s="1">
        <v>22.950653173685001</v>
      </c>
      <c r="D2482" s="9">
        <v>17.648777777780456</v>
      </c>
      <c r="E2482" s="1">
        <v>3.1410100000000001</v>
      </c>
      <c r="F2482" s="1">
        <v>4.70662</v>
      </c>
      <c r="G2482" s="1">
        <v>13.125</v>
      </c>
      <c r="H2482" s="1">
        <v>6.0107200000000001</v>
      </c>
    </row>
    <row r="2483" spans="1:8" x14ac:dyDescent="0.3">
      <c r="A2483" t="e">
        <f t="shared" si="100"/>
        <v>#REF!</v>
      </c>
      <c r="B2483">
        <v>1584</v>
      </c>
      <c r="C2483" s="1">
        <v>22.620948328045198</v>
      </c>
      <c r="D2483" s="9">
        <v>17.696000000002766</v>
      </c>
      <c r="E2483" s="1">
        <v>3.2953399999999999</v>
      </c>
      <c r="F2483" s="1">
        <v>5.0565100000000003</v>
      </c>
      <c r="G2483" s="1">
        <v>13.286099999999999</v>
      </c>
      <c r="H2483" s="1">
        <v>5.5693599999999996</v>
      </c>
    </row>
    <row r="2484" spans="1:8" x14ac:dyDescent="0.3">
      <c r="A2484">
        <f t="shared" si="100"/>
        <v>15</v>
      </c>
      <c r="B2484">
        <v>1634</v>
      </c>
      <c r="C2484" s="1">
        <v>22.228904682207919</v>
      </c>
      <c r="D2484" s="9">
        <v>17.743222222225075</v>
      </c>
      <c r="E2484" s="1">
        <v>3.7633100000000002</v>
      </c>
      <c r="F2484" s="1">
        <v>5.7958100000000004</v>
      </c>
      <c r="G2484" s="1">
        <v>13.347799999999999</v>
      </c>
      <c r="H2484" s="1">
        <v>4.8435800000000002</v>
      </c>
    </row>
    <row r="2485" spans="1:8" x14ac:dyDescent="0.3">
      <c r="A2485" t="e">
        <f t="shared" ref="A2485:A2516" si="101">A2435</f>
        <v>#REF!</v>
      </c>
      <c r="B2485">
        <v>1684</v>
      </c>
      <c r="C2485" s="1">
        <v>21.795649974182751</v>
      </c>
      <c r="D2485" s="9">
        <v>17.790444444447385</v>
      </c>
      <c r="E2485" s="1">
        <v>4.5379199999999997</v>
      </c>
      <c r="F2485" s="1">
        <v>6.8321800000000001</v>
      </c>
      <c r="G2485" s="1">
        <v>13.354900000000001</v>
      </c>
      <c r="H2485" s="1">
        <v>3.9040300000000001</v>
      </c>
    </row>
    <row r="2486" spans="1:8" x14ac:dyDescent="0.3">
      <c r="A2486">
        <f t="shared" si="101"/>
        <v>31</v>
      </c>
      <c r="B2486">
        <v>1734</v>
      </c>
      <c r="C2486" s="1">
        <v>21.357575807328011</v>
      </c>
      <c r="D2486" s="9">
        <v>17.837666666669694</v>
      </c>
      <c r="E2486" s="1">
        <v>5.36693</v>
      </c>
      <c r="F2486" s="1">
        <v>7.8786899999999997</v>
      </c>
      <c r="G2486" s="1">
        <v>13.467700000000001</v>
      </c>
      <c r="H2486" s="1">
        <v>2.84531</v>
      </c>
    </row>
    <row r="2487" spans="1:8" x14ac:dyDescent="0.3">
      <c r="A2487" t="e">
        <f t="shared" si="101"/>
        <v>#REF!</v>
      </c>
      <c r="B2487">
        <v>1784</v>
      </c>
      <c r="C2487" s="1">
        <v>21.030718064193291</v>
      </c>
      <c r="D2487" s="9">
        <v>17.884888888892004</v>
      </c>
      <c r="E2487" s="1">
        <v>5.8858899999999998</v>
      </c>
      <c r="F2487" s="1">
        <v>8.6696000000000009</v>
      </c>
      <c r="G2487" s="1">
        <v>13.605399999999999</v>
      </c>
      <c r="H2487" s="1">
        <v>1.72862</v>
      </c>
    </row>
    <row r="2488" spans="1:8" x14ac:dyDescent="0.3">
      <c r="A2488">
        <f t="shared" si="101"/>
        <v>22</v>
      </c>
      <c r="B2488">
        <v>1834</v>
      </c>
      <c r="C2488" s="1">
        <v>20.662011623816831</v>
      </c>
      <c r="D2488" s="9">
        <v>17.932111111114313</v>
      </c>
      <c r="E2488" s="1">
        <v>5.7148599999999998</v>
      </c>
      <c r="F2488" s="1">
        <v>8.9899500000000003</v>
      </c>
      <c r="G2488" s="1">
        <v>13.572699999999999</v>
      </c>
      <c r="H2488" s="1">
        <v>0.58957499999999996</v>
      </c>
    </row>
    <row r="2489" spans="1:8" x14ac:dyDescent="0.3">
      <c r="A2489" t="e">
        <f t="shared" si="101"/>
        <v>#REF!</v>
      </c>
      <c r="B2489">
        <v>1884</v>
      </c>
      <c r="C2489" s="1">
        <v>20.30834832876063</v>
      </c>
      <c r="D2489" s="9">
        <v>17.979333333336623</v>
      </c>
      <c r="E2489" s="1">
        <v>4.9638499999999999</v>
      </c>
      <c r="F2489" s="1">
        <v>8.9990000000000006</v>
      </c>
      <c r="G2489" s="1">
        <v>13.4526</v>
      </c>
      <c r="H2489" s="1">
        <v>-0.59684099999999995</v>
      </c>
    </row>
    <row r="2490" spans="1:8" x14ac:dyDescent="0.3">
      <c r="A2490">
        <f t="shared" si="101"/>
        <v>13</v>
      </c>
      <c r="B2490">
        <v>1934</v>
      </c>
      <c r="C2490" s="1">
        <v>19.87978711013595</v>
      </c>
      <c r="D2490" s="9">
        <v>18.026555555558932</v>
      </c>
      <c r="E2490" s="1">
        <v>4.0234300000000003</v>
      </c>
      <c r="F2490" s="1">
        <v>9.0385600000000004</v>
      </c>
      <c r="G2490" s="1">
        <v>13.466100000000001</v>
      </c>
      <c r="H2490" s="1">
        <v>-1.8788400000000001</v>
      </c>
    </row>
    <row r="2491" spans="1:8" x14ac:dyDescent="0.3">
      <c r="A2491" t="e">
        <f t="shared" si="101"/>
        <v>#REF!</v>
      </c>
      <c r="B2491">
        <v>1984</v>
      </c>
      <c r="C2491" s="1">
        <v>19.61647108054358</v>
      </c>
      <c r="D2491" s="9">
        <v>18.073777777781242</v>
      </c>
      <c r="E2491" s="1">
        <v>3.2373699999999999</v>
      </c>
      <c r="F2491" s="1">
        <v>9.1013999999999999</v>
      </c>
      <c r="G2491" s="1">
        <v>13.585699999999999</v>
      </c>
      <c r="H2491" s="1">
        <v>-3.18716</v>
      </c>
    </row>
    <row r="2492" spans="1:8" x14ac:dyDescent="0.3">
      <c r="A2492">
        <f t="shared" si="101"/>
        <v>29</v>
      </c>
      <c r="B2492">
        <v>2034</v>
      </c>
      <c r="C2492" s="1">
        <v>19.366793525258711</v>
      </c>
      <c r="D2492" s="9">
        <v>18.121000000003551</v>
      </c>
      <c r="E2492" s="1">
        <v>2.8802599999999998</v>
      </c>
      <c r="F2492" s="1">
        <v>8.9987700000000004</v>
      </c>
      <c r="G2492" s="1">
        <v>13.6578</v>
      </c>
      <c r="H2492" s="1">
        <v>-4.3883700000000001</v>
      </c>
    </row>
    <row r="2493" spans="1:8" x14ac:dyDescent="0.3">
      <c r="A2493" t="e">
        <f t="shared" si="101"/>
        <v>#REF!</v>
      </c>
      <c r="B2493">
        <v>2084</v>
      </c>
      <c r="C2493" s="1">
        <v>19.242128824903091</v>
      </c>
      <c r="D2493" s="9">
        <v>18.168222222225861</v>
      </c>
      <c r="E2493" s="1">
        <v>2.82524</v>
      </c>
      <c r="F2493" s="1">
        <v>8.7614000000000001</v>
      </c>
      <c r="G2493" s="1">
        <v>13.717499999999999</v>
      </c>
      <c r="H2493" s="1">
        <v>-5.3864099999999997</v>
      </c>
    </row>
    <row r="2494" spans="1:8" x14ac:dyDescent="0.3">
      <c r="A2494">
        <f t="shared" si="101"/>
        <v>20</v>
      </c>
      <c r="B2494">
        <v>2134</v>
      </c>
      <c r="C2494" s="1">
        <v>19.18</v>
      </c>
      <c r="D2494" s="9">
        <v>18.21544444444817</v>
      </c>
      <c r="E2494" s="1">
        <v>2.74756</v>
      </c>
      <c r="F2494" s="1">
        <v>8.5436700000000005</v>
      </c>
      <c r="G2494" s="1">
        <v>13.8874</v>
      </c>
      <c r="H2494" s="1">
        <v>-6.1006999999999998</v>
      </c>
    </row>
    <row r="2495" spans="1:8" x14ac:dyDescent="0.3">
      <c r="A2495" t="e">
        <f t="shared" si="101"/>
        <v>#REF!</v>
      </c>
      <c r="B2495">
        <v>2184</v>
      </c>
      <c r="C2495" s="1">
        <v>19.151688821344671</v>
      </c>
      <c r="D2495" s="9">
        <v>18.26266666667048</v>
      </c>
      <c r="E2495" s="1">
        <v>2.6544599999999998</v>
      </c>
      <c r="F2495" s="1">
        <v>8.4566400000000002</v>
      </c>
      <c r="G2495" s="1">
        <v>14.065200000000001</v>
      </c>
      <c r="H2495" s="1">
        <v>-6.3869199999999999</v>
      </c>
    </row>
    <row r="2496" spans="1:8" x14ac:dyDescent="0.3">
      <c r="A2496">
        <f t="shared" si="101"/>
        <v>11</v>
      </c>
      <c r="B2496">
        <v>2234</v>
      </c>
      <c r="C2496" s="1">
        <v>19.24965716772321</v>
      </c>
      <c r="D2496" s="9">
        <v>18.30988888889279</v>
      </c>
      <c r="E2496" s="1">
        <v>2.72004</v>
      </c>
      <c r="F2496" s="1">
        <v>8.5633300000000006</v>
      </c>
      <c r="G2496" s="1">
        <v>14.046799999999999</v>
      </c>
      <c r="H2496" s="1">
        <v>-6.0916600000000001</v>
      </c>
    </row>
    <row r="2497" spans="1:8" x14ac:dyDescent="0.3">
      <c r="A2497" t="e">
        <f t="shared" si="101"/>
        <v>#REF!</v>
      </c>
      <c r="B2497">
        <v>2284</v>
      </c>
      <c r="C2497" s="1">
        <v>19.47772323375932</v>
      </c>
      <c r="D2497" s="9">
        <v>18.357111111115099</v>
      </c>
      <c r="E2497" s="1">
        <v>2.8666100000000001</v>
      </c>
      <c r="F2497" s="1">
        <v>8.7050599999999996</v>
      </c>
      <c r="G2497" s="1">
        <v>13.9048</v>
      </c>
      <c r="H2497" s="1">
        <v>-5.3336300000000003</v>
      </c>
    </row>
    <row r="2498" spans="1:8" x14ac:dyDescent="0.3">
      <c r="A2498">
        <f t="shared" si="101"/>
        <v>27</v>
      </c>
      <c r="B2498">
        <v>2334</v>
      </c>
      <c r="C2498" s="1">
        <v>19.82734365116529</v>
      </c>
      <c r="D2498" s="9">
        <v>18.404333333337409</v>
      </c>
      <c r="E2498" s="1">
        <v>2.8945500000000002</v>
      </c>
      <c r="F2498" s="1">
        <v>8.6235099999999996</v>
      </c>
      <c r="G2498" s="1">
        <v>13.8466</v>
      </c>
      <c r="H2498" s="1">
        <v>-4.3721300000000003</v>
      </c>
    </row>
    <row r="2499" spans="1:8" x14ac:dyDescent="0.3">
      <c r="A2499" t="e">
        <f t="shared" si="101"/>
        <v>#REF!</v>
      </c>
      <c r="B2499">
        <v>2384</v>
      </c>
      <c r="C2499" s="1">
        <v>20.30918613805267</v>
      </c>
      <c r="D2499" s="9">
        <v>18.451555555559718</v>
      </c>
      <c r="E2499" s="1">
        <v>2.8377300000000001</v>
      </c>
      <c r="F2499" s="1">
        <v>8.3320699999999999</v>
      </c>
      <c r="G2499" s="1">
        <v>13.8348</v>
      </c>
      <c r="H2499" s="1">
        <v>-3.3234499999999998</v>
      </c>
    </row>
    <row r="2500" spans="1:8" x14ac:dyDescent="0.3">
      <c r="A2500">
        <f t="shared" si="101"/>
        <v>18</v>
      </c>
      <c r="B2500">
        <v>2434</v>
      </c>
      <c r="C2500" s="1">
        <v>20.87017762295649</v>
      </c>
      <c r="D2500" s="9">
        <v>18.498777777782028</v>
      </c>
      <c r="E2500" s="1">
        <v>2.8365800000000001</v>
      </c>
      <c r="F2500" s="1">
        <v>8.0026899999999994</v>
      </c>
      <c r="G2500" s="1">
        <v>13.7186</v>
      </c>
      <c r="H2500" s="1">
        <v>-2.2184499999999998</v>
      </c>
    </row>
    <row r="2501" spans="1:8" x14ac:dyDescent="0.3">
      <c r="A2501" t="e">
        <f t="shared" si="101"/>
        <v>#REF!</v>
      </c>
      <c r="B2501">
        <v>2484</v>
      </c>
      <c r="C2501" s="1">
        <v>21.389119331126039</v>
      </c>
      <c r="D2501" s="9">
        <v>18.546000000004337</v>
      </c>
      <c r="E2501" s="1">
        <v>2.7581899999999999</v>
      </c>
      <c r="F2501" s="1">
        <v>7.82925</v>
      </c>
      <c r="G2501" s="1">
        <v>13.618600000000001</v>
      </c>
      <c r="H2501" s="1">
        <v>-1.0563800000000001</v>
      </c>
    </row>
    <row r="2502" spans="1:8" x14ac:dyDescent="0.3">
      <c r="A2502">
        <f t="shared" si="101"/>
        <v>34</v>
      </c>
      <c r="B2502">
        <v>2534</v>
      </c>
      <c r="C2502" s="1">
        <v>21.898885263094371</v>
      </c>
      <c r="D2502" s="9">
        <v>18.593222222226647</v>
      </c>
      <c r="E2502" s="1">
        <v>2.3464200000000002</v>
      </c>
      <c r="F2502" s="1">
        <v>7.9813299999999998</v>
      </c>
      <c r="G2502" s="1">
        <v>13.7761</v>
      </c>
      <c r="H2502" s="1">
        <v>0.17566799999999999</v>
      </c>
    </row>
    <row r="2503" spans="1:8" x14ac:dyDescent="0.3">
      <c r="A2503">
        <f t="shared" si="101"/>
        <v>0</v>
      </c>
      <c r="B2503">
        <v>2584</v>
      </c>
      <c r="C2503" s="1">
        <v>22.30300914430601</v>
      </c>
      <c r="D2503" s="9">
        <v>18.640444444448956</v>
      </c>
      <c r="E2503" s="1">
        <v>1.6713499999999999</v>
      </c>
      <c r="F2503" s="1">
        <v>8.2758900000000004</v>
      </c>
      <c r="G2503" s="1">
        <v>14.1027</v>
      </c>
      <c r="H2503" s="1">
        <v>1.4403999999999999</v>
      </c>
    </row>
    <row r="2504" spans="1:8" x14ac:dyDescent="0.3">
      <c r="A2504">
        <f t="shared" si="101"/>
        <v>25</v>
      </c>
      <c r="B2504">
        <v>2634</v>
      </c>
      <c r="C2504" s="1">
        <v>22.629844850730759</v>
      </c>
      <c r="D2504" s="9">
        <v>18.687666666671266</v>
      </c>
      <c r="E2504" s="1">
        <v>0.99320699999999995</v>
      </c>
      <c r="F2504" s="1">
        <v>8.3602299999999996</v>
      </c>
      <c r="G2504" s="1">
        <v>14.3325</v>
      </c>
      <c r="H2504" s="1">
        <v>2.67042</v>
      </c>
    </row>
    <row r="2505" spans="1:8" x14ac:dyDescent="0.3">
      <c r="A2505" t="e">
        <f t="shared" si="101"/>
        <v>#REF!</v>
      </c>
      <c r="B2505">
        <v>2684</v>
      </c>
      <c r="C2505" s="1">
        <v>23.09144626778005</v>
      </c>
      <c r="D2505" s="9">
        <v>18.734888888893575</v>
      </c>
      <c r="E2505" s="1">
        <v>0.61175900000000005</v>
      </c>
      <c r="F2505" s="1">
        <v>8.1855700000000002</v>
      </c>
      <c r="G2505" s="1">
        <v>14.3041</v>
      </c>
      <c r="H2505" s="1">
        <v>3.78207</v>
      </c>
    </row>
    <row r="2506" spans="1:8" x14ac:dyDescent="0.3">
      <c r="A2506">
        <f t="shared" si="101"/>
        <v>16</v>
      </c>
      <c r="B2506">
        <v>2734</v>
      </c>
      <c r="C2506" s="1">
        <v>23.531782795475628</v>
      </c>
      <c r="D2506" s="9">
        <v>18.782111111115885</v>
      </c>
      <c r="E2506" s="1">
        <v>0.80858799999999997</v>
      </c>
      <c r="F2506" s="1">
        <v>7.8942600000000001</v>
      </c>
      <c r="G2506" s="1">
        <v>13.943300000000001</v>
      </c>
      <c r="H2506" s="1">
        <v>4.6859299999999999</v>
      </c>
    </row>
    <row r="2507" spans="1:8" x14ac:dyDescent="0.3">
      <c r="A2507" t="e">
        <f t="shared" si="101"/>
        <v>#REF!</v>
      </c>
      <c r="B2507">
        <v>2784</v>
      </c>
      <c r="C2507" s="1">
        <v>23.911621612981872</v>
      </c>
      <c r="D2507" s="9">
        <v>18.829333333338194</v>
      </c>
      <c r="E2507" s="1">
        <v>1.48169</v>
      </c>
      <c r="F2507" s="1">
        <v>7.8002599999999997</v>
      </c>
      <c r="G2507" s="1">
        <v>13.4437</v>
      </c>
      <c r="H2507" s="1">
        <v>5.3232299999999997</v>
      </c>
    </row>
    <row r="2508" spans="1:8" x14ac:dyDescent="0.3">
      <c r="A2508">
        <f t="shared" si="101"/>
        <v>32</v>
      </c>
      <c r="B2508">
        <v>2834</v>
      </c>
      <c r="C2508" s="1">
        <v>24.132465115160091</v>
      </c>
      <c r="D2508" s="9">
        <v>18.876555555560504</v>
      </c>
      <c r="E2508" s="1">
        <v>2.3136000000000001</v>
      </c>
      <c r="F2508" s="1">
        <v>8.2741500000000006</v>
      </c>
      <c r="G2508" s="1">
        <v>13.138999999999999</v>
      </c>
      <c r="H2508" s="1">
        <v>5.6703299999999999</v>
      </c>
    </row>
    <row r="2509" spans="1:8" x14ac:dyDescent="0.3">
      <c r="A2509" t="e">
        <f t="shared" si="101"/>
        <v>#REF!</v>
      </c>
      <c r="B2509">
        <v>2884</v>
      </c>
      <c r="C2509" s="1">
        <v>24.32</v>
      </c>
      <c r="D2509" s="9">
        <v>18.923777777782814</v>
      </c>
      <c r="E2509" s="1">
        <v>2.9944799999999998</v>
      </c>
      <c r="F2509" s="1">
        <v>9.3029399999999995</v>
      </c>
      <c r="G2509" s="1">
        <v>13.264699999999999</v>
      </c>
      <c r="H2509" s="1">
        <v>5.8766499999999997</v>
      </c>
    </row>
    <row r="2510" spans="1:8" x14ac:dyDescent="0.3">
      <c r="A2510">
        <f t="shared" si="101"/>
        <v>23</v>
      </c>
      <c r="B2510">
        <v>2934</v>
      </c>
      <c r="C2510" s="1">
        <v>24.22</v>
      </c>
      <c r="D2510" s="9">
        <v>18.971000000005123</v>
      </c>
      <c r="E2510" s="1">
        <v>3.2684600000000001</v>
      </c>
      <c r="F2510" s="1">
        <v>10.6479</v>
      </c>
      <c r="G2510" s="1">
        <v>13.969900000000001</v>
      </c>
      <c r="H2510" s="1">
        <v>6.1633599999999999</v>
      </c>
    </row>
    <row r="2511" spans="1:8" x14ac:dyDescent="0.3">
      <c r="A2511" t="e">
        <f t="shared" si="101"/>
        <v>#REF!</v>
      </c>
      <c r="B2511">
        <v>2984</v>
      </c>
      <c r="C2511" s="1">
        <v>24.053707958707939</v>
      </c>
      <c r="D2511" s="9">
        <v>19.018222222227433</v>
      </c>
      <c r="E2511" s="1">
        <v>3.34823</v>
      </c>
      <c r="F2511" s="1">
        <v>11.9825</v>
      </c>
      <c r="G2511" s="1">
        <v>15.1038</v>
      </c>
      <c r="H2511" s="1">
        <v>6.5169100000000002</v>
      </c>
    </row>
    <row r="2512" spans="1:8" x14ac:dyDescent="0.3">
      <c r="A2512">
        <f t="shared" si="101"/>
        <v>14</v>
      </c>
      <c r="B2512">
        <v>3034</v>
      </c>
      <c r="C2512" s="1">
        <v>23.91684246569514</v>
      </c>
      <c r="D2512" s="9">
        <v>19.065444444449742</v>
      </c>
      <c r="E2512" s="1">
        <v>3.6761699999999999</v>
      </c>
      <c r="F2512" s="1">
        <v>12.943199999999999</v>
      </c>
      <c r="G2512" s="1">
        <v>16.3476</v>
      </c>
      <c r="H2512" s="1">
        <v>6.8147000000000002</v>
      </c>
    </row>
    <row r="2513" spans="1:8" x14ac:dyDescent="0.3">
      <c r="A2513" t="e">
        <f t="shared" si="101"/>
        <v>#REF!</v>
      </c>
      <c r="B2513">
        <v>3084</v>
      </c>
      <c r="C2513" s="1">
        <v>23.677353945274351</v>
      </c>
      <c r="D2513" s="9">
        <v>19.112666666672052</v>
      </c>
      <c r="E2513" s="1">
        <v>4.3716600000000003</v>
      </c>
      <c r="F2513" s="1">
        <v>13.2837</v>
      </c>
      <c r="G2513" s="1">
        <v>17.3736</v>
      </c>
      <c r="H2513" s="1">
        <v>7.1427199999999997</v>
      </c>
    </row>
    <row r="2514" spans="1:8" x14ac:dyDescent="0.3">
      <c r="A2514">
        <f t="shared" si="101"/>
        <v>30</v>
      </c>
      <c r="B2514">
        <v>3134</v>
      </c>
      <c r="C2514" s="1">
        <v>23.288157975781271</v>
      </c>
      <c r="D2514" s="9">
        <v>19.159888888894361</v>
      </c>
      <c r="E2514" s="1">
        <v>5.3554399999999998</v>
      </c>
      <c r="F2514" s="1">
        <v>12.8758</v>
      </c>
      <c r="G2514" s="1">
        <v>17.893599999999999</v>
      </c>
      <c r="H2514" s="1">
        <v>7.6840700000000002</v>
      </c>
    </row>
    <row r="2515" spans="1:8" x14ac:dyDescent="0.3">
      <c r="A2515" t="e">
        <f t="shared" si="101"/>
        <v>#REF!</v>
      </c>
      <c r="B2515">
        <v>3184</v>
      </c>
      <c r="C2515" s="1">
        <v>22.90443170062516</v>
      </c>
      <c r="D2515" s="9">
        <v>19.207111111116671</v>
      </c>
      <c r="E2515" s="1">
        <v>6.43865</v>
      </c>
      <c r="F2515" s="1">
        <v>11.928599999999999</v>
      </c>
      <c r="G2515" s="1">
        <v>17.913900000000002</v>
      </c>
      <c r="H2515" s="1">
        <v>8.4944900000000008</v>
      </c>
    </row>
    <row r="2516" spans="1:8" x14ac:dyDescent="0.3">
      <c r="A2516">
        <f t="shared" si="101"/>
        <v>21</v>
      </c>
      <c r="B2516">
        <v>3234</v>
      </c>
      <c r="C2516" s="1">
        <v>22.54005773588592</v>
      </c>
      <c r="D2516" s="9">
        <v>19.25433333333898</v>
      </c>
      <c r="E2516" s="1">
        <v>7.4082699999999999</v>
      </c>
      <c r="F2516" s="1">
        <v>10.8093</v>
      </c>
      <c r="G2516" s="1">
        <v>17.5961</v>
      </c>
      <c r="H2516" s="1">
        <v>9.5555000000000003</v>
      </c>
    </row>
    <row r="2517" spans="1:8" x14ac:dyDescent="0.3">
      <c r="A2517" t="e">
        <f t="shared" ref="A2517:A2523" si="102">A2467</f>
        <v>#REF!</v>
      </c>
      <c r="B2517">
        <v>3284</v>
      </c>
      <c r="C2517" s="1">
        <v>22.130578942182861</v>
      </c>
      <c r="D2517" s="9">
        <v>19.30155555556129</v>
      </c>
      <c r="E2517" s="1">
        <v>8.3144200000000001</v>
      </c>
      <c r="F2517" s="1">
        <v>9.8969199999999997</v>
      </c>
      <c r="G2517" s="1">
        <v>17.168700000000001</v>
      </c>
      <c r="H2517" s="1">
        <v>10.804399999999999</v>
      </c>
    </row>
    <row r="2518" spans="1:8" x14ac:dyDescent="0.3">
      <c r="A2518">
        <f t="shared" si="102"/>
        <v>12</v>
      </c>
      <c r="B2518">
        <v>3334</v>
      </c>
      <c r="C2518" s="1">
        <v>21.784101659351219</v>
      </c>
      <c r="D2518" s="9">
        <v>19.348777777783599</v>
      </c>
      <c r="E2518" s="1">
        <v>9.5685699999999994</v>
      </c>
      <c r="F2518" s="1">
        <v>10.1479</v>
      </c>
      <c r="G2518" s="1">
        <v>17.0777</v>
      </c>
      <c r="H2518" s="1">
        <v>12.1998</v>
      </c>
    </row>
    <row r="2519" spans="1:8" x14ac:dyDescent="0.3">
      <c r="A2519" t="e">
        <f t="shared" si="102"/>
        <v>#REF!</v>
      </c>
      <c r="B2519">
        <v>3384</v>
      </c>
      <c r="C2519" s="1">
        <v>21.489821341672378</v>
      </c>
      <c r="D2519" s="9">
        <v>19.396000000005909</v>
      </c>
      <c r="E2519" s="1">
        <v>11.264099999999999</v>
      </c>
      <c r="F2519" s="1">
        <v>11.540900000000001</v>
      </c>
      <c r="G2519" s="1">
        <v>17.303100000000001</v>
      </c>
      <c r="H2519" s="1">
        <v>13.631399999999999</v>
      </c>
    </row>
    <row r="2520" spans="1:8" x14ac:dyDescent="0.3">
      <c r="A2520">
        <f t="shared" si="102"/>
        <v>28</v>
      </c>
      <c r="B2520">
        <v>3434</v>
      </c>
      <c r="C2520" s="1">
        <v>21.120676604922579</v>
      </c>
      <c r="D2520" s="9">
        <v>19.443222222228218</v>
      </c>
      <c r="E2520" s="1">
        <v>13.111499999999999</v>
      </c>
      <c r="F2520" s="1">
        <v>13.244300000000001</v>
      </c>
      <c r="G2520" s="1">
        <v>17.6693</v>
      </c>
      <c r="H2520" s="1">
        <v>15.0364</v>
      </c>
    </row>
    <row r="2521" spans="1:8" x14ac:dyDescent="0.3">
      <c r="A2521" t="e">
        <f t="shared" si="102"/>
        <v>#REF!</v>
      </c>
      <c r="B2521">
        <v>3484</v>
      </c>
      <c r="C2521" s="1">
        <v>20.597969241495591</v>
      </c>
      <c r="D2521" s="9">
        <v>19.490444444450528</v>
      </c>
      <c r="E2521" s="1">
        <v>15.030099999999999</v>
      </c>
      <c r="F2521" s="1">
        <v>15.0898</v>
      </c>
      <c r="G2521" s="1">
        <v>18.156199999999998</v>
      </c>
      <c r="H2521" s="1">
        <v>16.423300000000001</v>
      </c>
    </row>
    <row r="2522" spans="1:8" x14ac:dyDescent="0.3">
      <c r="A2522">
        <f t="shared" si="102"/>
        <v>19</v>
      </c>
      <c r="B2522">
        <v>3534</v>
      </c>
      <c r="C2522" s="1">
        <v>20.150745952182341</v>
      </c>
      <c r="D2522" s="9">
        <v>19.537666666672838</v>
      </c>
      <c r="E2522" s="1">
        <v>16.9863</v>
      </c>
      <c r="F2522" s="1">
        <v>17.007999999999999</v>
      </c>
      <c r="G2522" s="1">
        <v>18.734000000000002</v>
      </c>
      <c r="H2522" s="1">
        <v>17.798200000000001</v>
      </c>
    </row>
    <row r="2523" spans="1:8" x14ac:dyDescent="0.3">
      <c r="A2523" t="e">
        <f t="shared" si="102"/>
        <v>#REF!</v>
      </c>
      <c r="B2523">
        <v>3584</v>
      </c>
      <c r="C2523" s="1">
        <v>19.738002020856751</v>
      </c>
      <c r="D2523" s="9">
        <v>19.584888888895147</v>
      </c>
      <c r="E2523" s="1">
        <v>18.963999999999999</v>
      </c>
      <c r="F2523" s="1">
        <v>18.967300000000002</v>
      </c>
      <c r="G2523" s="1">
        <v>19.3809</v>
      </c>
      <c r="H2523" s="1">
        <v>19.164300000000001</v>
      </c>
    </row>
    <row r="2524" spans="1:8" x14ac:dyDescent="0.3">
      <c r="A2524">
        <v>35</v>
      </c>
      <c r="B2524">
        <v>35</v>
      </c>
      <c r="C2524" s="1">
        <v>16.173490954460391</v>
      </c>
      <c r="D2524" s="9">
        <v>16.233055555555616</v>
      </c>
      <c r="E2524" s="1">
        <v>14.9039</v>
      </c>
      <c r="F2524" s="1">
        <v>14.8177</v>
      </c>
      <c r="G2524" s="1">
        <v>15.7774</v>
      </c>
      <c r="H2524" s="1">
        <v>14.8947</v>
      </c>
    </row>
    <row r="2525" spans="1:8" x14ac:dyDescent="0.3">
      <c r="A2525" t="e">
        <f t="shared" ref="A2525:A2556" si="103">A2475</f>
        <v>#REF!</v>
      </c>
      <c r="B2525">
        <v>85</v>
      </c>
      <c r="C2525" s="1">
        <v>16.229729111237219</v>
      </c>
      <c r="D2525" s="9">
        <v>16.280277777777926</v>
      </c>
      <c r="E2525" s="1">
        <v>13.0725</v>
      </c>
      <c r="F2525" s="1">
        <v>12.8683</v>
      </c>
      <c r="G2525" s="1">
        <v>15.221299999999999</v>
      </c>
      <c r="H2525" s="1">
        <v>13.0221</v>
      </c>
    </row>
    <row r="2526" spans="1:8" x14ac:dyDescent="0.3">
      <c r="A2526">
        <f t="shared" si="103"/>
        <v>26</v>
      </c>
      <c r="B2526">
        <v>135</v>
      </c>
      <c r="C2526" s="1">
        <v>16.37322000271876</v>
      </c>
      <c r="D2526" s="9">
        <v>16.327500000000235</v>
      </c>
      <c r="E2526" s="1">
        <v>11.2738</v>
      </c>
      <c r="F2526" s="1">
        <v>10.966900000000001</v>
      </c>
      <c r="G2526" s="1">
        <v>14.7338</v>
      </c>
      <c r="H2526" s="1">
        <v>11.1395</v>
      </c>
    </row>
    <row r="2527" spans="1:8" x14ac:dyDescent="0.3">
      <c r="A2527" t="e">
        <f t="shared" si="103"/>
        <v>#REF!</v>
      </c>
      <c r="B2527">
        <v>185</v>
      </c>
      <c r="C2527" s="1">
        <v>16.678088239722928</v>
      </c>
      <c r="D2527" s="9">
        <v>16.374722222222545</v>
      </c>
      <c r="E2527" s="1">
        <v>9.5249600000000001</v>
      </c>
      <c r="F2527" s="1">
        <v>9.15273</v>
      </c>
      <c r="G2527" s="1">
        <v>14.331799999999999</v>
      </c>
      <c r="H2527" s="1">
        <v>9.2471300000000003</v>
      </c>
    </row>
    <row r="2528" spans="1:8" x14ac:dyDescent="0.3">
      <c r="A2528">
        <f t="shared" si="103"/>
        <v>17</v>
      </c>
      <c r="B2528">
        <v>235</v>
      </c>
      <c r="C2528" s="1">
        <v>16.87</v>
      </c>
      <c r="D2528" s="9">
        <v>16.421944444444854</v>
      </c>
      <c r="E2528" s="1">
        <v>7.8588500000000003</v>
      </c>
      <c r="F2528" s="1">
        <v>7.5142800000000003</v>
      </c>
      <c r="G2528" s="1">
        <v>14.029199999999999</v>
      </c>
      <c r="H2528" s="1">
        <v>7.3506400000000003</v>
      </c>
    </row>
    <row r="2529" spans="1:8" x14ac:dyDescent="0.3">
      <c r="A2529" t="e">
        <f t="shared" si="103"/>
        <v>#REF!</v>
      </c>
      <c r="B2529">
        <v>285</v>
      </c>
      <c r="C2529" s="1">
        <v>17.031969974312631</v>
      </c>
      <c r="D2529" s="9">
        <v>16.469166666667164</v>
      </c>
      <c r="E2529" s="1">
        <v>6.3633699999999997</v>
      </c>
      <c r="F2529" s="1">
        <v>6.3234000000000004</v>
      </c>
      <c r="G2529" s="1">
        <v>13.8127</v>
      </c>
      <c r="H2529" s="1">
        <v>5.5141600000000004</v>
      </c>
    </row>
    <row r="2530" spans="1:8" x14ac:dyDescent="0.3">
      <c r="A2530">
        <f t="shared" si="103"/>
        <v>33</v>
      </c>
      <c r="B2530">
        <v>335</v>
      </c>
      <c r="C2530" s="1">
        <v>17.244346939173511</v>
      </c>
      <c r="D2530" s="9">
        <v>16.516388888889473</v>
      </c>
      <c r="E2530" s="1">
        <v>5.3598800000000004</v>
      </c>
      <c r="F2530" s="1">
        <v>6.2965400000000002</v>
      </c>
      <c r="G2530" s="1">
        <v>13.9222</v>
      </c>
      <c r="H2530" s="1">
        <v>4.15862</v>
      </c>
    </row>
    <row r="2531" spans="1:8" x14ac:dyDescent="0.3">
      <c r="A2531" t="e">
        <f t="shared" si="103"/>
        <v>#REF!</v>
      </c>
      <c r="B2531">
        <v>385</v>
      </c>
      <c r="C2531" s="1">
        <v>17.47983657299477</v>
      </c>
      <c r="D2531" s="9">
        <v>16.563611111111783</v>
      </c>
      <c r="E2531" s="1">
        <v>4.6833</v>
      </c>
      <c r="F2531" s="1">
        <v>6.6263500000000004</v>
      </c>
      <c r="G2531" s="1">
        <v>14.071099999999999</v>
      </c>
      <c r="H2531" s="1">
        <v>3.2055500000000001</v>
      </c>
    </row>
    <row r="2532" spans="1:8" x14ac:dyDescent="0.3">
      <c r="A2532">
        <f t="shared" si="103"/>
        <v>24</v>
      </c>
      <c r="B2532">
        <v>435</v>
      </c>
      <c r="C2532" s="1">
        <v>17.738845154028859</v>
      </c>
      <c r="D2532" s="9">
        <v>16.610833333334092</v>
      </c>
      <c r="E2532" s="1">
        <v>4.2486899999999999</v>
      </c>
      <c r="F2532" s="1">
        <v>6.7330500000000004</v>
      </c>
      <c r="G2532" s="1">
        <v>13.958500000000001</v>
      </c>
      <c r="H2532" s="1">
        <v>2.6097399999999999</v>
      </c>
    </row>
    <row r="2533" spans="1:8" x14ac:dyDescent="0.3">
      <c r="A2533" t="e">
        <f t="shared" si="103"/>
        <v>#REF!</v>
      </c>
      <c r="B2533">
        <v>485</v>
      </c>
      <c r="C2533" s="1">
        <v>17.916595351041671</v>
      </c>
      <c r="D2533" s="9">
        <v>16.658055555556402</v>
      </c>
      <c r="E2533" s="1">
        <v>3.8430300000000002</v>
      </c>
      <c r="F2533" s="1">
        <v>6.45547</v>
      </c>
      <c r="G2533" s="1">
        <v>13.6389</v>
      </c>
      <c r="H2533" s="1">
        <v>2.1673100000000001</v>
      </c>
    </row>
    <row r="2534" spans="1:8" x14ac:dyDescent="0.3">
      <c r="A2534">
        <f t="shared" si="103"/>
        <v>15</v>
      </c>
      <c r="B2534">
        <v>535</v>
      </c>
      <c r="C2534" s="1">
        <v>18.09374060485618</v>
      </c>
      <c r="D2534" s="9">
        <v>16.705277777778711</v>
      </c>
      <c r="E2534" s="1">
        <v>3.1638899999999999</v>
      </c>
      <c r="F2534" s="1">
        <v>5.7583500000000001</v>
      </c>
      <c r="G2534" s="1">
        <v>13.301600000000001</v>
      </c>
      <c r="H2534" s="1">
        <v>1.5624899999999999</v>
      </c>
    </row>
    <row r="2535" spans="1:8" x14ac:dyDescent="0.3">
      <c r="A2535" t="e">
        <f t="shared" si="103"/>
        <v>#REF!</v>
      </c>
      <c r="B2535">
        <v>585</v>
      </c>
      <c r="C2535" s="1">
        <v>18.31777240360644</v>
      </c>
      <c r="D2535" s="9">
        <v>16.752500000001021</v>
      </c>
      <c r="E2535" s="1">
        <v>2.25841</v>
      </c>
      <c r="F2535" s="1">
        <v>4.77759</v>
      </c>
      <c r="G2535" s="1">
        <v>12.9587</v>
      </c>
      <c r="H2535" s="1">
        <v>0.82486999999999999</v>
      </c>
    </row>
    <row r="2536" spans="1:8" x14ac:dyDescent="0.3">
      <c r="A2536">
        <f t="shared" si="103"/>
        <v>31</v>
      </c>
      <c r="B2536">
        <v>635</v>
      </c>
      <c r="C2536" s="1">
        <v>18.489999999999998</v>
      </c>
      <c r="D2536" s="9">
        <v>16.79972222222333</v>
      </c>
      <c r="E2536" s="1">
        <v>1.3891199999999999</v>
      </c>
      <c r="F2536" s="1">
        <v>3.75563</v>
      </c>
      <c r="G2536" s="1">
        <v>12.5352</v>
      </c>
      <c r="H2536" s="1">
        <v>0.20091800000000001</v>
      </c>
    </row>
    <row r="2537" spans="1:8" x14ac:dyDescent="0.3">
      <c r="A2537" t="e">
        <f t="shared" si="103"/>
        <v>#REF!</v>
      </c>
      <c r="B2537">
        <v>685</v>
      </c>
      <c r="C2537" s="1">
        <v>18.613481709935591</v>
      </c>
      <c r="D2537" s="9">
        <v>16.84694444444564</v>
      </c>
      <c r="E2537" s="1">
        <v>0.79255600000000004</v>
      </c>
      <c r="F2537" s="1">
        <v>2.9136299999999999</v>
      </c>
      <c r="G2537" s="1">
        <v>12.182499999999999</v>
      </c>
      <c r="H2537" s="1">
        <v>-2.7774400000000001E-2</v>
      </c>
    </row>
    <row r="2538" spans="1:8" x14ac:dyDescent="0.3">
      <c r="A2538">
        <f t="shared" si="103"/>
        <v>22</v>
      </c>
      <c r="B2538">
        <v>735</v>
      </c>
      <c r="C2538" s="1">
        <v>18.771149540419518</v>
      </c>
      <c r="D2538" s="9">
        <v>16.89416666666795</v>
      </c>
      <c r="E2538" s="1">
        <v>0.655219</v>
      </c>
      <c r="F2538" s="1">
        <v>2.4258199999999999</v>
      </c>
      <c r="G2538" s="1">
        <v>12.157500000000001</v>
      </c>
      <c r="H2538" s="1">
        <v>0.39666000000000001</v>
      </c>
    </row>
    <row r="2539" spans="1:8" x14ac:dyDescent="0.3">
      <c r="A2539" t="e">
        <f t="shared" si="103"/>
        <v>#REF!</v>
      </c>
      <c r="B2539">
        <v>785</v>
      </c>
      <c r="C2539" s="1">
        <v>19.020686520168521</v>
      </c>
      <c r="D2539" s="9">
        <v>16.941388888890259</v>
      </c>
      <c r="E2539" s="1">
        <v>0.86123700000000003</v>
      </c>
      <c r="F2539" s="1">
        <v>2.1655000000000002</v>
      </c>
      <c r="G2539" s="1">
        <v>12.4603</v>
      </c>
      <c r="H2539" s="1">
        <v>1.33352</v>
      </c>
    </row>
    <row r="2540" spans="1:8" x14ac:dyDescent="0.3">
      <c r="A2540">
        <f t="shared" si="103"/>
        <v>13</v>
      </c>
      <c r="B2540">
        <v>835</v>
      </c>
      <c r="C2540" s="1">
        <v>19.33469764682777</v>
      </c>
      <c r="D2540" s="9">
        <v>16.988611111112569</v>
      </c>
      <c r="E2540" s="1">
        <v>1.1444399999999999</v>
      </c>
      <c r="F2540" s="1">
        <v>1.8713</v>
      </c>
      <c r="G2540" s="1">
        <v>12.9313</v>
      </c>
      <c r="H2540" s="1">
        <v>2.4141400000000002</v>
      </c>
    </row>
    <row r="2541" spans="1:8" x14ac:dyDescent="0.3">
      <c r="A2541" t="e">
        <f t="shared" si="103"/>
        <v>#REF!</v>
      </c>
      <c r="B2541">
        <v>885</v>
      </c>
      <c r="C2541" s="1">
        <v>19.61666400499788</v>
      </c>
      <c r="D2541" s="9">
        <v>17.035833333334878</v>
      </c>
      <c r="E2541" s="1">
        <v>1.4538500000000001</v>
      </c>
      <c r="F2541" s="1">
        <v>1.6420399999999999</v>
      </c>
      <c r="G2541" s="1">
        <v>13.299300000000001</v>
      </c>
      <c r="H2541" s="1">
        <v>3.2582200000000001</v>
      </c>
    </row>
    <row r="2542" spans="1:8" x14ac:dyDescent="0.3">
      <c r="A2542">
        <f t="shared" si="103"/>
        <v>29</v>
      </c>
      <c r="B2542">
        <v>935</v>
      </c>
      <c r="C2542" s="1">
        <v>19.879873143631091</v>
      </c>
      <c r="D2542" s="9">
        <v>17.083055555557188</v>
      </c>
      <c r="E2542" s="1">
        <v>1.84456</v>
      </c>
      <c r="F2542" s="1">
        <v>1.75404</v>
      </c>
      <c r="G2542" s="1">
        <v>13.271599999999999</v>
      </c>
      <c r="H2542" s="1">
        <v>3.5223300000000002</v>
      </c>
    </row>
    <row r="2543" spans="1:8" x14ac:dyDescent="0.3">
      <c r="A2543" t="e">
        <f t="shared" si="103"/>
        <v>#REF!</v>
      </c>
      <c r="B2543">
        <v>985</v>
      </c>
      <c r="C2543" s="1">
        <v>20.25272210073588</v>
      </c>
      <c r="D2543" s="9">
        <v>17.130277777779497</v>
      </c>
      <c r="E2543" s="1">
        <v>2.20051</v>
      </c>
      <c r="F2543" s="1">
        <v>2.2057600000000002</v>
      </c>
      <c r="G2543" s="1">
        <v>12.964</v>
      </c>
      <c r="H2543" s="1">
        <v>3.2744800000000001</v>
      </c>
    </row>
    <row r="2544" spans="1:8" x14ac:dyDescent="0.3">
      <c r="A2544">
        <f t="shared" si="103"/>
        <v>20</v>
      </c>
      <c r="B2544">
        <v>1035</v>
      </c>
      <c r="C2544" s="1">
        <v>20.681534505887619</v>
      </c>
      <c r="D2544" s="9">
        <v>17.177500000001807</v>
      </c>
      <c r="E2544" s="1">
        <v>2.3337300000000001</v>
      </c>
      <c r="F2544" s="1">
        <v>2.8253900000000001</v>
      </c>
      <c r="G2544" s="1">
        <v>12.7075</v>
      </c>
      <c r="H2544" s="1">
        <v>2.8224900000000002</v>
      </c>
    </row>
    <row r="2545" spans="1:8" x14ac:dyDescent="0.3">
      <c r="A2545" t="e">
        <f t="shared" si="103"/>
        <v>#REF!</v>
      </c>
      <c r="B2545">
        <v>1085</v>
      </c>
      <c r="C2545" s="1">
        <v>21.093914285977259</v>
      </c>
      <c r="D2545" s="9">
        <v>17.224722222224116</v>
      </c>
      <c r="E2545" s="1">
        <v>2.3114300000000001</v>
      </c>
      <c r="F2545" s="1">
        <v>3.3293900000000001</v>
      </c>
      <c r="G2545" s="1">
        <v>12.655099999999999</v>
      </c>
      <c r="H2545" s="1">
        <v>2.5451600000000001</v>
      </c>
    </row>
    <row r="2546" spans="1:8" x14ac:dyDescent="0.3">
      <c r="A2546">
        <f t="shared" si="103"/>
        <v>11</v>
      </c>
      <c r="B2546">
        <v>1135</v>
      </c>
      <c r="C2546" s="1">
        <v>21.44020439855062</v>
      </c>
      <c r="D2546" s="9">
        <v>17.271944444446426</v>
      </c>
      <c r="E2546" s="1">
        <v>2.3201000000000001</v>
      </c>
      <c r="F2546" s="1">
        <v>3.4172199999999999</v>
      </c>
      <c r="G2546" s="1">
        <v>12.836399999999999</v>
      </c>
      <c r="H2546" s="1">
        <v>2.8133300000000001</v>
      </c>
    </row>
    <row r="2547" spans="1:8" x14ac:dyDescent="0.3">
      <c r="A2547" t="e">
        <f t="shared" si="103"/>
        <v>#REF!</v>
      </c>
      <c r="B2547">
        <v>1185</v>
      </c>
      <c r="C2547" s="1">
        <v>21.785861101090191</v>
      </c>
      <c r="D2547" s="9">
        <v>17.319166666668735</v>
      </c>
      <c r="E2547" s="1">
        <v>2.2942</v>
      </c>
      <c r="F2547" s="1">
        <v>3.2269100000000002</v>
      </c>
      <c r="G2547" s="1">
        <v>13.076499999999999</v>
      </c>
      <c r="H2547" s="1">
        <v>3.5475400000000001</v>
      </c>
    </row>
    <row r="2548" spans="1:8" x14ac:dyDescent="0.3">
      <c r="A2548">
        <f t="shared" si="103"/>
        <v>27</v>
      </c>
      <c r="B2548">
        <v>1235</v>
      </c>
      <c r="C2548" s="1">
        <v>22.25595426785096</v>
      </c>
      <c r="D2548" s="9">
        <v>17.366388888891045</v>
      </c>
      <c r="E2548" s="1">
        <v>2.0583900000000002</v>
      </c>
      <c r="F2548" s="1">
        <v>3.1197300000000001</v>
      </c>
      <c r="G2548" s="1">
        <v>13.1196</v>
      </c>
      <c r="H2548" s="1">
        <v>4.4223100000000004</v>
      </c>
    </row>
    <row r="2549" spans="1:8" x14ac:dyDescent="0.3">
      <c r="A2549" t="e">
        <f t="shared" si="103"/>
        <v>#REF!</v>
      </c>
      <c r="B2549">
        <v>1285</v>
      </c>
      <c r="C2549" s="1">
        <v>22.66889521024833</v>
      </c>
      <c r="D2549" s="9">
        <v>17.413611111113354</v>
      </c>
      <c r="E2549" s="1">
        <v>1.7607699999999999</v>
      </c>
      <c r="F2549" s="1">
        <v>3.2248199999999998</v>
      </c>
      <c r="G2549" s="1">
        <v>13.041600000000001</v>
      </c>
      <c r="H2549" s="1">
        <v>5.1786399999999997</v>
      </c>
    </row>
    <row r="2550" spans="1:8" x14ac:dyDescent="0.3">
      <c r="A2550">
        <f t="shared" si="103"/>
        <v>18</v>
      </c>
      <c r="B2550">
        <v>1335</v>
      </c>
      <c r="C2550" s="1">
        <v>23.0124320313083</v>
      </c>
      <c r="D2550" s="9">
        <v>17.460833333335664</v>
      </c>
      <c r="E2550" s="1">
        <v>1.7073</v>
      </c>
      <c r="F2550" s="1">
        <v>3.5296500000000002</v>
      </c>
      <c r="G2550" s="1">
        <v>13.0762</v>
      </c>
      <c r="H2550" s="1">
        <v>5.6246200000000002</v>
      </c>
    </row>
    <row r="2551" spans="1:8" x14ac:dyDescent="0.3">
      <c r="A2551" t="e">
        <f t="shared" si="103"/>
        <v>#REF!</v>
      </c>
      <c r="B2551">
        <v>1385</v>
      </c>
      <c r="C2551" s="1">
        <v>23.185449821125971</v>
      </c>
      <c r="D2551" s="9">
        <v>17.508055555557974</v>
      </c>
      <c r="E2551" s="1">
        <v>1.9625600000000001</v>
      </c>
      <c r="F2551" s="1">
        <v>3.9253399999999998</v>
      </c>
      <c r="G2551" s="1">
        <v>13.170299999999999</v>
      </c>
      <c r="H2551" s="1">
        <v>5.8403499999999999</v>
      </c>
    </row>
    <row r="2552" spans="1:8" x14ac:dyDescent="0.3">
      <c r="A2552">
        <f t="shared" si="103"/>
        <v>34</v>
      </c>
      <c r="B2552">
        <v>1435</v>
      </c>
      <c r="C2552" s="1">
        <v>23.27</v>
      </c>
      <c r="D2552" s="9">
        <v>17.555277777780283</v>
      </c>
      <c r="E2552" s="1">
        <v>2.4404499999999998</v>
      </c>
      <c r="F2552" s="1">
        <v>4.2621700000000002</v>
      </c>
      <c r="G2552" s="1">
        <v>13.136900000000001</v>
      </c>
      <c r="H2552" s="1">
        <v>6.0305</v>
      </c>
    </row>
    <row r="2553" spans="1:8" x14ac:dyDescent="0.3">
      <c r="A2553">
        <f t="shared" si="103"/>
        <v>0</v>
      </c>
      <c r="B2553">
        <v>1485</v>
      </c>
      <c r="C2553" s="1">
        <v>23.17895758372266</v>
      </c>
      <c r="D2553" s="9">
        <v>17.602500000002593</v>
      </c>
      <c r="E2553" s="1">
        <v>2.9182999999999999</v>
      </c>
      <c r="F2553" s="1">
        <v>4.5078899999999997</v>
      </c>
      <c r="G2553" s="1">
        <v>13.0556</v>
      </c>
      <c r="H2553" s="1">
        <v>6.1450100000000001</v>
      </c>
    </row>
    <row r="2554" spans="1:8" x14ac:dyDescent="0.3">
      <c r="A2554">
        <f t="shared" si="103"/>
        <v>25</v>
      </c>
      <c r="B2554">
        <v>1535</v>
      </c>
      <c r="C2554" s="1">
        <v>22.943134700314161</v>
      </c>
      <c r="D2554" s="9">
        <v>17.649722222224902</v>
      </c>
      <c r="E2554" s="1">
        <v>3.1434299999999999</v>
      </c>
      <c r="F2554" s="1">
        <v>4.7112699999999998</v>
      </c>
      <c r="G2554" s="1">
        <v>13.128</v>
      </c>
      <c r="H2554" s="1">
        <v>6.0048500000000002</v>
      </c>
    </row>
    <row r="2555" spans="1:8" x14ac:dyDescent="0.3">
      <c r="A2555" t="e">
        <f t="shared" si="103"/>
        <v>#REF!</v>
      </c>
      <c r="B2555">
        <v>1585</v>
      </c>
      <c r="C2555" s="1">
        <v>22.61282316808111</v>
      </c>
      <c r="D2555" s="9">
        <v>17.696944444447212</v>
      </c>
      <c r="E2555" s="1">
        <v>3.3005900000000001</v>
      </c>
      <c r="F2555" s="1">
        <v>5.0669000000000004</v>
      </c>
      <c r="G2555" s="1">
        <v>13.2888</v>
      </c>
      <c r="H2555" s="1">
        <v>5.5575200000000002</v>
      </c>
    </row>
    <row r="2556" spans="1:8" x14ac:dyDescent="0.3">
      <c r="A2556">
        <f t="shared" si="103"/>
        <v>16</v>
      </c>
      <c r="B2556">
        <v>1635</v>
      </c>
      <c r="C2556" s="1">
        <v>22.22097276974451</v>
      </c>
      <c r="D2556" s="9">
        <v>17.744166666669521</v>
      </c>
      <c r="E2556" s="1">
        <v>3.7765900000000001</v>
      </c>
      <c r="F2556" s="1">
        <v>5.8145800000000003</v>
      </c>
      <c r="G2556" s="1">
        <v>13.347799999999999</v>
      </c>
      <c r="H2556" s="1">
        <v>4.8265599999999997</v>
      </c>
    </row>
    <row r="2557" spans="1:8" x14ac:dyDescent="0.3">
      <c r="A2557" t="e">
        <f t="shared" ref="A2557:A2588" si="104">A2507</f>
        <v>#REF!</v>
      </c>
      <c r="B2557">
        <v>1685</v>
      </c>
      <c r="C2557" s="1">
        <v>21.791647300396662</v>
      </c>
      <c r="D2557" s="9">
        <v>17.791388888891831</v>
      </c>
      <c r="E2557" s="1">
        <v>4.5548900000000003</v>
      </c>
      <c r="F2557" s="1">
        <v>6.8539599999999998</v>
      </c>
      <c r="G2557" s="1">
        <v>13.355700000000001</v>
      </c>
      <c r="H2557" s="1">
        <v>3.8837299999999999</v>
      </c>
    </row>
    <row r="2558" spans="1:8" x14ac:dyDescent="0.3">
      <c r="A2558">
        <f t="shared" si="104"/>
        <v>32</v>
      </c>
      <c r="B2558">
        <v>1735</v>
      </c>
      <c r="C2558" s="1">
        <v>21.35366670184861</v>
      </c>
      <c r="D2558" s="9">
        <v>17.83861111111414</v>
      </c>
      <c r="E2558" s="1">
        <v>5.3817700000000004</v>
      </c>
      <c r="F2558" s="1">
        <v>7.8978599999999997</v>
      </c>
      <c r="G2558" s="1">
        <v>13.471</v>
      </c>
      <c r="H2558" s="1">
        <v>2.8233999999999999</v>
      </c>
    </row>
    <row r="2559" spans="1:8" x14ac:dyDescent="0.3">
      <c r="A2559" t="e">
        <f t="shared" si="104"/>
        <v>#REF!</v>
      </c>
      <c r="B2559">
        <v>1785</v>
      </c>
      <c r="C2559" s="1">
        <v>21.02348165300041</v>
      </c>
      <c r="D2559" s="9">
        <v>17.88583333333645</v>
      </c>
      <c r="E2559" s="1">
        <v>5.8901599999999998</v>
      </c>
      <c r="F2559" s="1">
        <v>8.6810899999999993</v>
      </c>
      <c r="G2559" s="1">
        <v>13.6069</v>
      </c>
      <c r="H2559" s="1">
        <v>1.7059800000000001</v>
      </c>
    </row>
    <row r="2560" spans="1:8" x14ac:dyDescent="0.3">
      <c r="A2560">
        <f t="shared" si="104"/>
        <v>23</v>
      </c>
      <c r="B2560">
        <v>1835</v>
      </c>
      <c r="C2560" s="1">
        <v>20.654007910771622</v>
      </c>
      <c r="D2560" s="9">
        <v>17.933055555558759</v>
      </c>
      <c r="E2560" s="1">
        <v>5.7042299999999999</v>
      </c>
      <c r="F2560" s="1">
        <v>8.9919399999999996</v>
      </c>
      <c r="G2560" s="1">
        <v>13.5703</v>
      </c>
      <c r="H2560" s="1">
        <v>0.56650800000000001</v>
      </c>
    </row>
    <row r="2561" spans="1:8" x14ac:dyDescent="0.3">
      <c r="A2561" t="e">
        <f t="shared" si="104"/>
        <v>#REF!</v>
      </c>
      <c r="B2561">
        <v>1885</v>
      </c>
      <c r="C2561" s="1">
        <v>20.296118256643979</v>
      </c>
      <c r="D2561" s="9">
        <v>17.980277777781069</v>
      </c>
      <c r="E2561" s="1">
        <v>4.9456199999999999</v>
      </c>
      <c r="F2561" s="1">
        <v>8.9985800000000005</v>
      </c>
      <c r="G2561" s="1">
        <v>13.451000000000001</v>
      </c>
      <c r="H2561" s="1">
        <v>-0.62146299999999999</v>
      </c>
    </row>
    <row r="2562" spans="1:8" x14ac:dyDescent="0.3">
      <c r="A2562">
        <f t="shared" si="104"/>
        <v>14</v>
      </c>
      <c r="B2562">
        <v>1935</v>
      </c>
      <c r="C2562" s="1">
        <v>19.871584842208861</v>
      </c>
      <c r="D2562" s="9">
        <v>18.027500000003378</v>
      </c>
      <c r="E2562" s="1">
        <v>4.0051500000000004</v>
      </c>
      <c r="F2562" s="1">
        <v>9.0402699999999996</v>
      </c>
      <c r="G2562" s="1">
        <v>13.4681</v>
      </c>
      <c r="H2562" s="1">
        <v>-1.9052</v>
      </c>
    </row>
    <row r="2563" spans="1:8" x14ac:dyDescent="0.3">
      <c r="A2563" t="e">
        <f t="shared" si="104"/>
        <v>#REF!</v>
      </c>
      <c r="B2563">
        <v>1985</v>
      </c>
      <c r="C2563" s="1">
        <v>19.608184703347689</v>
      </c>
      <c r="D2563" s="9">
        <v>18.074722222225688</v>
      </c>
      <c r="E2563" s="1">
        <v>3.22539</v>
      </c>
      <c r="F2563" s="1">
        <v>9.1014499999999998</v>
      </c>
      <c r="G2563" s="1">
        <v>13.587999999999999</v>
      </c>
      <c r="H2563" s="1">
        <v>-3.21265</v>
      </c>
    </row>
    <row r="2564" spans="1:8" x14ac:dyDescent="0.3">
      <c r="A2564">
        <f t="shared" si="104"/>
        <v>30</v>
      </c>
      <c r="B2564">
        <v>2035</v>
      </c>
      <c r="C2564" s="1">
        <v>19.36</v>
      </c>
      <c r="D2564" s="9">
        <v>18.121944444447998</v>
      </c>
      <c r="E2564" s="1">
        <v>2.87737</v>
      </c>
      <c r="F2564" s="1">
        <v>8.9948200000000007</v>
      </c>
      <c r="G2564" s="1">
        <v>13.6586</v>
      </c>
      <c r="H2564" s="1">
        <v>-4.4105699999999999</v>
      </c>
    </row>
    <row r="2565" spans="1:8" x14ac:dyDescent="0.3">
      <c r="A2565" t="e">
        <f t="shared" si="104"/>
        <v>#REF!</v>
      </c>
      <c r="B2565">
        <v>2085</v>
      </c>
      <c r="C2565" s="1">
        <v>19.23811674609669</v>
      </c>
      <c r="D2565" s="9">
        <v>18.169166666670307</v>
      </c>
      <c r="E2565" s="1">
        <v>2.82477</v>
      </c>
      <c r="F2565" s="1">
        <v>8.7563600000000008</v>
      </c>
      <c r="G2565" s="1">
        <v>13.7195</v>
      </c>
      <c r="H2565" s="1">
        <v>-5.4037899999999999</v>
      </c>
    </row>
    <row r="2566" spans="1:8" x14ac:dyDescent="0.3">
      <c r="A2566">
        <f t="shared" si="104"/>
        <v>21</v>
      </c>
      <c r="B2566">
        <v>2135</v>
      </c>
      <c r="C2566" s="1">
        <v>19.18</v>
      </c>
      <c r="D2566" s="9">
        <v>18.216388888892617</v>
      </c>
      <c r="E2566" s="1">
        <v>2.7452000000000001</v>
      </c>
      <c r="F2566" s="1">
        <v>8.5403599999999997</v>
      </c>
      <c r="G2566" s="1">
        <v>13.8916</v>
      </c>
      <c r="H2566" s="1">
        <v>-6.1112200000000003</v>
      </c>
    </row>
    <row r="2567" spans="1:8" x14ac:dyDescent="0.3">
      <c r="A2567" t="e">
        <f t="shared" si="104"/>
        <v>#REF!</v>
      </c>
      <c r="B2567">
        <v>2185</v>
      </c>
      <c r="C2567" s="1">
        <v>19.149999999999999</v>
      </c>
      <c r="D2567" s="9">
        <v>18.263611111114926</v>
      </c>
      <c r="E2567" s="1">
        <v>2.6537999999999999</v>
      </c>
      <c r="F2567" s="1">
        <v>8.4568200000000004</v>
      </c>
      <c r="G2567" s="1">
        <v>14.067299999999999</v>
      </c>
      <c r="H2567" s="1">
        <v>-6.3870300000000002</v>
      </c>
    </row>
    <row r="2568" spans="1:8" x14ac:dyDescent="0.3">
      <c r="A2568">
        <f t="shared" si="104"/>
        <v>12</v>
      </c>
      <c r="B2568">
        <v>2235</v>
      </c>
      <c r="C2568" s="1">
        <v>19.25749781441975</v>
      </c>
      <c r="D2568" s="9">
        <v>18.310833333337236</v>
      </c>
      <c r="E2568" s="1">
        <v>2.7229100000000002</v>
      </c>
      <c r="F2568" s="1">
        <v>8.5667600000000004</v>
      </c>
      <c r="G2568" s="1">
        <v>14.0444</v>
      </c>
      <c r="H2568" s="1">
        <v>-6.0801299999999996</v>
      </c>
    </row>
    <row r="2569" spans="1:8" x14ac:dyDescent="0.3">
      <c r="A2569" t="e">
        <f t="shared" si="104"/>
        <v>#REF!</v>
      </c>
      <c r="B2569">
        <v>2285</v>
      </c>
      <c r="C2569" s="1">
        <v>19.485801169685129</v>
      </c>
      <c r="D2569" s="9">
        <v>18.358055555559545</v>
      </c>
      <c r="E2569" s="1">
        <v>2.86883</v>
      </c>
      <c r="F2569" s="1">
        <v>8.7062899999999992</v>
      </c>
      <c r="G2569" s="1">
        <v>13.9023</v>
      </c>
      <c r="H2569" s="1">
        <v>-5.31562</v>
      </c>
    </row>
    <row r="2570" spans="1:8" x14ac:dyDescent="0.3">
      <c r="A2570">
        <f t="shared" si="104"/>
        <v>28</v>
      </c>
      <c r="B2570">
        <v>2335</v>
      </c>
      <c r="C2570" s="1">
        <v>19.835559672979759</v>
      </c>
      <c r="D2570" s="9">
        <v>18.405277777781855</v>
      </c>
      <c r="E2570" s="1">
        <v>2.8936899999999999</v>
      </c>
      <c r="F2570" s="1">
        <v>8.6191800000000001</v>
      </c>
      <c r="G2570" s="1">
        <v>13.846500000000001</v>
      </c>
      <c r="H2570" s="1">
        <v>-4.3518999999999997</v>
      </c>
    </row>
    <row r="2571" spans="1:8" x14ac:dyDescent="0.3">
      <c r="A2571" t="e">
        <f t="shared" si="104"/>
        <v>#REF!</v>
      </c>
      <c r="B2571">
        <v>2385</v>
      </c>
      <c r="C2571" s="1">
        <v>20.320978767559431</v>
      </c>
      <c r="D2571" s="9">
        <v>18.452500000004164</v>
      </c>
      <c r="E2571" s="1">
        <v>2.8368799999999998</v>
      </c>
      <c r="F2571" s="1">
        <v>8.3252600000000001</v>
      </c>
      <c r="G2571" s="1">
        <v>13.8338</v>
      </c>
      <c r="H2571" s="1">
        <v>-3.3018200000000002</v>
      </c>
    </row>
    <row r="2572" spans="1:8" x14ac:dyDescent="0.3">
      <c r="A2572">
        <f t="shared" si="104"/>
        <v>19</v>
      </c>
      <c r="B2572">
        <v>2435</v>
      </c>
      <c r="C2572" s="1">
        <v>20.88167425444346</v>
      </c>
      <c r="D2572" s="9">
        <v>18.499722222226474</v>
      </c>
      <c r="E2572" s="1">
        <v>2.8367200000000001</v>
      </c>
      <c r="F2572" s="1">
        <v>7.9970100000000004</v>
      </c>
      <c r="G2572" s="1">
        <v>13.7156</v>
      </c>
      <c r="H2572" s="1">
        <v>-2.1958199999999999</v>
      </c>
    </row>
    <row r="2573" spans="1:8" x14ac:dyDescent="0.3">
      <c r="A2573" t="e">
        <f t="shared" si="104"/>
        <v>#REF!</v>
      </c>
      <c r="B2573">
        <v>2485</v>
      </c>
      <c r="C2573" s="1">
        <v>21.396713268126739</v>
      </c>
      <c r="D2573" s="9">
        <v>18.546944444448783</v>
      </c>
      <c r="E2573" s="1">
        <v>2.7538499999999999</v>
      </c>
      <c r="F2573" s="1">
        <v>7.8287800000000001</v>
      </c>
      <c r="G2573" s="1">
        <v>13.618600000000001</v>
      </c>
      <c r="H2573" s="1">
        <v>-1.03244</v>
      </c>
    </row>
    <row r="2574" spans="1:8" x14ac:dyDescent="0.3">
      <c r="A2574">
        <f t="shared" si="104"/>
        <v>35</v>
      </c>
      <c r="B2574">
        <v>2535</v>
      </c>
      <c r="C2574" s="1">
        <v>21.910202772035209</v>
      </c>
      <c r="D2574" s="9">
        <v>18.594166666671093</v>
      </c>
      <c r="E2574" s="1">
        <v>2.33466</v>
      </c>
      <c r="F2574" s="1">
        <v>7.9870900000000002</v>
      </c>
      <c r="G2574" s="1">
        <v>13.7819</v>
      </c>
      <c r="H2574" s="1">
        <v>0.20085900000000001</v>
      </c>
    </row>
    <row r="2575" spans="1:8" x14ac:dyDescent="0.3">
      <c r="A2575" t="e">
        <f t="shared" si="104"/>
        <v>#REF!</v>
      </c>
      <c r="B2575">
        <v>2585</v>
      </c>
      <c r="C2575" s="1">
        <v>22.310510625848622</v>
      </c>
      <c r="D2575" s="9">
        <v>18.641388888893403</v>
      </c>
      <c r="E2575" s="1">
        <v>1.6569199999999999</v>
      </c>
      <c r="F2575" s="1">
        <v>8.2806099999999994</v>
      </c>
      <c r="G2575" s="1">
        <v>14.109</v>
      </c>
      <c r="H2575" s="1">
        <v>1.4655800000000001</v>
      </c>
    </row>
    <row r="2576" spans="1:8" x14ac:dyDescent="0.3">
      <c r="A2576">
        <f t="shared" si="104"/>
        <v>26</v>
      </c>
      <c r="B2576">
        <v>2635</v>
      </c>
      <c r="C2576" s="1">
        <v>22.633620640182439</v>
      </c>
      <c r="D2576" s="9">
        <v>18.688611111115712</v>
      </c>
      <c r="E2576" s="1">
        <v>0.98160199999999997</v>
      </c>
      <c r="F2576" s="1">
        <v>8.3588799999999992</v>
      </c>
      <c r="G2576" s="1">
        <v>14.334899999999999</v>
      </c>
      <c r="H2576" s="1">
        <v>2.6941199999999998</v>
      </c>
    </row>
    <row r="2577" spans="1:8" x14ac:dyDescent="0.3">
      <c r="A2577" t="e">
        <f t="shared" si="104"/>
        <v>#REF!</v>
      </c>
      <c r="B2577">
        <v>2685</v>
      </c>
      <c r="C2577" s="1">
        <v>23.113137331692251</v>
      </c>
      <c r="D2577" s="9">
        <v>18.735833333338022</v>
      </c>
      <c r="E2577" s="1">
        <v>0.60936000000000001</v>
      </c>
      <c r="F2577" s="1">
        <v>8.1802899999999994</v>
      </c>
      <c r="G2577" s="1">
        <v>14.3002</v>
      </c>
      <c r="H2577" s="1">
        <v>3.80246</v>
      </c>
    </row>
    <row r="2578" spans="1:8" x14ac:dyDescent="0.3">
      <c r="A2578">
        <f t="shared" si="104"/>
        <v>17</v>
      </c>
      <c r="B2578">
        <v>2735</v>
      </c>
      <c r="C2578" s="1">
        <v>23.539474718571778</v>
      </c>
      <c r="D2578" s="9">
        <v>18.783055555560331</v>
      </c>
      <c r="E2578" s="1">
        <v>0.81842800000000004</v>
      </c>
      <c r="F2578" s="1">
        <v>7.8890799999999999</v>
      </c>
      <c r="G2578" s="1">
        <v>13.9335</v>
      </c>
      <c r="H2578" s="1">
        <v>4.7014300000000002</v>
      </c>
    </row>
    <row r="2579" spans="1:8" x14ac:dyDescent="0.3">
      <c r="A2579" t="e">
        <f t="shared" si="104"/>
        <v>#REF!</v>
      </c>
      <c r="B2579">
        <v>2785</v>
      </c>
      <c r="C2579" s="1">
        <v>23.915617505204661</v>
      </c>
      <c r="D2579" s="9">
        <v>18.830277777782641</v>
      </c>
      <c r="E2579" s="1">
        <v>1.49783</v>
      </c>
      <c r="F2579" s="1">
        <v>7.80321</v>
      </c>
      <c r="G2579" s="1">
        <v>13.434699999999999</v>
      </c>
      <c r="H2579" s="1">
        <v>5.3329700000000004</v>
      </c>
    </row>
    <row r="2580" spans="1:8" x14ac:dyDescent="0.3">
      <c r="A2580">
        <f t="shared" si="104"/>
        <v>33</v>
      </c>
      <c r="B2580">
        <v>2835</v>
      </c>
      <c r="C2580" s="1">
        <v>24.136474866876259</v>
      </c>
      <c r="D2580" s="9">
        <v>18.87750000000495</v>
      </c>
      <c r="E2580" s="1">
        <v>2.3297099999999999</v>
      </c>
      <c r="F2580" s="1">
        <v>8.2900399999999994</v>
      </c>
      <c r="G2580" s="1">
        <v>13.136699999999999</v>
      </c>
      <c r="H2580" s="1">
        <v>5.67502</v>
      </c>
    </row>
    <row r="2581" spans="1:8" x14ac:dyDescent="0.3">
      <c r="A2581" t="e">
        <f t="shared" si="104"/>
        <v>#REF!</v>
      </c>
      <c r="B2581">
        <v>2885</v>
      </c>
      <c r="C2581" s="1">
        <v>24.32</v>
      </c>
      <c r="D2581" s="9">
        <v>18.92472222222726</v>
      </c>
      <c r="E2581" s="1">
        <v>3.00447</v>
      </c>
      <c r="F2581" s="1">
        <v>9.32761</v>
      </c>
      <c r="G2581" s="1">
        <v>13.2729</v>
      </c>
      <c r="H2581" s="1">
        <v>5.88103</v>
      </c>
    </row>
    <row r="2582" spans="1:8" x14ac:dyDescent="0.3">
      <c r="A2582">
        <f t="shared" si="104"/>
        <v>24</v>
      </c>
      <c r="B2582">
        <v>2935</v>
      </c>
      <c r="C2582" s="1">
        <v>24.22</v>
      </c>
      <c r="D2582" s="9">
        <v>18.971944444449569</v>
      </c>
      <c r="E2582" s="1">
        <v>3.2703899999999999</v>
      </c>
      <c r="F2582" s="1">
        <v>10.6759</v>
      </c>
      <c r="G2582" s="1">
        <v>13.9894</v>
      </c>
      <c r="H2582" s="1">
        <v>6.1702399999999997</v>
      </c>
    </row>
    <row r="2583" spans="1:8" x14ac:dyDescent="0.3">
      <c r="A2583" t="e">
        <f t="shared" si="104"/>
        <v>#REF!</v>
      </c>
      <c r="B2583">
        <v>2985</v>
      </c>
      <c r="C2583" s="1">
        <v>24.049646139818101</v>
      </c>
      <c r="D2583" s="9">
        <v>19.019166666671879</v>
      </c>
      <c r="E2583" s="1">
        <v>3.3511000000000002</v>
      </c>
      <c r="F2583" s="1">
        <v>12.006500000000001</v>
      </c>
      <c r="G2583" s="1">
        <v>15.1286</v>
      </c>
      <c r="H2583" s="1">
        <v>6.5236799999999997</v>
      </c>
    </row>
    <row r="2584" spans="1:8" x14ac:dyDescent="0.3">
      <c r="A2584">
        <f t="shared" si="104"/>
        <v>15</v>
      </c>
      <c r="B2584">
        <v>3035</v>
      </c>
      <c r="C2584" s="1">
        <v>23.91258892036511</v>
      </c>
      <c r="D2584" s="9">
        <v>19.066388888894188</v>
      </c>
      <c r="E2584" s="1">
        <v>3.68668</v>
      </c>
      <c r="F2584" s="1">
        <v>12.9567</v>
      </c>
      <c r="G2584" s="1">
        <v>16.371300000000002</v>
      </c>
      <c r="H2584" s="1">
        <v>6.8202999999999996</v>
      </c>
    </row>
    <row r="2585" spans="1:8" x14ac:dyDescent="0.3">
      <c r="A2585" t="e">
        <f t="shared" si="104"/>
        <v>#REF!</v>
      </c>
      <c r="B2585">
        <v>3085</v>
      </c>
      <c r="C2585" s="1">
        <v>23.66634695422675</v>
      </c>
      <c r="D2585" s="9">
        <v>19.113611111116498</v>
      </c>
      <c r="E2585" s="1">
        <v>4.3888699999999998</v>
      </c>
      <c r="F2585" s="1">
        <v>13.282999999999999</v>
      </c>
      <c r="G2585" s="1">
        <v>17.389600000000002</v>
      </c>
      <c r="H2585" s="1">
        <v>7.1509499999999999</v>
      </c>
    </row>
    <row r="2586" spans="1:8" x14ac:dyDescent="0.3">
      <c r="A2586">
        <f t="shared" si="104"/>
        <v>31</v>
      </c>
      <c r="B2586">
        <v>3135</v>
      </c>
      <c r="C2586" s="1">
        <v>23.277228795064051</v>
      </c>
      <c r="D2586" s="9">
        <v>19.160833333338807</v>
      </c>
      <c r="E2586" s="1">
        <v>5.3769400000000003</v>
      </c>
      <c r="F2586" s="1">
        <v>12.860900000000001</v>
      </c>
      <c r="G2586" s="1">
        <v>17.898399999999999</v>
      </c>
      <c r="H2586" s="1">
        <v>7.6976800000000001</v>
      </c>
    </row>
    <row r="2587" spans="1:8" x14ac:dyDescent="0.3">
      <c r="A2587" t="e">
        <f t="shared" si="104"/>
        <v>#REF!</v>
      </c>
      <c r="B2587">
        <v>3185</v>
      </c>
      <c r="C2587" s="1">
        <v>22.89625384870153</v>
      </c>
      <c r="D2587" s="9">
        <v>19.208055555561117</v>
      </c>
      <c r="E2587" s="1">
        <v>6.4596999999999998</v>
      </c>
      <c r="F2587" s="1">
        <v>11.906700000000001</v>
      </c>
      <c r="G2587" s="1">
        <v>17.9102</v>
      </c>
      <c r="H2587" s="1">
        <v>8.5133500000000009</v>
      </c>
    </row>
    <row r="2588" spans="1:8" x14ac:dyDescent="0.3">
      <c r="A2588">
        <f t="shared" si="104"/>
        <v>22</v>
      </c>
      <c r="B2588">
        <v>3235</v>
      </c>
      <c r="C2588" s="1">
        <v>22.535765736576199</v>
      </c>
      <c r="D2588" s="9">
        <v>19.255277777783427</v>
      </c>
      <c r="E2588" s="1">
        <v>7.4262600000000001</v>
      </c>
      <c r="F2588" s="1">
        <v>10.7875</v>
      </c>
      <c r="G2588" s="1">
        <v>17.587700000000002</v>
      </c>
      <c r="H2588" s="1">
        <v>9.5788799999999998</v>
      </c>
    </row>
    <row r="2589" spans="1:8" x14ac:dyDescent="0.3">
      <c r="A2589" t="e">
        <f t="shared" ref="A2589:A2595" si="105">A2539</f>
        <v>#REF!</v>
      </c>
      <c r="B2589">
        <v>3285</v>
      </c>
      <c r="C2589" s="1">
        <v>22.12201154029032</v>
      </c>
      <c r="D2589" s="9">
        <v>19.302500000005736</v>
      </c>
      <c r="E2589" s="1">
        <v>8.3338999999999999</v>
      </c>
      <c r="F2589" s="1">
        <v>9.8851700000000005</v>
      </c>
      <c r="G2589" s="1">
        <v>17.1614</v>
      </c>
      <c r="H2589" s="1">
        <v>10.8309</v>
      </c>
    </row>
    <row r="2590" spans="1:8" x14ac:dyDescent="0.3">
      <c r="A2590">
        <f t="shared" si="105"/>
        <v>13</v>
      </c>
      <c r="B2590">
        <v>3335</v>
      </c>
      <c r="C2590" s="1">
        <v>21.77777137187141</v>
      </c>
      <c r="D2590" s="9">
        <v>19.349722222228046</v>
      </c>
      <c r="E2590" s="1">
        <v>9.6000099999999993</v>
      </c>
      <c r="F2590" s="1">
        <v>10.1706</v>
      </c>
      <c r="G2590" s="1">
        <v>17.081</v>
      </c>
      <c r="H2590" s="1">
        <v>12.2287</v>
      </c>
    </row>
    <row r="2591" spans="1:8" x14ac:dyDescent="0.3">
      <c r="A2591" t="e">
        <f t="shared" si="105"/>
        <v>#REF!</v>
      </c>
      <c r="B2591">
        <v>3385</v>
      </c>
      <c r="C2591" s="1">
        <v>21.481358133354739</v>
      </c>
      <c r="D2591" s="9">
        <v>19.396944444450355</v>
      </c>
      <c r="E2591" s="1">
        <v>11.299899999999999</v>
      </c>
      <c r="F2591" s="1">
        <v>11.572800000000001</v>
      </c>
      <c r="G2591" s="1">
        <v>17.309000000000001</v>
      </c>
      <c r="H2591" s="1">
        <v>13.659700000000001</v>
      </c>
    </row>
    <row r="2592" spans="1:8" x14ac:dyDescent="0.3">
      <c r="A2592">
        <f t="shared" si="105"/>
        <v>29</v>
      </c>
      <c r="B2592">
        <v>3435</v>
      </c>
      <c r="C2592" s="1">
        <v>21.107989469677719</v>
      </c>
      <c r="D2592" s="9">
        <v>19.444166666672665</v>
      </c>
      <c r="E2592" s="1">
        <v>13.1493</v>
      </c>
      <c r="F2592" s="1">
        <v>13.280200000000001</v>
      </c>
      <c r="G2592" s="1">
        <v>17.678000000000001</v>
      </c>
      <c r="H2592" s="1">
        <v>15.0642</v>
      </c>
    </row>
    <row r="2593" spans="1:8" x14ac:dyDescent="0.3">
      <c r="A2593" t="e">
        <f t="shared" si="105"/>
        <v>#REF!</v>
      </c>
      <c r="B2593">
        <v>3485</v>
      </c>
      <c r="C2593" s="1">
        <v>20.589862097480282</v>
      </c>
      <c r="D2593" s="9">
        <v>19.491388888894974</v>
      </c>
      <c r="E2593" s="1">
        <v>15.069000000000001</v>
      </c>
      <c r="F2593" s="1">
        <v>15.127599999999999</v>
      </c>
      <c r="G2593" s="1">
        <v>18.166899999999998</v>
      </c>
      <c r="H2593" s="1">
        <v>16.450900000000001</v>
      </c>
    </row>
    <row r="2594" spans="1:8" x14ac:dyDescent="0.3">
      <c r="A2594">
        <f t="shared" si="105"/>
        <v>20</v>
      </c>
      <c r="B2594">
        <v>3535</v>
      </c>
      <c r="C2594" s="1">
        <v>20.142987317133681</v>
      </c>
      <c r="D2594" s="9">
        <v>19.538611111117284</v>
      </c>
      <c r="E2594" s="1">
        <v>17.025600000000001</v>
      </c>
      <c r="F2594" s="1">
        <v>17.046900000000001</v>
      </c>
      <c r="G2594" s="1">
        <v>18.746300000000002</v>
      </c>
      <c r="H2594" s="1">
        <v>17.825600000000001</v>
      </c>
    </row>
    <row r="2595" spans="1:8" x14ac:dyDescent="0.3">
      <c r="A2595" t="e">
        <f t="shared" si="105"/>
        <v>#REF!</v>
      </c>
      <c r="B2595">
        <v>3585</v>
      </c>
      <c r="C2595" s="1">
        <v>19.730376146264259</v>
      </c>
      <c r="D2595" s="9">
        <v>19.585833333339593</v>
      </c>
      <c r="E2595" s="1">
        <v>19.003699999999998</v>
      </c>
      <c r="F2595" s="1">
        <v>19.006799999999998</v>
      </c>
      <c r="G2595" s="1">
        <v>19.394500000000001</v>
      </c>
      <c r="H2595" s="1">
        <v>19.191500000000001</v>
      </c>
    </row>
    <row r="2596" spans="1:8" x14ac:dyDescent="0.3">
      <c r="A2596">
        <v>36</v>
      </c>
      <c r="B2596">
        <v>36</v>
      </c>
      <c r="C2596" s="1">
        <v>16.177271744267379</v>
      </c>
      <c r="D2596" s="9">
        <v>16.234000000000062</v>
      </c>
      <c r="E2596" s="1">
        <v>14.867100000000001</v>
      </c>
      <c r="F2596" s="1">
        <v>14.7784</v>
      </c>
      <c r="G2596" s="1">
        <v>15.765700000000001</v>
      </c>
      <c r="H2596" s="1">
        <v>14.8573</v>
      </c>
    </row>
    <row r="2597" spans="1:8" x14ac:dyDescent="0.3">
      <c r="A2597" t="e">
        <f t="shared" ref="A2597:A2628" si="106">A2547</f>
        <v>#REF!</v>
      </c>
      <c r="B2597">
        <v>86</v>
      </c>
      <c r="C2597" s="1">
        <v>16.226044051207591</v>
      </c>
      <c r="D2597" s="9">
        <v>16.281222222222372</v>
      </c>
      <c r="E2597" s="1">
        <v>13.036199999999999</v>
      </c>
      <c r="F2597" s="1">
        <v>12.829700000000001</v>
      </c>
      <c r="G2597" s="1">
        <v>15.210800000000001</v>
      </c>
      <c r="H2597" s="1">
        <v>12.984500000000001</v>
      </c>
    </row>
    <row r="2598" spans="1:8" x14ac:dyDescent="0.3">
      <c r="A2598">
        <f t="shared" si="106"/>
        <v>27</v>
      </c>
      <c r="B2598">
        <v>136</v>
      </c>
      <c r="C2598" s="1">
        <v>16.376894001462251</v>
      </c>
      <c r="D2598" s="9">
        <v>16.328444444444681</v>
      </c>
      <c r="E2598" s="1">
        <v>11.238200000000001</v>
      </c>
      <c r="F2598" s="1">
        <v>10.929600000000001</v>
      </c>
      <c r="G2598" s="1">
        <v>14.7248</v>
      </c>
      <c r="H2598" s="1">
        <v>11.101800000000001</v>
      </c>
    </row>
    <row r="2599" spans="1:8" x14ac:dyDescent="0.3">
      <c r="A2599" t="e">
        <f t="shared" si="106"/>
        <v>#REF!</v>
      </c>
      <c r="B2599">
        <v>186</v>
      </c>
      <c r="C2599" s="1">
        <v>16.683147918679779</v>
      </c>
      <c r="D2599" s="9">
        <v>16.375666666666991</v>
      </c>
      <c r="E2599" s="1">
        <v>9.4906699999999997</v>
      </c>
      <c r="F2599" s="1">
        <v>9.1178100000000004</v>
      </c>
      <c r="G2599" s="1">
        <v>14.3248</v>
      </c>
      <c r="H2599" s="1">
        <v>9.2091999999999992</v>
      </c>
    </row>
    <row r="2600" spans="1:8" x14ac:dyDescent="0.3">
      <c r="A2600">
        <f t="shared" si="106"/>
        <v>18</v>
      </c>
      <c r="B2600">
        <v>236</v>
      </c>
      <c r="C2600" s="1">
        <v>16.87</v>
      </c>
      <c r="D2600" s="9">
        <v>16.4228888888893</v>
      </c>
      <c r="E2600" s="1">
        <v>7.8267300000000004</v>
      </c>
      <c r="F2600" s="1">
        <v>7.4844499999999998</v>
      </c>
      <c r="G2600" s="1">
        <v>14.023999999999999</v>
      </c>
      <c r="H2600" s="1">
        <v>7.3127899999999997</v>
      </c>
    </row>
    <row r="2601" spans="1:8" x14ac:dyDescent="0.3">
      <c r="A2601" t="e">
        <f t="shared" si="106"/>
        <v>#REF!</v>
      </c>
      <c r="B2601">
        <v>286</v>
      </c>
      <c r="C2601" s="1">
        <v>17.035775511369039</v>
      </c>
      <c r="D2601" s="9">
        <v>16.47011111111161</v>
      </c>
      <c r="E2601" s="1">
        <v>6.3380000000000001</v>
      </c>
      <c r="F2601" s="1">
        <v>6.3111499999999996</v>
      </c>
      <c r="G2601" s="1">
        <v>13.811</v>
      </c>
      <c r="H2601" s="1">
        <v>5.4812799999999999</v>
      </c>
    </row>
    <row r="2602" spans="1:8" x14ac:dyDescent="0.3">
      <c r="A2602">
        <f t="shared" si="106"/>
        <v>34</v>
      </c>
      <c r="B2602">
        <v>336</v>
      </c>
      <c r="C2602" s="1">
        <v>17.248247323361351</v>
      </c>
      <c r="D2602" s="9">
        <v>16.517333333333919</v>
      </c>
      <c r="E2602" s="1">
        <v>5.3437700000000001</v>
      </c>
      <c r="F2602" s="1">
        <v>6.3026799999999996</v>
      </c>
      <c r="G2602" s="1">
        <v>13.926299999999999</v>
      </c>
      <c r="H2602" s="1">
        <v>4.13612</v>
      </c>
    </row>
    <row r="2603" spans="1:8" x14ac:dyDescent="0.3">
      <c r="A2603">
        <f t="shared" si="106"/>
        <v>0</v>
      </c>
      <c r="B2603">
        <v>386</v>
      </c>
      <c r="C2603" s="1">
        <v>17.483869207548359</v>
      </c>
      <c r="D2603" s="9">
        <v>16.564555555556229</v>
      </c>
      <c r="E2603" s="1">
        <v>4.6723999999999997</v>
      </c>
      <c r="F2603" s="1">
        <v>6.6317899999999996</v>
      </c>
      <c r="G2603" s="1">
        <v>14.071999999999999</v>
      </c>
      <c r="H2603" s="1">
        <v>3.19015</v>
      </c>
    </row>
    <row r="2604" spans="1:8" x14ac:dyDescent="0.3">
      <c r="A2604">
        <f t="shared" si="106"/>
        <v>25</v>
      </c>
      <c r="B2604">
        <v>436</v>
      </c>
      <c r="C2604" s="1">
        <v>17.745711075802081</v>
      </c>
      <c r="D2604" s="9">
        <v>16.611777777778538</v>
      </c>
      <c r="E2604" s="1">
        <v>4.2413699999999999</v>
      </c>
      <c r="F2604" s="1">
        <v>6.7314400000000001</v>
      </c>
      <c r="G2604" s="1">
        <v>13.9535</v>
      </c>
      <c r="H2604" s="1">
        <v>2.6004999999999998</v>
      </c>
    </row>
    <row r="2605" spans="1:8" x14ac:dyDescent="0.3">
      <c r="A2605" t="e">
        <f t="shared" si="106"/>
        <v>#REF!</v>
      </c>
      <c r="B2605">
        <v>486</v>
      </c>
      <c r="C2605" s="1">
        <v>17.924910425856559</v>
      </c>
      <c r="D2605" s="9">
        <v>16.659000000000848</v>
      </c>
      <c r="E2605" s="1">
        <v>3.8329300000000002</v>
      </c>
      <c r="F2605" s="1">
        <v>6.44564</v>
      </c>
      <c r="G2605" s="1">
        <v>13.6318</v>
      </c>
      <c r="H2605" s="1">
        <v>2.1576599999999999</v>
      </c>
    </row>
    <row r="2606" spans="1:8" x14ac:dyDescent="0.3">
      <c r="A2606">
        <f t="shared" si="106"/>
        <v>16</v>
      </c>
      <c r="B2606">
        <v>536</v>
      </c>
      <c r="C2606" s="1">
        <v>18.09798699754559</v>
      </c>
      <c r="D2606" s="9">
        <v>16.706222222223158</v>
      </c>
      <c r="E2606" s="1">
        <v>3.1471499999999999</v>
      </c>
      <c r="F2606" s="1">
        <v>5.7407300000000001</v>
      </c>
      <c r="G2606" s="1">
        <v>13.295199999999999</v>
      </c>
      <c r="H2606" s="1">
        <v>1.54826</v>
      </c>
    </row>
    <row r="2607" spans="1:8" x14ac:dyDescent="0.3">
      <c r="A2607" t="e">
        <f t="shared" si="106"/>
        <v>#REF!</v>
      </c>
      <c r="B2607">
        <v>586</v>
      </c>
      <c r="C2607" s="1">
        <v>18.322036003355091</v>
      </c>
      <c r="D2607" s="9">
        <v>16.753444444445467</v>
      </c>
      <c r="E2607" s="1">
        <v>2.2397999999999998</v>
      </c>
      <c r="F2607" s="1">
        <v>4.7567500000000003</v>
      </c>
      <c r="G2607" s="1">
        <v>12.9511</v>
      </c>
      <c r="H2607" s="1">
        <v>0.81041700000000005</v>
      </c>
    </row>
    <row r="2608" spans="1:8" x14ac:dyDescent="0.3">
      <c r="A2608">
        <f t="shared" si="106"/>
        <v>32</v>
      </c>
      <c r="B2608">
        <v>636</v>
      </c>
      <c r="C2608" s="1">
        <v>18.489999999999998</v>
      </c>
      <c r="D2608" s="9">
        <v>16.800666666667777</v>
      </c>
      <c r="E2608" s="1">
        <v>1.3737900000000001</v>
      </c>
      <c r="F2608" s="1">
        <v>3.7363400000000002</v>
      </c>
      <c r="G2608" s="1">
        <v>12.5265</v>
      </c>
      <c r="H2608" s="1">
        <v>0.19147800000000001</v>
      </c>
    </row>
    <row r="2609" spans="1:8" x14ac:dyDescent="0.3">
      <c r="A2609" t="e">
        <f t="shared" si="106"/>
        <v>#REF!</v>
      </c>
      <c r="B2609">
        <v>686</v>
      </c>
      <c r="C2609" s="1">
        <v>18.62064224999417</v>
      </c>
      <c r="D2609" s="9">
        <v>16.847888888890086</v>
      </c>
      <c r="E2609" s="1">
        <v>0.78489799999999998</v>
      </c>
      <c r="F2609" s="1">
        <v>2.9000300000000001</v>
      </c>
      <c r="G2609" s="1">
        <v>12.178100000000001</v>
      </c>
      <c r="H2609" s="1">
        <v>-2.6269000000000001E-2</v>
      </c>
    </row>
    <row r="2610" spans="1:8" x14ac:dyDescent="0.3">
      <c r="A2610">
        <f t="shared" si="106"/>
        <v>23</v>
      </c>
      <c r="B2610">
        <v>736</v>
      </c>
      <c r="C2610" s="1">
        <v>18.77507757875717</v>
      </c>
      <c r="D2610" s="9">
        <v>16.895111111112396</v>
      </c>
      <c r="E2610" s="1">
        <v>0.65692200000000001</v>
      </c>
      <c r="F2610" s="1">
        <v>2.4193600000000002</v>
      </c>
      <c r="G2610" s="1">
        <v>12.1609</v>
      </c>
      <c r="H2610" s="1">
        <v>0.41158499999999998</v>
      </c>
    </row>
    <row r="2611" spans="1:8" x14ac:dyDescent="0.3">
      <c r="A2611" t="e">
        <f t="shared" si="106"/>
        <v>#REF!</v>
      </c>
      <c r="B2611">
        <v>786</v>
      </c>
      <c r="C2611" s="1">
        <v>19.034705866306069</v>
      </c>
      <c r="D2611" s="9">
        <v>16.942333333334705</v>
      </c>
      <c r="E2611" s="1">
        <v>0.86688699999999996</v>
      </c>
      <c r="F2611" s="1">
        <v>2.1605699999999999</v>
      </c>
      <c r="G2611" s="1">
        <v>12.4686</v>
      </c>
      <c r="H2611" s="1">
        <v>1.35497</v>
      </c>
    </row>
    <row r="2612" spans="1:8" x14ac:dyDescent="0.3">
      <c r="A2612">
        <f t="shared" si="106"/>
        <v>14</v>
      </c>
      <c r="B2612">
        <v>836</v>
      </c>
      <c r="C2612" s="1">
        <v>19.338705775312341</v>
      </c>
      <c r="D2612" s="9">
        <v>16.989555555557015</v>
      </c>
      <c r="E2612" s="1">
        <v>1.1501399999999999</v>
      </c>
      <c r="F2612" s="1">
        <v>1.8650800000000001</v>
      </c>
      <c r="G2612" s="1">
        <v>12.9407</v>
      </c>
      <c r="H2612" s="1">
        <v>2.4346199999999998</v>
      </c>
    </row>
    <row r="2613" spans="1:8" x14ac:dyDescent="0.3">
      <c r="A2613" t="e">
        <f t="shared" si="106"/>
        <v>#REF!</v>
      </c>
      <c r="B2613">
        <v>886</v>
      </c>
      <c r="C2613" s="1">
        <v>19.622471868231091</v>
      </c>
      <c r="D2613" s="9">
        <v>17.036777777779324</v>
      </c>
      <c r="E2613" s="1">
        <v>1.4608000000000001</v>
      </c>
      <c r="F2613" s="1">
        <v>1.6402000000000001</v>
      </c>
      <c r="G2613" s="1">
        <v>13.3033</v>
      </c>
      <c r="H2613" s="1">
        <v>3.2700399999999998</v>
      </c>
    </row>
    <row r="2614" spans="1:8" x14ac:dyDescent="0.3">
      <c r="A2614">
        <f t="shared" si="106"/>
        <v>30</v>
      </c>
      <c r="B2614">
        <v>936</v>
      </c>
      <c r="C2614" s="1">
        <v>19.88839371113783</v>
      </c>
      <c r="D2614" s="9">
        <v>17.084000000001634</v>
      </c>
      <c r="E2614" s="1">
        <v>1.8527199999999999</v>
      </c>
      <c r="F2614" s="1">
        <v>1.7602599999999999</v>
      </c>
      <c r="G2614" s="1">
        <v>13.266999999999999</v>
      </c>
      <c r="H2614" s="1">
        <v>3.5214099999999999</v>
      </c>
    </row>
    <row r="2615" spans="1:8" x14ac:dyDescent="0.3">
      <c r="A2615" t="e">
        <f t="shared" si="106"/>
        <v>#REF!</v>
      </c>
      <c r="B2615">
        <v>986</v>
      </c>
      <c r="C2615" s="1">
        <v>20.26179576985546</v>
      </c>
      <c r="D2615" s="9">
        <v>17.131222222223943</v>
      </c>
      <c r="E2615" s="1">
        <v>2.20581</v>
      </c>
      <c r="F2615" s="1">
        <v>2.2171599999999998</v>
      </c>
      <c r="G2615" s="1">
        <v>12.9574</v>
      </c>
      <c r="H2615" s="1">
        <v>3.2663600000000002</v>
      </c>
    </row>
    <row r="2616" spans="1:8" x14ac:dyDescent="0.3">
      <c r="A2616">
        <f t="shared" si="106"/>
        <v>21</v>
      </c>
      <c r="B2616">
        <v>1036</v>
      </c>
      <c r="C2616" s="1">
        <v>20.686192428081689</v>
      </c>
      <c r="D2616" s="9">
        <v>17.178444444446253</v>
      </c>
      <c r="E2616" s="1">
        <v>2.3341099999999999</v>
      </c>
      <c r="F2616" s="1">
        <v>2.8377500000000002</v>
      </c>
      <c r="G2616" s="1">
        <v>12.7043</v>
      </c>
      <c r="H2616" s="1">
        <v>2.8138399999999999</v>
      </c>
    </row>
    <row r="2617" spans="1:8" x14ac:dyDescent="0.3">
      <c r="A2617" t="e">
        <f t="shared" si="106"/>
        <v>#REF!</v>
      </c>
      <c r="B2617">
        <v>1086</v>
      </c>
      <c r="C2617" s="1">
        <v>21.09851613407945</v>
      </c>
      <c r="D2617" s="9">
        <v>17.225666666668562</v>
      </c>
      <c r="E2617" s="1">
        <v>2.3108499999999998</v>
      </c>
      <c r="F2617" s="1">
        <v>3.3359200000000002</v>
      </c>
      <c r="G2617" s="1">
        <v>12.656499999999999</v>
      </c>
      <c r="H2617" s="1">
        <v>2.54426</v>
      </c>
    </row>
    <row r="2618" spans="1:8" x14ac:dyDescent="0.3">
      <c r="A2618">
        <f t="shared" si="106"/>
        <v>12</v>
      </c>
      <c r="B2618">
        <v>1136</v>
      </c>
      <c r="C2618" s="1">
        <v>21.444214442573919</v>
      </c>
      <c r="D2618" s="9">
        <v>17.272888888890872</v>
      </c>
      <c r="E2618" s="1">
        <v>2.3206099999999998</v>
      </c>
      <c r="F2618" s="1">
        <v>3.4148800000000001</v>
      </c>
      <c r="G2618" s="1">
        <v>12.8416</v>
      </c>
      <c r="H2618" s="1">
        <v>2.8245399999999998</v>
      </c>
    </row>
    <row r="2619" spans="1:8" x14ac:dyDescent="0.3">
      <c r="A2619" t="e">
        <f t="shared" si="106"/>
        <v>#REF!</v>
      </c>
      <c r="B2619">
        <v>1186</v>
      </c>
      <c r="C2619" s="1">
        <v>21.796991828059209</v>
      </c>
      <c r="D2619" s="9">
        <v>17.320111111113182</v>
      </c>
      <c r="E2619" s="1">
        <v>2.2919</v>
      </c>
      <c r="F2619" s="1">
        <v>3.2229100000000002</v>
      </c>
      <c r="G2619" s="1">
        <v>13.0799</v>
      </c>
      <c r="H2619" s="1">
        <v>3.5647000000000002</v>
      </c>
    </row>
    <row r="2620" spans="1:8" x14ac:dyDescent="0.3">
      <c r="A2620">
        <f t="shared" si="106"/>
        <v>28</v>
      </c>
      <c r="B2620">
        <v>1236</v>
      </c>
      <c r="C2620" s="1">
        <v>22.262369199137151</v>
      </c>
      <c r="D2620" s="9">
        <v>17.367333333335491</v>
      </c>
      <c r="E2620" s="1">
        <v>2.0519500000000002</v>
      </c>
      <c r="F2620" s="1">
        <v>3.1197499999999998</v>
      </c>
      <c r="G2620" s="1">
        <v>13.1183</v>
      </c>
      <c r="H2620" s="1">
        <v>4.43933</v>
      </c>
    </row>
    <row r="2621" spans="1:8" x14ac:dyDescent="0.3">
      <c r="A2621" t="e">
        <f t="shared" si="106"/>
        <v>#REF!</v>
      </c>
      <c r="B2621">
        <v>1286</v>
      </c>
      <c r="C2621" s="1">
        <v>22.681167771523342</v>
      </c>
      <c r="D2621" s="9">
        <v>17.414555555557801</v>
      </c>
      <c r="E2621" s="1">
        <v>1.7564599999999999</v>
      </c>
      <c r="F2621" s="1">
        <v>3.2290800000000002</v>
      </c>
      <c r="G2621" s="1">
        <v>13.0406</v>
      </c>
      <c r="H2621" s="1">
        <v>5.1910400000000001</v>
      </c>
    </row>
    <row r="2622" spans="1:8" x14ac:dyDescent="0.3">
      <c r="A2622">
        <f t="shared" si="106"/>
        <v>19</v>
      </c>
      <c r="B2622">
        <v>1336</v>
      </c>
      <c r="C2622" s="1">
        <v>23.0203616145624</v>
      </c>
      <c r="D2622" s="9">
        <v>17.46177777778011</v>
      </c>
      <c r="E2622" s="1">
        <v>1.7096100000000001</v>
      </c>
      <c r="F2622" s="1">
        <v>3.53721</v>
      </c>
      <c r="G2622" s="1">
        <v>13.078200000000001</v>
      </c>
      <c r="H2622" s="1">
        <v>5.6304299999999996</v>
      </c>
    </row>
    <row r="2623" spans="1:8" x14ac:dyDescent="0.3">
      <c r="A2623" t="e">
        <f t="shared" si="106"/>
        <v>#REF!</v>
      </c>
      <c r="B2623">
        <v>1386</v>
      </c>
      <c r="C2623" s="1">
        <v>23.18963400907969</v>
      </c>
      <c r="D2623" s="9">
        <v>17.50900000000242</v>
      </c>
      <c r="E2623" s="1">
        <v>1.9703200000000001</v>
      </c>
      <c r="F2623" s="1">
        <v>3.9330699999999998</v>
      </c>
      <c r="G2623" s="1">
        <v>13.1714</v>
      </c>
      <c r="H2623" s="1">
        <v>5.8438999999999997</v>
      </c>
    </row>
    <row r="2624" spans="1:8" x14ac:dyDescent="0.3">
      <c r="A2624">
        <f t="shared" si="106"/>
        <v>35</v>
      </c>
      <c r="B2624">
        <v>1436</v>
      </c>
      <c r="C2624" s="1">
        <v>23.27</v>
      </c>
      <c r="D2624" s="9">
        <v>17.556222222224729</v>
      </c>
      <c r="E2624" s="1">
        <v>2.4510000000000001</v>
      </c>
      <c r="F2624" s="1">
        <v>4.2678700000000003</v>
      </c>
      <c r="G2624" s="1">
        <v>13.135</v>
      </c>
      <c r="H2624" s="1">
        <v>6.03416</v>
      </c>
    </row>
    <row r="2625" spans="1:8" x14ac:dyDescent="0.3">
      <c r="A2625" t="e">
        <f t="shared" si="106"/>
        <v>#REF!</v>
      </c>
      <c r="B2625">
        <v>1486</v>
      </c>
      <c r="C2625" s="1">
        <v>23.174950756088371</v>
      </c>
      <c r="D2625" s="9">
        <v>17.603444444447039</v>
      </c>
      <c r="E2625" s="1">
        <v>2.9258099999999998</v>
      </c>
      <c r="F2625" s="1">
        <v>4.5121000000000002</v>
      </c>
      <c r="G2625" s="1">
        <v>13.055</v>
      </c>
      <c r="H2625" s="1">
        <v>6.1452200000000001</v>
      </c>
    </row>
    <row r="2626" spans="1:8" x14ac:dyDescent="0.3">
      <c r="A2626">
        <f t="shared" si="106"/>
        <v>26</v>
      </c>
      <c r="B2626">
        <v>1536</v>
      </c>
      <c r="C2626" s="1">
        <v>22.934963864478512</v>
      </c>
      <c r="D2626" s="9">
        <v>17.650666666669348</v>
      </c>
      <c r="E2626" s="1">
        <v>3.1458300000000001</v>
      </c>
      <c r="F2626" s="1">
        <v>4.7159700000000004</v>
      </c>
      <c r="G2626" s="1">
        <v>13.1311</v>
      </c>
      <c r="H2626" s="1">
        <v>5.9988599999999996</v>
      </c>
    </row>
    <row r="2627" spans="1:8" x14ac:dyDescent="0.3">
      <c r="A2627" t="e">
        <f t="shared" si="106"/>
        <v>#REF!</v>
      </c>
      <c r="B2627">
        <v>1586</v>
      </c>
      <c r="C2627" s="1">
        <v>22.602025500539739</v>
      </c>
      <c r="D2627" s="9">
        <v>17.697888888891658</v>
      </c>
      <c r="E2627" s="1">
        <v>3.3059799999999999</v>
      </c>
      <c r="F2627" s="1">
        <v>5.0774499999999998</v>
      </c>
      <c r="G2627" s="1">
        <v>13.291399999999999</v>
      </c>
      <c r="H2627" s="1">
        <v>5.5455699999999997</v>
      </c>
    </row>
    <row r="2628" spans="1:8" x14ac:dyDescent="0.3">
      <c r="A2628">
        <f t="shared" si="106"/>
        <v>17</v>
      </c>
      <c r="B2628">
        <v>1636</v>
      </c>
      <c r="C2628" s="1">
        <v>22.21303511181322</v>
      </c>
      <c r="D2628" s="9">
        <v>17.745111111113967</v>
      </c>
      <c r="E2628" s="1">
        <v>3.7899799999999999</v>
      </c>
      <c r="F2628" s="1">
        <v>5.8334599999999996</v>
      </c>
      <c r="G2628" s="1">
        <v>13.347899999999999</v>
      </c>
      <c r="H2628" s="1">
        <v>4.8094599999999996</v>
      </c>
    </row>
    <row r="2629" spans="1:8" x14ac:dyDescent="0.3">
      <c r="A2629" t="e">
        <f t="shared" ref="A2629:A2660" si="107">A2579</f>
        <v>#REF!</v>
      </c>
      <c r="B2629">
        <v>1686</v>
      </c>
      <c r="C2629" s="1">
        <v>21.79</v>
      </c>
      <c r="D2629" s="9">
        <v>17.792333333336277</v>
      </c>
      <c r="E2629" s="1">
        <v>4.5718899999999998</v>
      </c>
      <c r="F2629" s="1">
        <v>6.8757400000000004</v>
      </c>
      <c r="G2629" s="1">
        <v>13.3566</v>
      </c>
      <c r="H2629" s="1">
        <v>3.8633799999999998</v>
      </c>
    </row>
    <row r="2630" spans="1:8" x14ac:dyDescent="0.3">
      <c r="A2630">
        <f t="shared" si="107"/>
        <v>33</v>
      </c>
      <c r="B2630">
        <v>1736</v>
      </c>
      <c r="C2630" s="1">
        <v>21.349515327257659</v>
      </c>
      <c r="D2630" s="9">
        <v>17.839555555558587</v>
      </c>
      <c r="E2630" s="1">
        <v>5.3964800000000004</v>
      </c>
      <c r="F2630" s="1">
        <v>7.9169200000000002</v>
      </c>
      <c r="G2630" s="1">
        <v>13.4742</v>
      </c>
      <c r="H2630" s="1">
        <v>2.8014700000000001</v>
      </c>
    </row>
    <row r="2631" spans="1:8" x14ac:dyDescent="0.3">
      <c r="A2631" t="e">
        <f t="shared" si="107"/>
        <v>#REF!</v>
      </c>
      <c r="B2631">
        <v>1786</v>
      </c>
      <c r="C2631" s="1">
        <v>21.015524589316051</v>
      </c>
      <c r="D2631" s="9">
        <v>17.886777777780896</v>
      </c>
      <c r="E2631" s="1">
        <v>5.8941400000000002</v>
      </c>
      <c r="F2631" s="1">
        <v>8.6923600000000008</v>
      </c>
      <c r="G2631" s="1">
        <v>13.6083</v>
      </c>
      <c r="H2631" s="1">
        <v>1.6833400000000001</v>
      </c>
    </row>
    <row r="2632" spans="1:8" x14ac:dyDescent="0.3">
      <c r="A2632">
        <f t="shared" si="107"/>
        <v>24</v>
      </c>
      <c r="B2632">
        <v>1836</v>
      </c>
      <c r="C2632" s="1">
        <v>20.646001056904701</v>
      </c>
      <c r="D2632" s="9">
        <v>17.934000000003206</v>
      </c>
      <c r="E2632" s="1">
        <v>5.6933699999999998</v>
      </c>
      <c r="F2632" s="1">
        <v>8.9938099999999999</v>
      </c>
      <c r="G2632" s="1">
        <v>13.568</v>
      </c>
      <c r="H2632" s="1">
        <v>0.54342199999999996</v>
      </c>
    </row>
    <row r="2633" spans="1:8" x14ac:dyDescent="0.3">
      <c r="A2633" t="e">
        <f t="shared" si="107"/>
        <v>#REF!</v>
      </c>
      <c r="B2633">
        <v>1886</v>
      </c>
      <c r="C2633" s="1">
        <v>20.283888184527321</v>
      </c>
      <c r="D2633" s="9">
        <v>17.981222222225515</v>
      </c>
      <c r="E2633" s="1">
        <v>4.9273199999999999</v>
      </c>
      <c r="F2633" s="1">
        <v>8.9981899999999992</v>
      </c>
      <c r="G2633" s="1">
        <v>13.4495</v>
      </c>
      <c r="H2633" s="1">
        <v>-0.64612800000000004</v>
      </c>
    </row>
    <row r="2634" spans="1:8" x14ac:dyDescent="0.3">
      <c r="A2634">
        <f t="shared" si="107"/>
        <v>15</v>
      </c>
      <c r="B2634">
        <v>1936</v>
      </c>
      <c r="C2634" s="1">
        <v>19.86668619075002</v>
      </c>
      <c r="D2634" s="9">
        <v>18.028444444447825</v>
      </c>
      <c r="E2634" s="1">
        <v>3.9869300000000001</v>
      </c>
      <c r="F2634" s="1">
        <v>9.0419999999999998</v>
      </c>
      <c r="G2634" s="1">
        <v>13.47</v>
      </c>
      <c r="H2634" s="1">
        <v>-1.93157</v>
      </c>
    </row>
    <row r="2635" spans="1:8" x14ac:dyDescent="0.3">
      <c r="A2635" t="e">
        <f t="shared" si="107"/>
        <v>#REF!</v>
      </c>
      <c r="B2635">
        <v>1986</v>
      </c>
      <c r="C2635" s="1">
        <v>19.599949249916239</v>
      </c>
      <c r="D2635" s="9">
        <v>18.075666666670134</v>
      </c>
      <c r="E2635" s="1">
        <v>3.2135899999999999</v>
      </c>
      <c r="F2635" s="1">
        <v>9.1014300000000006</v>
      </c>
      <c r="G2635" s="1">
        <v>13.590299999999999</v>
      </c>
      <c r="H2635" s="1">
        <v>-3.2381000000000002</v>
      </c>
    </row>
    <row r="2636" spans="1:8" x14ac:dyDescent="0.3">
      <c r="A2636">
        <f t="shared" si="107"/>
        <v>31</v>
      </c>
      <c r="B2636">
        <v>2036</v>
      </c>
      <c r="C2636" s="1">
        <v>19.36</v>
      </c>
      <c r="D2636" s="9">
        <v>18.122888888892444</v>
      </c>
      <c r="E2636" s="1">
        <v>2.8746100000000001</v>
      </c>
      <c r="F2636" s="1">
        <v>8.9908199999999994</v>
      </c>
      <c r="G2636" s="1">
        <v>13.6594</v>
      </c>
      <c r="H2636" s="1">
        <v>-4.43269</v>
      </c>
    </row>
    <row r="2637" spans="1:8" x14ac:dyDescent="0.3">
      <c r="A2637" t="e">
        <f t="shared" si="107"/>
        <v>#REF!</v>
      </c>
      <c r="B2637">
        <v>2086</v>
      </c>
      <c r="C2637" s="1">
        <v>19.23410512845199</v>
      </c>
      <c r="D2637" s="9">
        <v>18.170111111114753</v>
      </c>
      <c r="E2637" s="1">
        <v>2.8242699999999998</v>
      </c>
      <c r="F2637" s="1">
        <v>8.7513400000000008</v>
      </c>
      <c r="G2637" s="1">
        <v>13.7216</v>
      </c>
      <c r="H2637" s="1">
        <v>-5.4210500000000001</v>
      </c>
    </row>
    <row r="2638" spans="1:8" x14ac:dyDescent="0.3">
      <c r="A2638">
        <f t="shared" si="107"/>
        <v>22</v>
      </c>
      <c r="B2638">
        <v>2136</v>
      </c>
      <c r="C2638" s="1">
        <v>19.18</v>
      </c>
      <c r="D2638" s="9">
        <v>18.217333333337063</v>
      </c>
      <c r="E2638" s="1">
        <v>2.7428400000000002</v>
      </c>
      <c r="F2638" s="1">
        <v>8.5371100000000002</v>
      </c>
      <c r="G2638" s="1">
        <v>13.895899999999999</v>
      </c>
      <c r="H2638" s="1">
        <v>-6.1215700000000002</v>
      </c>
    </row>
    <row r="2639" spans="1:8" x14ac:dyDescent="0.3">
      <c r="A2639" t="e">
        <f t="shared" si="107"/>
        <v>#REF!</v>
      </c>
      <c r="B2639">
        <v>2186</v>
      </c>
      <c r="C2639" s="1">
        <v>19.149999999999999</v>
      </c>
      <c r="D2639" s="9">
        <v>18.264555555559372</v>
      </c>
      <c r="E2639" s="1">
        <v>2.6532200000000001</v>
      </c>
      <c r="F2639" s="1">
        <v>8.4570900000000009</v>
      </c>
      <c r="G2639" s="1">
        <v>14.0692</v>
      </c>
      <c r="H2639" s="1">
        <v>-6.3868999999999998</v>
      </c>
    </row>
    <row r="2640" spans="1:8" x14ac:dyDescent="0.3">
      <c r="A2640">
        <f t="shared" si="107"/>
        <v>13</v>
      </c>
      <c r="B2640">
        <v>2236</v>
      </c>
      <c r="C2640" s="1">
        <v>19.262677459820608</v>
      </c>
      <c r="D2640" s="9">
        <v>18.311777777781682</v>
      </c>
      <c r="E2640" s="1">
        <v>2.7258100000000001</v>
      </c>
      <c r="F2640" s="1">
        <v>8.5702099999999994</v>
      </c>
      <c r="G2640" s="1">
        <v>14.0419</v>
      </c>
      <c r="H2640" s="1">
        <v>-6.0684199999999997</v>
      </c>
    </row>
    <row r="2641" spans="1:8" x14ac:dyDescent="0.3">
      <c r="A2641" t="e">
        <f t="shared" si="107"/>
        <v>#REF!</v>
      </c>
      <c r="B2641">
        <v>2286</v>
      </c>
      <c r="C2641" s="1">
        <v>19.491944839317181</v>
      </c>
      <c r="D2641" s="9">
        <v>18.359000000003991</v>
      </c>
      <c r="E2641" s="1">
        <v>2.871</v>
      </c>
      <c r="F2641" s="1">
        <v>8.7074200000000008</v>
      </c>
      <c r="G2641" s="1">
        <v>13.899800000000001</v>
      </c>
      <c r="H2641" s="1">
        <v>-5.2975500000000002</v>
      </c>
    </row>
    <row r="2642" spans="1:8" x14ac:dyDescent="0.3">
      <c r="A2642">
        <f t="shared" si="107"/>
        <v>29</v>
      </c>
      <c r="B2642">
        <v>2336</v>
      </c>
      <c r="C2642" s="1">
        <v>19.843776262273551</v>
      </c>
      <c r="D2642" s="9">
        <v>18.406222222226301</v>
      </c>
      <c r="E2642" s="1">
        <v>2.8927999999999998</v>
      </c>
      <c r="F2642" s="1">
        <v>8.61477</v>
      </c>
      <c r="G2642" s="1">
        <v>13.846399999999999</v>
      </c>
      <c r="H2642" s="1">
        <v>-4.33162</v>
      </c>
    </row>
    <row r="2643" spans="1:8" x14ac:dyDescent="0.3">
      <c r="A2643" t="e">
        <f t="shared" si="107"/>
        <v>#REF!</v>
      </c>
      <c r="B2643">
        <v>2386</v>
      </c>
      <c r="C2643" s="1">
        <v>20.332770200690209</v>
      </c>
      <c r="D2643" s="9">
        <v>18.453444444448611</v>
      </c>
      <c r="E2643" s="1">
        <v>2.8360699999999999</v>
      </c>
      <c r="F2643" s="1">
        <v>8.3184400000000007</v>
      </c>
      <c r="G2643" s="1">
        <v>13.832800000000001</v>
      </c>
      <c r="H2643" s="1">
        <v>-3.28017</v>
      </c>
    </row>
    <row r="2644" spans="1:8" x14ac:dyDescent="0.3">
      <c r="A2644">
        <f t="shared" si="107"/>
        <v>20</v>
      </c>
      <c r="B2644">
        <v>2436</v>
      </c>
      <c r="C2644" s="1">
        <v>20.893177961707622</v>
      </c>
      <c r="D2644" s="9">
        <v>18.50066666667092</v>
      </c>
      <c r="E2644" s="1">
        <v>2.83683</v>
      </c>
      <c r="F2644" s="1">
        <v>7.99139</v>
      </c>
      <c r="G2644" s="1">
        <v>13.7125</v>
      </c>
      <c r="H2644" s="1">
        <v>-2.1731799999999999</v>
      </c>
    </row>
    <row r="2645" spans="1:8" x14ac:dyDescent="0.3">
      <c r="A2645" t="e">
        <f t="shared" si="107"/>
        <v>#REF!</v>
      </c>
      <c r="B2645">
        <v>2486</v>
      </c>
      <c r="C2645" s="1">
        <v>21.40644878514663</v>
      </c>
      <c r="D2645" s="9">
        <v>18.54788888889323</v>
      </c>
      <c r="E2645" s="1">
        <v>2.7493699999999999</v>
      </c>
      <c r="F2645" s="1">
        <v>7.8284599999999998</v>
      </c>
      <c r="G2645" s="1">
        <v>13.6188</v>
      </c>
      <c r="H2645" s="1">
        <v>-1.0084599999999999</v>
      </c>
    </row>
    <row r="2646" spans="1:8" x14ac:dyDescent="0.3">
      <c r="A2646">
        <f t="shared" si="107"/>
        <v>36</v>
      </c>
      <c r="B2646">
        <v>2536</v>
      </c>
      <c r="C2646" s="1">
        <v>21.921014649842711</v>
      </c>
      <c r="D2646" s="9">
        <v>18.595111111115539</v>
      </c>
      <c r="E2646" s="1">
        <v>2.3227899999999999</v>
      </c>
      <c r="F2646" s="1">
        <v>7.9928999999999997</v>
      </c>
      <c r="G2646" s="1">
        <v>13.787800000000001</v>
      </c>
      <c r="H2646" s="1">
        <v>0.22606299999999999</v>
      </c>
    </row>
    <row r="2647" spans="1:8" x14ac:dyDescent="0.3">
      <c r="A2647" t="e">
        <f t="shared" si="107"/>
        <v>#REF!</v>
      </c>
      <c r="B2647">
        <v>2586</v>
      </c>
      <c r="C2647" s="1">
        <v>22.31801210739123</v>
      </c>
      <c r="D2647" s="9">
        <v>18.642333333337849</v>
      </c>
      <c r="E2647" s="1">
        <v>1.6424799999999999</v>
      </c>
      <c r="F2647" s="1">
        <v>8.2852200000000007</v>
      </c>
      <c r="G2647" s="1">
        <v>14.1153</v>
      </c>
      <c r="H2647" s="1">
        <v>1.49074</v>
      </c>
    </row>
    <row r="2648" spans="1:8" x14ac:dyDescent="0.3">
      <c r="A2648">
        <f t="shared" si="107"/>
        <v>27</v>
      </c>
      <c r="B2648">
        <v>2636</v>
      </c>
      <c r="C2648" s="1">
        <v>22.63739619122412</v>
      </c>
      <c r="D2648" s="9">
        <v>18.689555555560158</v>
      </c>
      <c r="E2648" s="1">
        <v>0.97011899999999995</v>
      </c>
      <c r="F2648" s="1">
        <v>8.3574099999999998</v>
      </c>
      <c r="G2648" s="1">
        <v>14.3371</v>
      </c>
      <c r="H2648" s="1">
        <v>2.7177799999999999</v>
      </c>
    </row>
    <row r="2649" spans="1:8" x14ac:dyDescent="0.3">
      <c r="A2649" t="e">
        <f t="shared" si="107"/>
        <v>#REF!</v>
      </c>
      <c r="B2649">
        <v>2686</v>
      </c>
      <c r="C2649" s="1">
        <v>23.13178639364444</v>
      </c>
      <c r="D2649" s="9">
        <v>18.736777777782468</v>
      </c>
      <c r="E2649" s="1">
        <v>0.60721099999999995</v>
      </c>
      <c r="F2649" s="1">
        <v>8.1749500000000008</v>
      </c>
      <c r="G2649" s="1">
        <v>14.296200000000001</v>
      </c>
      <c r="H2649" s="1">
        <v>3.8227699999999998</v>
      </c>
    </row>
    <row r="2650" spans="1:8" x14ac:dyDescent="0.3">
      <c r="A2650">
        <f t="shared" si="107"/>
        <v>18</v>
      </c>
      <c r="B2650">
        <v>2736</v>
      </c>
      <c r="C2650" s="1">
        <v>23.547173097132578</v>
      </c>
      <c r="D2650" s="9">
        <v>18.784000000004777</v>
      </c>
      <c r="E2650" s="1">
        <v>0.828457</v>
      </c>
      <c r="F2650" s="1">
        <v>7.8839899999999998</v>
      </c>
      <c r="G2650" s="1">
        <v>13.9237</v>
      </c>
      <c r="H2650" s="1">
        <v>4.7168200000000002</v>
      </c>
    </row>
    <row r="2651" spans="1:8" x14ac:dyDescent="0.3">
      <c r="A2651" t="e">
        <f t="shared" si="107"/>
        <v>#REF!</v>
      </c>
      <c r="B2651">
        <v>2786</v>
      </c>
      <c r="C2651" s="1">
        <v>23.919613397427462</v>
      </c>
      <c r="D2651" s="9">
        <v>18.831222222227087</v>
      </c>
      <c r="E2651" s="1">
        <v>1.51403</v>
      </c>
      <c r="F2651" s="1">
        <v>7.8064</v>
      </c>
      <c r="G2651" s="1">
        <v>13.425700000000001</v>
      </c>
      <c r="H2651" s="1">
        <v>5.3425799999999999</v>
      </c>
    </row>
    <row r="2652" spans="1:8" x14ac:dyDescent="0.3">
      <c r="A2652">
        <f t="shared" si="107"/>
        <v>34</v>
      </c>
      <c r="B2652">
        <v>2836</v>
      </c>
      <c r="C2652" s="1">
        <v>24.140967375296189</v>
      </c>
      <c r="D2652" s="9">
        <v>18.878444444449396</v>
      </c>
      <c r="E2652" s="1">
        <v>2.3457599999999998</v>
      </c>
      <c r="F2652" s="1">
        <v>8.3061500000000006</v>
      </c>
      <c r="G2652" s="1">
        <v>13.134600000000001</v>
      </c>
      <c r="H2652" s="1">
        <v>5.6796600000000002</v>
      </c>
    </row>
    <row r="2653" spans="1:8" x14ac:dyDescent="0.3">
      <c r="A2653">
        <f t="shared" si="107"/>
        <v>0</v>
      </c>
      <c r="B2653">
        <v>2886</v>
      </c>
      <c r="C2653" s="1">
        <v>24.32</v>
      </c>
      <c r="D2653" s="9">
        <v>18.925666666671706</v>
      </c>
      <c r="E2653" s="1">
        <v>3.0142699999999998</v>
      </c>
      <c r="F2653" s="1">
        <v>9.3523999999999994</v>
      </c>
      <c r="G2653" s="1">
        <v>13.2813</v>
      </c>
      <c r="H2653" s="1">
        <v>5.8854499999999996</v>
      </c>
    </row>
    <row r="2654" spans="1:8" x14ac:dyDescent="0.3">
      <c r="A2654">
        <f t="shared" si="107"/>
        <v>25</v>
      </c>
      <c r="B2654">
        <v>2936</v>
      </c>
      <c r="C2654" s="1">
        <v>24.217536338199789</v>
      </c>
      <c r="D2654" s="9">
        <v>18.972888888894015</v>
      </c>
      <c r="E2654" s="1">
        <v>3.2722500000000001</v>
      </c>
      <c r="F2654" s="1">
        <v>10.704000000000001</v>
      </c>
      <c r="G2654" s="1">
        <v>14.0091</v>
      </c>
      <c r="H2654" s="1">
        <v>6.1771599999999998</v>
      </c>
    </row>
    <row r="2655" spans="1:8" x14ac:dyDescent="0.3">
      <c r="A2655" t="e">
        <f t="shared" si="107"/>
        <v>#REF!</v>
      </c>
      <c r="B2655">
        <v>2986</v>
      </c>
      <c r="C2655" s="1">
        <v>24.045575506183269</v>
      </c>
      <c r="D2655" s="9">
        <v>19.020111111116325</v>
      </c>
      <c r="E2655" s="1">
        <v>3.3540899999999998</v>
      </c>
      <c r="F2655" s="1">
        <v>12.0304</v>
      </c>
      <c r="G2655" s="1">
        <v>15.153499999999999</v>
      </c>
      <c r="H2655" s="1">
        <v>6.5304099999999998</v>
      </c>
    </row>
    <row r="2656" spans="1:8" x14ac:dyDescent="0.3">
      <c r="A2656">
        <f t="shared" si="107"/>
        <v>16</v>
      </c>
      <c r="B2656">
        <v>3036</v>
      </c>
      <c r="C2656" s="1">
        <v>23.906668652904841</v>
      </c>
      <c r="D2656" s="9">
        <v>19.067333333338635</v>
      </c>
      <c r="E2656" s="1">
        <v>3.6973400000000001</v>
      </c>
      <c r="F2656" s="1">
        <v>12.969900000000001</v>
      </c>
      <c r="G2656" s="1">
        <v>16.395</v>
      </c>
      <c r="H2656" s="1">
        <v>6.8259100000000004</v>
      </c>
    </row>
    <row r="2657" spans="1:8" x14ac:dyDescent="0.3">
      <c r="A2657" t="e">
        <f t="shared" si="107"/>
        <v>#REF!</v>
      </c>
      <c r="B2657">
        <v>3086</v>
      </c>
      <c r="C2657" s="1">
        <v>23.657792012250649</v>
      </c>
      <c r="D2657" s="9">
        <v>19.114555555560944</v>
      </c>
      <c r="E2657" s="1">
        <v>4.4062000000000001</v>
      </c>
      <c r="F2657" s="1">
        <v>13.282</v>
      </c>
      <c r="G2657" s="1">
        <v>17.4055</v>
      </c>
      <c r="H2657" s="1">
        <v>7.1592700000000002</v>
      </c>
    </row>
    <row r="2658" spans="1:8" x14ac:dyDescent="0.3">
      <c r="A2658">
        <f t="shared" si="107"/>
        <v>32</v>
      </c>
      <c r="B2658">
        <v>3136</v>
      </c>
      <c r="C2658" s="1">
        <v>23.26902413810075</v>
      </c>
      <c r="D2658" s="9">
        <v>19.161777777783254</v>
      </c>
      <c r="E2658" s="1">
        <v>5.3984699999999997</v>
      </c>
      <c r="F2658" s="1">
        <v>12.845700000000001</v>
      </c>
      <c r="G2658" s="1">
        <v>17.902999999999999</v>
      </c>
      <c r="H2658" s="1">
        <v>7.7114000000000003</v>
      </c>
    </row>
    <row r="2659" spans="1:8" x14ac:dyDescent="0.3">
      <c r="A2659" t="e">
        <f t="shared" si="107"/>
        <v>#REF!</v>
      </c>
      <c r="B2659">
        <v>3186</v>
      </c>
      <c r="C2659" s="1">
        <v>22.888076570905309</v>
      </c>
      <c r="D2659" s="9">
        <v>19.209000000005563</v>
      </c>
      <c r="E2659" s="1">
        <v>6.4806999999999997</v>
      </c>
      <c r="F2659" s="1">
        <v>11.8848</v>
      </c>
      <c r="G2659" s="1">
        <v>17.906500000000001</v>
      </c>
      <c r="H2659" s="1">
        <v>8.5323200000000003</v>
      </c>
    </row>
    <row r="2660" spans="1:8" x14ac:dyDescent="0.3">
      <c r="A2660">
        <f t="shared" si="107"/>
        <v>23</v>
      </c>
      <c r="B2660">
        <v>3236</v>
      </c>
      <c r="C2660" s="1">
        <v>22.531502525952281</v>
      </c>
      <c r="D2660" s="9">
        <v>19.256222222227873</v>
      </c>
      <c r="E2660" s="1">
        <v>7.44421</v>
      </c>
      <c r="F2660" s="1">
        <v>10.7658</v>
      </c>
      <c r="G2660" s="1">
        <v>17.5792</v>
      </c>
      <c r="H2660" s="1">
        <v>9.6023399999999999</v>
      </c>
    </row>
    <row r="2661" spans="1:8" x14ac:dyDescent="0.3">
      <c r="A2661" t="e">
        <f t="shared" ref="A2661:A2667" si="108">A2611</f>
        <v>#REF!</v>
      </c>
      <c r="B2661">
        <v>3286</v>
      </c>
      <c r="C2661" s="1">
        <v>22.113447254168172</v>
      </c>
      <c r="D2661" s="9">
        <v>19.303444444450182</v>
      </c>
      <c r="E2661" s="1">
        <v>8.3535199999999996</v>
      </c>
      <c r="F2661" s="1">
        <v>9.8738499999999991</v>
      </c>
      <c r="G2661" s="1">
        <v>17.154299999999999</v>
      </c>
      <c r="H2661" s="1">
        <v>10.8575</v>
      </c>
    </row>
    <row r="2662" spans="1:8" x14ac:dyDescent="0.3">
      <c r="A2662">
        <f t="shared" si="108"/>
        <v>14</v>
      </c>
      <c r="B2662">
        <v>3336</v>
      </c>
      <c r="C2662" s="1">
        <v>21.773494431423519</v>
      </c>
      <c r="D2662" s="9">
        <v>19.350666666672492</v>
      </c>
      <c r="E2662" s="1">
        <v>9.6316000000000006</v>
      </c>
      <c r="F2662" s="1">
        <v>10.1936</v>
      </c>
      <c r="G2662" s="1">
        <v>17.084499999999998</v>
      </c>
      <c r="H2662" s="1">
        <v>12.2576</v>
      </c>
    </row>
    <row r="2663" spans="1:8" x14ac:dyDescent="0.3">
      <c r="A2663" t="e">
        <f t="shared" si="108"/>
        <v>#REF!</v>
      </c>
      <c r="B2663">
        <v>3386</v>
      </c>
      <c r="C2663" s="1">
        <v>21.4728949250371</v>
      </c>
      <c r="D2663" s="9">
        <v>19.397888888894801</v>
      </c>
      <c r="E2663" s="1">
        <v>11.335800000000001</v>
      </c>
      <c r="F2663" s="1">
        <v>11.604699999999999</v>
      </c>
      <c r="G2663" s="1">
        <v>17.315000000000001</v>
      </c>
      <c r="H2663" s="1">
        <v>13.688000000000001</v>
      </c>
    </row>
    <row r="2664" spans="1:8" x14ac:dyDescent="0.3">
      <c r="A2664">
        <f t="shared" si="108"/>
        <v>30</v>
      </c>
      <c r="B2664">
        <v>3436</v>
      </c>
      <c r="C2664" s="1">
        <v>21.096862038865371</v>
      </c>
      <c r="D2664" s="9">
        <v>19.445111111117111</v>
      </c>
      <c r="E2664" s="1">
        <v>13.187200000000001</v>
      </c>
      <c r="F2664" s="1">
        <v>13.3161</v>
      </c>
      <c r="G2664" s="1">
        <v>17.686699999999998</v>
      </c>
      <c r="H2664" s="1">
        <v>15.0921</v>
      </c>
    </row>
    <row r="2665" spans="1:8" x14ac:dyDescent="0.3">
      <c r="A2665" t="e">
        <f t="shared" si="108"/>
        <v>#REF!</v>
      </c>
      <c r="B2665">
        <v>3486</v>
      </c>
      <c r="C2665" s="1">
        <v>20.58175495346498</v>
      </c>
      <c r="D2665" s="9">
        <v>19.49233333333942</v>
      </c>
      <c r="E2665" s="1">
        <v>15.107799999999999</v>
      </c>
      <c r="F2665" s="1">
        <v>15.1654</v>
      </c>
      <c r="G2665" s="1">
        <v>18.177700000000002</v>
      </c>
      <c r="H2665" s="1">
        <v>16.4785</v>
      </c>
    </row>
    <row r="2666" spans="1:8" x14ac:dyDescent="0.3">
      <c r="A2666">
        <f t="shared" si="108"/>
        <v>21</v>
      </c>
      <c r="B2666">
        <v>3536</v>
      </c>
      <c r="C2666" s="1">
        <v>20.135232583838349</v>
      </c>
      <c r="D2666" s="9">
        <v>19.53955555556173</v>
      </c>
      <c r="E2666" s="1">
        <v>17.065000000000001</v>
      </c>
      <c r="F2666" s="1">
        <v>17.085799999999999</v>
      </c>
      <c r="G2666" s="1">
        <v>18.758600000000001</v>
      </c>
      <c r="H2666" s="1">
        <v>17.853000000000002</v>
      </c>
    </row>
    <row r="2667" spans="1:8" x14ac:dyDescent="0.3">
      <c r="A2667" t="e">
        <f t="shared" si="108"/>
        <v>#REF!</v>
      </c>
      <c r="B2667">
        <v>3586</v>
      </c>
      <c r="C2667" s="1">
        <v>19.72275027167176</v>
      </c>
      <c r="D2667" s="9">
        <v>19.58677777778404</v>
      </c>
      <c r="E2667" s="1">
        <v>19.043399999999998</v>
      </c>
      <c r="F2667" s="1">
        <v>19.046199999999999</v>
      </c>
      <c r="G2667" s="1">
        <v>19.408000000000001</v>
      </c>
      <c r="H2667" s="1">
        <v>19.218800000000002</v>
      </c>
    </row>
    <row r="2668" spans="1:8" x14ac:dyDescent="0.3">
      <c r="A2668">
        <v>37</v>
      </c>
      <c r="B2668">
        <v>37</v>
      </c>
      <c r="C2668" s="1">
        <v>16.18</v>
      </c>
      <c r="D2668" s="9">
        <v>16.234944444444508</v>
      </c>
      <c r="E2668" s="1">
        <v>14.8302</v>
      </c>
      <c r="F2668" s="1">
        <v>14.739100000000001</v>
      </c>
      <c r="G2668" s="1">
        <v>15.754</v>
      </c>
      <c r="H2668" s="1">
        <v>14.819900000000001</v>
      </c>
    </row>
    <row r="2669" spans="1:8" x14ac:dyDescent="0.3">
      <c r="A2669" t="e">
        <f t="shared" ref="A2669:A2700" si="109">A2619</f>
        <v>#REF!</v>
      </c>
      <c r="B2669">
        <v>87</v>
      </c>
      <c r="C2669" s="1">
        <v>16.22235899117797</v>
      </c>
      <c r="D2669" s="9">
        <v>16.282166666666818</v>
      </c>
      <c r="E2669" s="1">
        <v>12.9998</v>
      </c>
      <c r="F2669" s="1">
        <v>12.7911</v>
      </c>
      <c r="G2669" s="1">
        <v>15.2004</v>
      </c>
      <c r="H2669" s="1">
        <v>12.946999999999999</v>
      </c>
    </row>
    <row r="2670" spans="1:8" x14ac:dyDescent="0.3">
      <c r="A2670">
        <f t="shared" si="109"/>
        <v>28</v>
      </c>
      <c r="B2670">
        <v>137</v>
      </c>
      <c r="C2670" s="1">
        <v>16.38056838653225</v>
      </c>
      <c r="D2670" s="9">
        <v>16.329388888889127</v>
      </c>
      <c r="E2670" s="1">
        <v>11.2027</v>
      </c>
      <c r="F2670" s="1">
        <v>10.892300000000001</v>
      </c>
      <c r="G2670" s="1">
        <v>14.7159</v>
      </c>
      <c r="H2670" s="1">
        <v>11.064</v>
      </c>
    </row>
    <row r="2671" spans="1:8" x14ac:dyDescent="0.3">
      <c r="A2671" t="e">
        <f t="shared" si="109"/>
        <v>#REF!</v>
      </c>
      <c r="B2671">
        <v>187</v>
      </c>
      <c r="C2671" s="1">
        <v>16.686937304609788</v>
      </c>
      <c r="D2671" s="9">
        <v>16.376611111111437</v>
      </c>
      <c r="E2671" s="1">
        <v>9.4564299999999992</v>
      </c>
      <c r="F2671" s="1">
        <v>9.0829500000000003</v>
      </c>
      <c r="G2671" s="1">
        <v>14.3178</v>
      </c>
      <c r="H2671" s="1">
        <v>9.1712699999999998</v>
      </c>
    </row>
    <row r="2672" spans="1:8" x14ac:dyDescent="0.3">
      <c r="A2672">
        <f t="shared" si="109"/>
        <v>19</v>
      </c>
      <c r="B2672">
        <v>237</v>
      </c>
      <c r="C2672" s="1">
        <v>16.87</v>
      </c>
      <c r="D2672" s="9">
        <v>16.423833333333747</v>
      </c>
      <c r="E2672" s="1">
        <v>7.79467</v>
      </c>
      <c r="F2672" s="1">
        <v>7.4547600000000003</v>
      </c>
      <c r="G2672" s="1">
        <v>14.019</v>
      </c>
      <c r="H2672" s="1">
        <v>7.2749600000000001</v>
      </c>
    </row>
    <row r="2673" spans="1:8" x14ac:dyDescent="0.3">
      <c r="A2673" t="e">
        <f t="shared" si="109"/>
        <v>#REF!</v>
      </c>
      <c r="B2673">
        <v>287</v>
      </c>
      <c r="C2673" s="1">
        <v>17.039581048425461</v>
      </c>
      <c r="D2673" s="9">
        <v>16.471055555556056</v>
      </c>
      <c r="E2673" s="1">
        <v>6.3129</v>
      </c>
      <c r="F2673" s="1">
        <v>6.29955</v>
      </c>
      <c r="G2673" s="1">
        <v>13.8094</v>
      </c>
      <c r="H2673" s="1">
        <v>5.4486800000000004</v>
      </c>
    </row>
    <row r="2674" spans="1:8" x14ac:dyDescent="0.3">
      <c r="A2674">
        <f t="shared" si="109"/>
        <v>35</v>
      </c>
      <c r="B2674">
        <v>337</v>
      </c>
      <c r="C2674" s="1">
        <v>17.252141651433242</v>
      </c>
      <c r="D2674" s="9">
        <v>16.518277777778366</v>
      </c>
      <c r="E2674" s="1">
        <v>5.3277700000000001</v>
      </c>
      <c r="F2674" s="1">
        <v>6.3089199999999996</v>
      </c>
      <c r="G2674" s="1">
        <v>13.930400000000001</v>
      </c>
      <c r="H2674" s="1">
        <v>4.1137699999999997</v>
      </c>
    </row>
    <row r="2675" spans="1:8" x14ac:dyDescent="0.3">
      <c r="A2675" t="e">
        <f t="shared" si="109"/>
        <v>#REF!</v>
      </c>
      <c r="B2675">
        <v>387</v>
      </c>
      <c r="C2675" s="1">
        <v>17.48782040238968</v>
      </c>
      <c r="D2675" s="9">
        <v>16.565500000000675</v>
      </c>
      <c r="E2675" s="1">
        <v>4.6616</v>
      </c>
      <c r="F2675" s="1">
        <v>6.63713</v>
      </c>
      <c r="G2675" s="1">
        <v>14.072699999999999</v>
      </c>
      <c r="H2675" s="1">
        <v>3.1749100000000001</v>
      </c>
    </row>
    <row r="2676" spans="1:8" x14ac:dyDescent="0.3">
      <c r="A2676">
        <f t="shared" si="109"/>
        <v>26</v>
      </c>
      <c r="B2676">
        <v>437</v>
      </c>
      <c r="C2676" s="1">
        <v>17.753735856324329</v>
      </c>
      <c r="D2676" s="9">
        <v>16.612722222222985</v>
      </c>
      <c r="E2676" s="1">
        <v>4.2340600000000004</v>
      </c>
      <c r="F2676" s="1">
        <v>6.7296800000000001</v>
      </c>
      <c r="G2676" s="1">
        <v>13.948399999999999</v>
      </c>
      <c r="H2676" s="1">
        <v>2.5913300000000001</v>
      </c>
    </row>
    <row r="2677" spans="1:8" x14ac:dyDescent="0.3">
      <c r="A2677" t="e">
        <f t="shared" si="109"/>
        <v>#REF!</v>
      </c>
      <c r="B2677">
        <v>487</v>
      </c>
      <c r="C2677" s="1">
        <v>17.933232044659221</v>
      </c>
      <c r="D2677" s="9">
        <v>16.659944444445294</v>
      </c>
      <c r="E2677" s="1">
        <v>3.8227000000000002</v>
      </c>
      <c r="F2677" s="1">
        <v>6.4356400000000002</v>
      </c>
      <c r="G2677" s="1">
        <v>13.624700000000001</v>
      </c>
      <c r="H2677" s="1">
        <v>2.1479200000000001</v>
      </c>
    </row>
    <row r="2678" spans="1:8" x14ac:dyDescent="0.3">
      <c r="A2678">
        <f t="shared" si="109"/>
        <v>17</v>
      </c>
      <c r="B2678">
        <v>537</v>
      </c>
      <c r="C2678" s="1">
        <v>18.100000000000001</v>
      </c>
      <c r="D2678" s="9">
        <v>16.707166666667604</v>
      </c>
      <c r="E2678" s="1">
        <v>3.1303200000000002</v>
      </c>
      <c r="F2678" s="1">
        <v>5.7229999999999999</v>
      </c>
      <c r="G2678" s="1">
        <v>13.2887</v>
      </c>
      <c r="H2678" s="1">
        <v>1.5339700000000001</v>
      </c>
    </row>
    <row r="2679" spans="1:8" x14ac:dyDescent="0.3">
      <c r="A2679" t="e">
        <f t="shared" si="109"/>
        <v>#REF!</v>
      </c>
      <c r="B2679">
        <v>587</v>
      </c>
      <c r="C2679" s="1">
        <v>18.326293732197371</v>
      </c>
      <c r="D2679" s="9">
        <v>16.754388888889913</v>
      </c>
      <c r="E2679" s="1">
        <v>2.2212000000000001</v>
      </c>
      <c r="F2679" s="1">
        <v>4.7358900000000004</v>
      </c>
      <c r="G2679" s="1">
        <v>12.9435</v>
      </c>
      <c r="H2679" s="1">
        <v>0.79601</v>
      </c>
    </row>
    <row r="2680" spans="1:8" x14ac:dyDescent="0.3">
      <c r="A2680">
        <f t="shared" si="109"/>
        <v>33</v>
      </c>
      <c r="B2680">
        <v>637</v>
      </c>
      <c r="C2680" s="1">
        <v>18.489999999999998</v>
      </c>
      <c r="D2680" s="9">
        <v>16.801611111112223</v>
      </c>
      <c r="E2680" s="1">
        <v>1.3585700000000001</v>
      </c>
      <c r="F2680" s="1">
        <v>3.71713</v>
      </c>
      <c r="G2680" s="1">
        <v>12.517899999999999</v>
      </c>
      <c r="H2680" s="1">
        <v>0.182198</v>
      </c>
    </row>
    <row r="2681" spans="1:8" x14ac:dyDescent="0.3">
      <c r="A2681" t="e">
        <f t="shared" si="109"/>
        <v>#REF!</v>
      </c>
      <c r="B2681">
        <v>687</v>
      </c>
      <c r="C2681" s="1">
        <v>18.624530667952438</v>
      </c>
      <c r="D2681" s="9">
        <v>16.848833333334532</v>
      </c>
      <c r="E2681" s="1">
        <v>0.77743700000000004</v>
      </c>
      <c r="F2681" s="1">
        <v>2.88659</v>
      </c>
      <c r="G2681" s="1">
        <v>12.1738</v>
      </c>
      <c r="H2681" s="1">
        <v>-2.44838E-2</v>
      </c>
    </row>
    <row r="2682" spans="1:8" x14ac:dyDescent="0.3">
      <c r="A2682">
        <f t="shared" si="109"/>
        <v>24</v>
      </c>
      <c r="B2682">
        <v>737</v>
      </c>
      <c r="C2682" s="1">
        <v>18.779005617094828</v>
      </c>
      <c r="D2682" s="9">
        <v>16.896055555556842</v>
      </c>
      <c r="E2682" s="1">
        <v>0.65876100000000004</v>
      </c>
      <c r="F2682" s="1">
        <v>2.4129999999999998</v>
      </c>
      <c r="G2682" s="1">
        <v>12.164300000000001</v>
      </c>
      <c r="H2682" s="1">
        <v>0.42671300000000001</v>
      </c>
    </row>
    <row r="2683" spans="1:8" x14ac:dyDescent="0.3">
      <c r="A2683" t="e">
        <f t="shared" si="109"/>
        <v>#REF!</v>
      </c>
      <c r="B2683">
        <v>787</v>
      </c>
      <c r="C2683" s="1">
        <v>19.04639716914588</v>
      </c>
      <c r="D2683" s="9">
        <v>16.943277777779151</v>
      </c>
      <c r="E2683" s="1">
        <v>0.872556</v>
      </c>
      <c r="F2683" s="1">
        <v>2.1556199999999999</v>
      </c>
      <c r="G2683" s="1">
        <v>12.4771</v>
      </c>
      <c r="H2683" s="1">
        <v>1.3764700000000001</v>
      </c>
    </row>
    <row r="2684" spans="1:8" x14ac:dyDescent="0.3">
      <c r="A2684">
        <f t="shared" si="109"/>
        <v>15</v>
      </c>
      <c r="B2684">
        <v>837</v>
      </c>
      <c r="C2684" s="1">
        <v>19.34</v>
      </c>
      <c r="D2684" s="9">
        <v>16.990500000001461</v>
      </c>
      <c r="E2684" s="1">
        <v>1.15585</v>
      </c>
      <c r="F2684" s="1">
        <v>1.8588800000000001</v>
      </c>
      <c r="G2684" s="1">
        <v>12.950200000000001</v>
      </c>
      <c r="H2684" s="1">
        <v>2.4550100000000001</v>
      </c>
    </row>
    <row r="2685" spans="1:8" x14ac:dyDescent="0.3">
      <c r="A2685" t="e">
        <f t="shared" si="109"/>
        <v>#REF!</v>
      </c>
      <c r="B2685">
        <v>887</v>
      </c>
      <c r="C2685" s="1">
        <v>19.62661346100484</v>
      </c>
      <c r="D2685" s="9">
        <v>17.037722222223771</v>
      </c>
      <c r="E2685" s="1">
        <v>1.4677899999999999</v>
      </c>
      <c r="F2685" s="1">
        <v>1.63852</v>
      </c>
      <c r="G2685" s="1">
        <v>13.3072</v>
      </c>
      <c r="H2685" s="1">
        <v>3.2816100000000001</v>
      </c>
    </row>
    <row r="2686" spans="1:8" x14ac:dyDescent="0.3">
      <c r="A2686">
        <f t="shared" si="109"/>
        <v>31</v>
      </c>
      <c r="B2686">
        <v>937</v>
      </c>
      <c r="C2686" s="1">
        <v>19.897041761434888</v>
      </c>
      <c r="D2686" s="9">
        <v>17.08494444444608</v>
      </c>
      <c r="E2686" s="1">
        <v>1.86087</v>
      </c>
      <c r="F2686" s="1">
        <v>1.7666299999999999</v>
      </c>
      <c r="G2686" s="1">
        <v>13.2624</v>
      </c>
      <c r="H2686" s="1">
        <v>3.5202800000000001</v>
      </c>
    </row>
    <row r="2687" spans="1:8" x14ac:dyDescent="0.3">
      <c r="A2687" t="e">
        <f t="shared" si="109"/>
        <v>#REF!</v>
      </c>
      <c r="B2687">
        <v>987</v>
      </c>
      <c r="C2687" s="1">
        <v>20.270870007354489</v>
      </c>
      <c r="D2687" s="9">
        <v>17.13216666666839</v>
      </c>
      <c r="E2687" s="1">
        <v>2.2110099999999999</v>
      </c>
      <c r="F2687" s="1">
        <v>2.2286299999999999</v>
      </c>
      <c r="G2687" s="1">
        <v>12.950799999999999</v>
      </c>
      <c r="H2687" s="1">
        <v>3.2581500000000001</v>
      </c>
    </row>
    <row r="2688" spans="1:8" x14ac:dyDescent="0.3">
      <c r="A2688">
        <f t="shared" si="109"/>
        <v>22</v>
      </c>
      <c r="B2688">
        <v>1037</v>
      </c>
      <c r="C2688" s="1">
        <v>20.691710756889989</v>
      </c>
      <c r="D2688" s="9">
        <v>17.179388888890699</v>
      </c>
      <c r="E2688" s="1">
        <v>2.3344299999999998</v>
      </c>
      <c r="F2688" s="1">
        <v>2.85006</v>
      </c>
      <c r="G2688" s="1">
        <v>12.7011</v>
      </c>
      <c r="H2688" s="1">
        <v>2.8052700000000002</v>
      </c>
    </row>
    <row r="2689" spans="1:8" x14ac:dyDescent="0.3">
      <c r="A2689" t="e">
        <f t="shared" si="109"/>
        <v>#REF!</v>
      </c>
      <c r="B2689">
        <v>1087</v>
      </c>
      <c r="C2689" s="1">
        <v>21.103112181857441</v>
      </c>
      <c r="D2689" s="9">
        <v>17.226611111113009</v>
      </c>
      <c r="E2689" s="1">
        <v>2.3102999999999998</v>
      </c>
      <c r="F2689" s="1">
        <v>3.34226</v>
      </c>
      <c r="G2689" s="1">
        <v>12.6579</v>
      </c>
      <c r="H2689" s="1">
        <v>2.5436000000000001</v>
      </c>
    </row>
    <row r="2690" spans="1:8" x14ac:dyDescent="0.3">
      <c r="A2690">
        <f t="shared" si="109"/>
        <v>13</v>
      </c>
      <c r="B2690">
        <v>1137</v>
      </c>
      <c r="C2690" s="1">
        <v>21.448633023590808</v>
      </c>
      <c r="D2690" s="9">
        <v>17.273833333335318</v>
      </c>
      <c r="E2690" s="1">
        <v>2.3210999999999999</v>
      </c>
      <c r="F2690" s="1">
        <v>3.41242</v>
      </c>
      <c r="G2690" s="1">
        <v>12.8468</v>
      </c>
      <c r="H2690" s="1">
        <v>2.8359299999999998</v>
      </c>
    </row>
    <row r="2691" spans="1:8" x14ac:dyDescent="0.3">
      <c r="A2691" t="e">
        <f t="shared" si="109"/>
        <v>#REF!</v>
      </c>
      <c r="B2691">
        <v>1187</v>
      </c>
      <c r="C2691" s="1">
        <v>21.81019367103649</v>
      </c>
      <c r="D2691" s="9">
        <v>17.321055555557628</v>
      </c>
      <c r="E2691" s="1">
        <v>2.2894999999999999</v>
      </c>
      <c r="F2691" s="1">
        <v>3.21895</v>
      </c>
      <c r="G2691" s="1">
        <v>13.0832</v>
      </c>
      <c r="H2691" s="1">
        <v>3.5819200000000002</v>
      </c>
    </row>
    <row r="2692" spans="1:8" x14ac:dyDescent="0.3">
      <c r="A2692">
        <f t="shared" si="109"/>
        <v>29</v>
      </c>
      <c r="B2692">
        <v>1237</v>
      </c>
      <c r="C2692" s="1">
        <v>22.266762544098199</v>
      </c>
      <c r="D2692" s="9">
        <v>17.368277777779937</v>
      </c>
      <c r="E2692" s="1">
        <v>2.04549</v>
      </c>
      <c r="F2692" s="1">
        <v>3.1198600000000001</v>
      </c>
      <c r="G2692" s="1">
        <v>13.117100000000001</v>
      </c>
      <c r="H2692" s="1">
        <v>4.4563100000000002</v>
      </c>
    </row>
    <row r="2693" spans="1:8" x14ac:dyDescent="0.3">
      <c r="A2693" t="e">
        <f t="shared" si="109"/>
        <v>#REF!</v>
      </c>
      <c r="B2693">
        <v>1287</v>
      </c>
      <c r="C2693" s="1">
        <v>22.689715985587711</v>
      </c>
      <c r="D2693" s="9">
        <v>17.415500000002247</v>
      </c>
      <c r="E2693" s="1">
        <v>1.7522500000000001</v>
      </c>
      <c r="F2693" s="1">
        <v>3.2334100000000001</v>
      </c>
      <c r="G2693" s="1">
        <v>13.0397</v>
      </c>
      <c r="H2693" s="1">
        <v>5.2033100000000001</v>
      </c>
    </row>
    <row r="2694" spans="1:8" x14ac:dyDescent="0.3">
      <c r="A2694">
        <f t="shared" si="109"/>
        <v>20</v>
      </c>
      <c r="B2694">
        <v>1337</v>
      </c>
      <c r="C2694" s="1">
        <v>23.024506194074078</v>
      </c>
      <c r="D2694" s="9">
        <v>17.462722222224556</v>
      </c>
      <c r="E2694" s="1">
        <v>1.7120500000000001</v>
      </c>
      <c r="F2694" s="1">
        <v>3.54481</v>
      </c>
      <c r="G2694" s="1">
        <v>13.0802</v>
      </c>
      <c r="H2694" s="1">
        <v>5.6361499999999998</v>
      </c>
    </row>
    <row r="2695" spans="1:8" x14ac:dyDescent="0.3">
      <c r="A2695" t="e">
        <f t="shared" si="109"/>
        <v>#REF!</v>
      </c>
      <c r="B2695">
        <v>1387</v>
      </c>
      <c r="C2695" s="1">
        <v>23.19381336241841</v>
      </c>
      <c r="D2695" s="9">
        <v>17.509944444446866</v>
      </c>
      <c r="E2695" s="1">
        <v>1.97818</v>
      </c>
      <c r="F2695" s="1">
        <v>3.9407700000000001</v>
      </c>
      <c r="G2695" s="1">
        <v>13.1723</v>
      </c>
      <c r="H2695" s="1">
        <v>5.8474599999999999</v>
      </c>
    </row>
    <row r="2696" spans="1:8" x14ac:dyDescent="0.3">
      <c r="A2696">
        <f t="shared" si="109"/>
        <v>36</v>
      </c>
      <c r="B2696">
        <v>1437</v>
      </c>
      <c r="C2696" s="1">
        <v>23.27</v>
      </c>
      <c r="D2696" s="9">
        <v>17.557166666669175</v>
      </c>
      <c r="E2696" s="1">
        <v>2.4615399999999998</v>
      </c>
      <c r="F2696" s="1">
        <v>4.2735300000000001</v>
      </c>
      <c r="G2696" s="1">
        <v>13.133100000000001</v>
      </c>
      <c r="H2696" s="1">
        <v>6.0377900000000002</v>
      </c>
    </row>
    <row r="2697" spans="1:8" x14ac:dyDescent="0.3">
      <c r="A2697" t="e">
        <f t="shared" si="109"/>
        <v>#REF!</v>
      </c>
      <c r="B2697">
        <v>1487</v>
      </c>
      <c r="C2697" s="1">
        <v>23.170943928454079</v>
      </c>
      <c r="D2697" s="9">
        <v>17.604388888891485</v>
      </c>
      <c r="E2697" s="1">
        <v>2.9331999999999998</v>
      </c>
      <c r="F2697" s="1">
        <v>4.5163000000000002</v>
      </c>
      <c r="G2697" s="1">
        <v>13.054600000000001</v>
      </c>
      <c r="H2697" s="1">
        <v>6.1453100000000003</v>
      </c>
    </row>
    <row r="2698" spans="1:8" x14ac:dyDescent="0.3">
      <c r="A2698">
        <f t="shared" si="109"/>
        <v>27</v>
      </c>
      <c r="B2698">
        <v>1537</v>
      </c>
      <c r="C2698" s="1">
        <v>22.928392488532101</v>
      </c>
      <c r="D2698" s="9">
        <v>17.651611111113795</v>
      </c>
      <c r="E2698" s="1">
        <v>3.1482000000000001</v>
      </c>
      <c r="F2698" s="1">
        <v>4.7207400000000002</v>
      </c>
      <c r="G2698" s="1">
        <v>13.1342</v>
      </c>
      <c r="H2698" s="1">
        <v>5.9927400000000004</v>
      </c>
    </row>
    <row r="2699" spans="1:8" x14ac:dyDescent="0.3">
      <c r="A2699" t="e">
        <f t="shared" si="109"/>
        <v>#REF!</v>
      </c>
      <c r="B2699">
        <v>1587</v>
      </c>
      <c r="C2699" s="1">
        <v>22.58980479459029</v>
      </c>
      <c r="D2699" s="9">
        <v>17.698833333336104</v>
      </c>
      <c r="E2699" s="1">
        <v>3.3115199999999998</v>
      </c>
      <c r="F2699" s="1">
        <v>5.0881800000000004</v>
      </c>
      <c r="G2699" s="1">
        <v>13.294</v>
      </c>
      <c r="H2699" s="1">
        <v>5.5335000000000001</v>
      </c>
    </row>
    <row r="2700" spans="1:8" x14ac:dyDescent="0.3">
      <c r="A2700">
        <f t="shared" si="109"/>
        <v>18</v>
      </c>
      <c r="B2700">
        <v>1637</v>
      </c>
      <c r="C2700" s="1">
        <v>22.205096650763281</v>
      </c>
      <c r="D2700" s="9">
        <v>17.746055555558414</v>
      </c>
      <c r="E2700" s="1">
        <v>3.8035000000000001</v>
      </c>
      <c r="F2700" s="1">
        <v>5.8524500000000002</v>
      </c>
      <c r="G2700" s="1">
        <v>13.347899999999999</v>
      </c>
      <c r="H2700" s="1">
        <v>4.7922700000000003</v>
      </c>
    </row>
    <row r="2701" spans="1:8" x14ac:dyDescent="0.3">
      <c r="A2701" t="e">
        <f t="shared" ref="A2701:A2732" si="110">A2651</f>
        <v>#REF!</v>
      </c>
      <c r="B2701">
        <v>1687</v>
      </c>
      <c r="C2701" s="1">
        <v>21.79</v>
      </c>
      <c r="D2701" s="9">
        <v>17.793277777780723</v>
      </c>
      <c r="E2701" s="1">
        <v>4.5889100000000003</v>
      </c>
      <c r="F2701" s="1">
        <v>6.8975200000000001</v>
      </c>
      <c r="G2701" s="1">
        <v>13.3576</v>
      </c>
      <c r="H2701" s="1">
        <v>3.8429899999999999</v>
      </c>
    </row>
    <row r="2702" spans="1:8" x14ac:dyDescent="0.3">
      <c r="A2702">
        <f t="shared" si="110"/>
        <v>34</v>
      </c>
      <c r="B2702">
        <v>1737</v>
      </c>
      <c r="C2702" s="1">
        <v>21.341699285613789</v>
      </c>
      <c r="D2702" s="9">
        <v>17.840500000003033</v>
      </c>
      <c r="E2702" s="1">
        <v>5.41106</v>
      </c>
      <c r="F2702" s="1">
        <v>7.9358700000000004</v>
      </c>
      <c r="G2702" s="1">
        <v>13.477499999999999</v>
      </c>
      <c r="H2702" s="1">
        <v>2.7795200000000002</v>
      </c>
    </row>
    <row r="2703" spans="1:8" x14ac:dyDescent="0.3">
      <c r="A2703">
        <f t="shared" si="110"/>
        <v>0</v>
      </c>
      <c r="B2703">
        <v>1787</v>
      </c>
      <c r="C2703" s="1">
        <v>21.007567903002531</v>
      </c>
      <c r="D2703" s="9">
        <v>17.887722222225342</v>
      </c>
      <c r="E2703" s="1">
        <v>5.8978200000000003</v>
      </c>
      <c r="F2703" s="1">
        <v>8.7034300000000009</v>
      </c>
      <c r="G2703" s="1">
        <v>13.6096</v>
      </c>
      <c r="H2703" s="1">
        <v>1.66069</v>
      </c>
    </row>
    <row r="2704" spans="1:8" x14ac:dyDescent="0.3">
      <c r="A2704">
        <f t="shared" si="110"/>
        <v>25</v>
      </c>
      <c r="B2704">
        <v>1837</v>
      </c>
      <c r="C2704" s="1">
        <v>20.637995847850519</v>
      </c>
      <c r="D2704" s="9">
        <v>17.934944444447652</v>
      </c>
      <c r="E2704" s="1">
        <v>5.6822800000000004</v>
      </c>
      <c r="F2704" s="1">
        <v>8.9955599999999993</v>
      </c>
      <c r="G2704" s="1">
        <v>13.5655</v>
      </c>
      <c r="H2704" s="1">
        <v>0.520316</v>
      </c>
    </row>
    <row r="2705" spans="1:8" x14ac:dyDescent="0.3">
      <c r="A2705" t="e">
        <f t="shared" si="110"/>
        <v>#REF!</v>
      </c>
      <c r="B2705">
        <v>1887</v>
      </c>
      <c r="C2705" s="1">
        <v>20.274440532081371</v>
      </c>
      <c r="D2705" s="9">
        <v>17.982166666669961</v>
      </c>
      <c r="E2705" s="1">
        <v>4.9089499999999999</v>
      </c>
      <c r="F2705" s="1">
        <v>8.9978400000000001</v>
      </c>
      <c r="G2705" s="1">
        <v>13.448</v>
      </c>
      <c r="H2705" s="1">
        <v>-0.67083800000000005</v>
      </c>
    </row>
    <row r="2706" spans="1:8" x14ac:dyDescent="0.3">
      <c r="A2706">
        <f t="shared" si="110"/>
        <v>16</v>
      </c>
      <c r="B2706">
        <v>1937</v>
      </c>
      <c r="C2706" s="1">
        <v>19.86257873983406</v>
      </c>
      <c r="D2706" s="9">
        <v>18.029388888892271</v>
      </c>
      <c r="E2706" s="1">
        <v>3.9687800000000002</v>
      </c>
      <c r="F2706" s="1">
        <v>9.04373</v>
      </c>
      <c r="G2706" s="1">
        <v>13.472</v>
      </c>
      <c r="H2706" s="1">
        <v>-1.9579500000000001</v>
      </c>
    </row>
    <row r="2707" spans="1:8" x14ac:dyDescent="0.3">
      <c r="A2707" t="e">
        <f t="shared" si="110"/>
        <v>#REF!</v>
      </c>
      <c r="B2707">
        <v>1987</v>
      </c>
      <c r="C2707" s="1">
        <v>19.595813138770659</v>
      </c>
      <c r="D2707" s="9">
        <v>18.07661111111458</v>
      </c>
      <c r="E2707" s="1">
        <v>3.2019899999999999</v>
      </c>
      <c r="F2707" s="1">
        <v>9.1013300000000008</v>
      </c>
      <c r="G2707" s="1">
        <v>13.592499999999999</v>
      </c>
      <c r="H2707" s="1">
        <v>-3.2635000000000001</v>
      </c>
    </row>
    <row r="2708" spans="1:8" x14ac:dyDescent="0.3">
      <c r="A2708">
        <f t="shared" si="110"/>
        <v>32</v>
      </c>
      <c r="B2708">
        <v>2037</v>
      </c>
      <c r="C2708" s="1">
        <v>19.36</v>
      </c>
      <c r="D2708" s="9">
        <v>18.12383333333689</v>
      </c>
      <c r="E2708" s="1">
        <v>2.8719600000000001</v>
      </c>
      <c r="F2708" s="1">
        <v>8.9867699999999999</v>
      </c>
      <c r="G2708" s="1">
        <v>13.660299999999999</v>
      </c>
      <c r="H2708" s="1">
        <v>-4.4547299999999996</v>
      </c>
    </row>
    <row r="2709" spans="1:8" x14ac:dyDescent="0.3">
      <c r="A2709" t="e">
        <f t="shared" si="110"/>
        <v>#REF!</v>
      </c>
      <c r="B2709">
        <v>2087</v>
      </c>
      <c r="C2709" s="1">
        <v>19.23009351080729</v>
      </c>
      <c r="D2709" s="9">
        <v>18.171055555559199</v>
      </c>
      <c r="E2709" s="1">
        <v>2.82375</v>
      </c>
      <c r="F2709" s="1">
        <v>8.7463200000000008</v>
      </c>
      <c r="G2709" s="1">
        <v>13.723800000000001</v>
      </c>
      <c r="H2709" s="1">
        <v>-5.4382099999999998</v>
      </c>
    </row>
    <row r="2710" spans="1:8" x14ac:dyDescent="0.3">
      <c r="A2710">
        <f t="shared" si="110"/>
        <v>23</v>
      </c>
      <c r="B2710">
        <v>2137</v>
      </c>
      <c r="C2710" s="1">
        <v>19.180241017193872</v>
      </c>
      <c r="D2710" s="9">
        <v>18.218277777781509</v>
      </c>
      <c r="E2710" s="1">
        <v>2.7404700000000002</v>
      </c>
      <c r="F2710" s="1">
        <v>8.5339100000000006</v>
      </c>
      <c r="G2710" s="1">
        <v>13.9001</v>
      </c>
      <c r="H2710" s="1">
        <v>-6.1317399999999997</v>
      </c>
    </row>
    <row r="2711" spans="1:8" x14ac:dyDescent="0.3">
      <c r="A2711" t="e">
        <f t="shared" si="110"/>
        <v>#REF!</v>
      </c>
      <c r="B2711">
        <v>2187</v>
      </c>
      <c r="C2711" s="1">
        <v>19.149791854559261</v>
      </c>
      <c r="D2711" s="9">
        <v>18.265500000003819</v>
      </c>
      <c r="E2711" s="1">
        <v>2.65272</v>
      </c>
      <c r="F2711" s="1">
        <v>8.4574400000000001</v>
      </c>
      <c r="G2711" s="1">
        <v>14.071099999999999</v>
      </c>
      <c r="H2711" s="1">
        <v>-6.3865299999999996</v>
      </c>
    </row>
    <row r="2712" spans="1:8" x14ac:dyDescent="0.3">
      <c r="A2712">
        <f t="shared" si="110"/>
        <v>14</v>
      </c>
      <c r="B2712">
        <v>2237</v>
      </c>
      <c r="C2712" s="1">
        <v>19.266609869561979</v>
      </c>
      <c r="D2712" s="9">
        <v>18.312722222226128</v>
      </c>
      <c r="E2712" s="1">
        <v>2.7287400000000002</v>
      </c>
      <c r="F2712" s="1">
        <v>8.5736699999999999</v>
      </c>
      <c r="G2712" s="1">
        <v>14.0395</v>
      </c>
      <c r="H2712" s="1">
        <v>-6.0565300000000004</v>
      </c>
    </row>
    <row r="2713" spans="1:8" x14ac:dyDescent="0.3">
      <c r="A2713" t="e">
        <f t="shared" si="110"/>
        <v>#REF!</v>
      </c>
      <c r="B2713">
        <v>2287</v>
      </c>
      <c r="C2713" s="1">
        <v>19.49599481602981</v>
      </c>
      <c r="D2713" s="9">
        <v>18.359944444448438</v>
      </c>
      <c r="E2713" s="1">
        <v>2.8731100000000001</v>
      </c>
      <c r="F2713" s="1">
        <v>8.7084499999999991</v>
      </c>
      <c r="G2713" s="1">
        <v>13.897399999999999</v>
      </c>
      <c r="H2713" s="1">
        <v>-5.2793999999999999</v>
      </c>
    </row>
    <row r="2714" spans="1:8" x14ac:dyDescent="0.3">
      <c r="A2714">
        <f t="shared" si="110"/>
        <v>30</v>
      </c>
      <c r="B2714">
        <v>2337</v>
      </c>
      <c r="C2714" s="1">
        <v>19.85198555084834</v>
      </c>
      <c r="D2714" s="9">
        <v>18.407166666670747</v>
      </c>
      <c r="E2714" s="1">
        <v>2.89188</v>
      </c>
      <c r="F2714" s="1">
        <v>8.6102799999999995</v>
      </c>
      <c r="G2714" s="1">
        <v>13.846399999999999</v>
      </c>
      <c r="H2714" s="1">
        <v>-4.3113200000000003</v>
      </c>
    </row>
    <row r="2715" spans="1:8" x14ac:dyDescent="0.3">
      <c r="A2715" t="e">
        <f t="shared" si="110"/>
        <v>#REF!</v>
      </c>
      <c r="B2715">
        <v>2387</v>
      </c>
      <c r="C2715" s="1">
        <v>20.343031865703239</v>
      </c>
      <c r="D2715" s="9">
        <v>18.454388888893057</v>
      </c>
      <c r="E2715" s="1">
        <v>2.8352900000000001</v>
      </c>
      <c r="F2715" s="1">
        <v>8.3116000000000003</v>
      </c>
      <c r="G2715" s="1">
        <v>13.8317</v>
      </c>
      <c r="H2715" s="1">
        <v>-3.2585099999999998</v>
      </c>
    </row>
    <row r="2716" spans="1:8" x14ac:dyDescent="0.3">
      <c r="A2716">
        <f t="shared" si="110"/>
        <v>21</v>
      </c>
      <c r="B2716">
        <v>2437</v>
      </c>
      <c r="C2716" s="1">
        <v>20.904700247729171</v>
      </c>
      <c r="D2716" s="9">
        <v>18.501611111115366</v>
      </c>
      <c r="E2716" s="1">
        <v>2.83691</v>
      </c>
      <c r="F2716" s="1">
        <v>7.9858399999999996</v>
      </c>
      <c r="G2716" s="1">
        <v>13.7094</v>
      </c>
      <c r="H2716" s="1">
        <v>-2.1505100000000001</v>
      </c>
    </row>
    <row r="2717" spans="1:8" x14ac:dyDescent="0.3">
      <c r="A2717" t="e">
        <f t="shared" si="110"/>
        <v>#REF!</v>
      </c>
      <c r="B2717">
        <v>2487</v>
      </c>
      <c r="C2717" s="1">
        <v>21.41781849396839</v>
      </c>
      <c r="D2717" s="9">
        <v>18.548833333337676</v>
      </c>
      <c r="E2717" s="1">
        <v>2.7447300000000001</v>
      </c>
      <c r="F2717" s="1">
        <v>7.82829</v>
      </c>
      <c r="G2717" s="1">
        <v>13.6191</v>
      </c>
      <c r="H2717" s="1">
        <v>-0.98445300000000002</v>
      </c>
    </row>
    <row r="2718" spans="1:8" x14ac:dyDescent="0.3">
      <c r="A2718">
        <f t="shared" si="110"/>
        <v>37</v>
      </c>
      <c r="B2718">
        <v>2537</v>
      </c>
      <c r="C2718" s="1">
        <v>21.928568061907779</v>
      </c>
      <c r="D2718" s="9">
        <v>18.596055555559985</v>
      </c>
      <c r="E2718" s="1">
        <v>2.3108200000000001</v>
      </c>
      <c r="F2718" s="1">
        <v>7.9987700000000004</v>
      </c>
      <c r="G2718" s="1">
        <v>13.793699999999999</v>
      </c>
      <c r="H2718" s="1">
        <v>0.25128</v>
      </c>
    </row>
    <row r="2719" spans="1:8" x14ac:dyDescent="0.3">
      <c r="A2719" t="e">
        <f t="shared" si="110"/>
        <v>#REF!</v>
      </c>
      <c r="B2719">
        <v>2587</v>
      </c>
      <c r="C2719" s="1">
        <v>22.325504484095049</v>
      </c>
      <c r="D2719" s="9">
        <v>18.643277777782295</v>
      </c>
      <c r="E2719" s="1">
        <v>1.62805</v>
      </c>
      <c r="F2719" s="1">
        <v>8.2897400000000001</v>
      </c>
      <c r="G2719" s="1">
        <v>14.121600000000001</v>
      </c>
      <c r="H2719" s="1">
        <v>1.51589</v>
      </c>
    </row>
    <row r="2720" spans="1:8" x14ac:dyDescent="0.3">
      <c r="A2720">
        <f t="shared" si="110"/>
        <v>28</v>
      </c>
      <c r="B2720">
        <v>2637</v>
      </c>
      <c r="C2720" s="1">
        <v>22.64</v>
      </c>
      <c r="D2720" s="9">
        <v>18.690500000004604</v>
      </c>
      <c r="E2720" s="1">
        <v>0.95875900000000003</v>
      </c>
      <c r="F2720" s="1">
        <v>8.3558500000000002</v>
      </c>
      <c r="G2720" s="1">
        <v>14.3392</v>
      </c>
      <c r="H2720" s="1">
        <v>2.7413799999999999</v>
      </c>
    </row>
    <row r="2721" spans="1:8" x14ac:dyDescent="0.3">
      <c r="A2721" t="e">
        <f t="shared" si="110"/>
        <v>#REF!</v>
      </c>
      <c r="B2721">
        <v>2687</v>
      </c>
      <c r="C2721" s="1">
        <v>23.150435455596629</v>
      </c>
      <c r="D2721" s="9">
        <v>18.737722222226914</v>
      </c>
      <c r="E2721" s="1">
        <v>0.60531400000000002</v>
      </c>
      <c r="F2721" s="1">
        <v>8.1695600000000006</v>
      </c>
      <c r="G2721" s="1">
        <v>14.292</v>
      </c>
      <c r="H2721" s="1">
        <v>3.8429799999999998</v>
      </c>
    </row>
    <row r="2722" spans="1:8" x14ac:dyDescent="0.3">
      <c r="A2722">
        <f t="shared" si="110"/>
        <v>19</v>
      </c>
      <c r="B2722">
        <v>2737</v>
      </c>
      <c r="C2722" s="1">
        <v>23.554871948848849</v>
      </c>
      <c r="D2722" s="9">
        <v>18.784944444449224</v>
      </c>
      <c r="E2722" s="1">
        <v>0.83867199999999997</v>
      </c>
      <c r="F2722" s="1">
        <v>7.8789899999999999</v>
      </c>
      <c r="G2722" s="1">
        <v>13.9138</v>
      </c>
      <c r="H2722" s="1">
        <v>4.7321099999999996</v>
      </c>
    </row>
    <row r="2723" spans="1:8" x14ac:dyDescent="0.3">
      <c r="A2723" t="e">
        <f t="shared" si="110"/>
        <v>#REF!</v>
      </c>
      <c r="B2723">
        <v>2787</v>
      </c>
      <c r="C2723" s="1">
        <v>23.92361352034694</v>
      </c>
      <c r="D2723" s="9">
        <v>18.832166666671533</v>
      </c>
      <c r="E2723" s="1">
        <v>1.5302899999999999</v>
      </c>
      <c r="F2723" s="1">
        <v>7.8098400000000003</v>
      </c>
      <c r="G2723" s="1">
        <v>13.4168</v>
      </c>
      <c r="H2723" s="1">
        <v>5.3520799999999999</v>
      </c>
    </row>
    <row r="2724" spans="1:8" x14ac:dyDescent="0.3">
      <c r="A2724">
        <f t="shared" si="110"/>
        <v>35</v>
      </c>
      <c r="B2724">
        <v>2837</v>
      </c>
      <c r="C2724" s="1">
        <v>24.148971473394411</v>
      </c>
      <c r="D2724" s="9">
        <v>18.879388888893843</v>
      </c>
      <c r="E2724" s="1">
        <v>2.3617400000000002</v>
      </c>
      <c r="F2724" s="1">
        <v>8.3224800000000005</v>
      </c>
      <c r="G2724" s="1">
        <v>13.1326</v>
      </c>
      <c r="H2724" s="1">
        <v>5.6842499999999996</v>
      </c>
    </row>
    <row r="2725" spans="1:8" x14ac:dyDescent="0.3">
      <c r="A2725" t="e">
        <f t="shared" si="110"/>
        <v>#REF!</v>
      </c>
      <c r="B2725">
        <v>2887</v>
      </c>
      <c r="C2725" s="1">
        <v>24.32</v>
      </c>
      <c r="D2725" s="9">
        <v>18.926611111116152</v>
      </c>
      <c r="E2725" s="1">
        <v>3.0238900000000002</v>
      </c>
      <c r="F2725" s="1">
        <v>9.3773199999999992</v>
      </c>
      <c r="G2725" s="1">
        <v>13.289899999999999</v>
      </c>
      <c r="H2725" s="1">
        <v>5.8899100000000004</v>
      </c>
    </row>
    <row r="2726" spans="1:8" x14ac:dyDescent="0.3">
      <c r="A2726">
        <f t="shared" si="110"/>
        <v>26</v>
      </c>
      <c r="B2726">
        <v>2937</v>
      </c>
      <c r="C2726" s="1">
        <v>24.213527711635422</v>
      </c>
      <c r="D2726" s="9">
        <v>18.973833333338462</v>
      </c>
      <c r="E2726" s="1">
        <v>3.2740399999999998</v>
      </c>
      <c r="F2726" s="1">
        <v>10.731999999999999</v>
      </c>
      <c r="G2726" s="1">
        <v>14.0289</v>
      </c>
      <c r="H2726" s="1">
        <v>6.1840999999999999</v>
      </c>
    </row>
    <row r="2727" spans="1:8" x14ac:dyDescent="0.3">
      <c r="A2727" t="e">
        <f t="shared" si="110"/>
        <v>#REF!</v>
      </c>
      <c r="B2727">
        <v>2987</v>
      </c>
      <c r="C2727" s="1">
        <v>24.04150487254844</v>
      </c>
      <c r="D2727" s="9">
        <v>19.021055555560771</v>
      </c>
      <c r="E2727" s="1">
        <v>3.3572000000000002</v>
      </c>
      <c r="F2727" s="1">
        <v>12.0541</v>
      </c>
      <c r="G2727" s="1">
        <v>15.1785</v>
      </c>
      <c r="H2727" s="1">
        <v>6.5370999999999997</v>
      </c>
    </row>
    <row r="2728" spans="1:8" x14ac:dyDescent="0.3">
      <c r="A2728">
        <f t="shared" si="110"/>
        <v>17</v>
      </c>
      <c r="B2728">
        <v>3037</v>
      </c>
      <c r="C2728" s="1">
        <v>23.89815620344751</v>
      </c>
      <c r="D2728" s="9">
        <v>19.068277777783081</v>
      </c>
      <c r="E2728" s="1">
        <v>3.7081400000000002</v>
      </c>
      <c r="F2728" s="1">
        <v>12.982900000000001</v>
      </c>
      <c r="G2728" s="1">
        <v>16.418600000000001</v>
      </c>
      <c r="H2728" s="1">
        <v>6.8315400000000004</v>
      </c>
    </row>
    <row r="2729" spans="1:8" x14ac:dyDescent="0.3">
      <c r="A2729" t="e">
        <f t="shared" si="110"/>
        <v>#REF!</v>
      </c>
      <c r="B2729">
        <v>3087</v>
      </c>
      <c r="C2729" s="1">
        <v>23.649239007074009</v>
      </c>
      <c r="D2729" s="9">
        <v>19.11550000000539</v>
      </c>
      <c r="E2729" s="1">
        <v>4.4236399999999998</v>
      </c>
      <c r="F2729" s="1">
        <v>13.2807</v>
      </c>
      <c r="G2729" s="1">
        <v>17.421099999999999</v>
      </c>
      <c r="H2729" s="1">
        <v>7.1676799999999998</v>
      </c>
    </row>
    <row r="2730" spans="1:8" x14ac:dyDescent="0.3">
      <c r="A2730">
        <f t="shared" si="110"/>
        <v>33</v>
      </c>
      <c r="B2730">
        <v>3137</v>
      </c>
      <c r="C2730" s="1">
        <v>23.26081948113746</v>
      </c>
      <c r="D2730" s="9">
        <v>19.1627222222277</v>
      </c>
      <c r="E2730" s="1">
        <v>5.4200400000000002</v>
      </c>
      <c r="F2730" s="1">
        <v>12.830399999999999</v>
      </c>
      <c r="G2730" s="1">
        <v>17.907299999999999</v>
      </c>
      <c r="H2730" s="1">
        <v>7.7252200000000002</v>
      </c>
    </row>
    <row r="2731" spans="1:8" x14ac:dyDescent="0.3">
      <c r="A2731" t="e">
        <f t="shared" si="110"/>
        <v>#REF!</v>
      </c>
      <c r="B2731">
        <v>3187</v>
      </c>
      <c r="C2731" s="1">
        <v>22.879901159273331</v>
      </c>
      <c r="D2731" s="9">
        <v>19.209944444450009</v>
      </c>
      <c r="E2731" s="1">
        <v>6.5016299999999996</v>
      </c>
      <c r="F2731" s="1">
        <v>11.8628</v>
      </c>
      <c r="G2731" s="1">
        <v>17.9026</v>
      </c>
      <c r="H2731" s="1">
        <v>8.55138</v>
      </c>
    </row>
    <row r="2732" spans="1:8" x14ac:dyDescent="0.3">
      <c r="A2732">
        <f t="shared" si="110"/>
        <v>24</v>
      </c>
      <c r="B2732">
        <v>3237</v>
      </c>
      <c r="C2732" s="1">
        <v>22.524475710306611</v>
      </c>
      <c r="D2732" s="9">
        <v>19.257166666672319</v>
      </c>
      <c r="E2732" s="1">
        <v>7.4621399999999998</v>
      </c>
      <c r="F2732" s="1">
        <v>10.744199999999999</v>
      </c>
      <c r="G2732" s="1">
        <v>17.570699999999999</v>
      </c>
      <c r="H2732" s="1">
        <v>9.6258599999999994</v>
      </c>
    </row>
    <row r="2733" spans="1:8" x14ac:dyDescent="0.3">
      <c r="A2733" t="e">
        <f t="shared" ref="A2733:A2739" si="111">A2683</f>
        <v>#REF!</v>
      </c>
      <c r="B2733">
        <v>3287</v>
      </c>
      <c r="C2733" s="1">
        <v>22.10488392406036</v>
      </c>
      <c r="D2733" s="9">
        <v>19.304388888894628</v>
      </c>
      <c r="E2733" s="1">
        <v>8.3732799999999994</v>
      </c>
      <c r="F2733" s="1">
        <v>9.8629899999999999</v>
      </c>
      <c r="G2733" s="1">
        <v>17.147300000000001</v>
      </c>
      <c r="H2733" s="1">
        <v>10.8841</v>
      </c>
    </row>
    <row r="2734" spans="1:8" x14ac:dyDescent="0.3">
      <c r="A2734">
        <f t="shared" si="111"/>
        <v>15</v>
      </c>
      <c r="B2734">
        <v>3337</v>
      </c>
      <c r="C2734" s="1">
        <v>21.769216562827829</v>
      </c>
      <c r="D2734" s="9">
        <v>19.351611111116938</v>
      </c>
      <c r="E2734" s="1">
        <v>9.6633200000000006</v>
      </c>
      <c r="F2734" s="1">
        <v>10.216900000000001</v>
      </c>
      <c r="G2734" s="1">
        <v>17.087900000000001</v>
      </c>
      <c r="H2734" s="1">
        <v>12.2865</v>
      </c>
    </row>
    <row r="2735" spans="1:8" x14ac:dyDescent="0.3">
      <c r="A2735" t="e">
        <f t="shared" si="111"/>
        <v>#REF!</v>
      </c>
      <c r="B2735">
        <v>3387</v>
      </c>
      <c r="C2735" s="1">
        <v>21.464428887750451</v>
      </c>
      <c r="D2735" s="9">
        <v>19.398833333339248</v>
      </c>
      <c r="E2735" s="1">
        <v>11.3718</v>
      </c>
      <c r="F2735" s="1">
        <v>11.636799999999999</v>
      </c>
      <c r="G2735" s="1">
        <v>17.321100000000001</v>
      </c>
      <c r="H2735" s="1">
        <v>13.7164</v>
      </c>
    </row>
    <row r="2736" spans="1:8" x14ac:dyDescent="0.3">
      <c r="A2736">
        <f t="shared" si="111"/>
        <v>31</v>
      </c>
      <c r="B2736">
        <v>3437</v>
      </c>
      <c r="C2736" s="1">
        <v>21.08838724713338</v>
      </c>
      <c r="D2736" s="9">
        <v>19.446055555561557</v>
      </c>
      <c r="E2736" s="1">
        <v>13.225</v>
      </c>
      <c r="F2736" s="1">
        <v>13.352</v>
      </c>
      <c r="G2736" s="1">
        <v>17.695399999999999</v>
      </c>
      <c r="H2736" s="1">
        <v>15.12</v>
      </c>
    </row>
    <row r="2737" spans="1:8" x14ac:dyDescent="0.3">
      <c r="A2737" t="e">
        <f t="shared" si="111"/>
        <v>#REF!</v>
      </c>
      <c r="B2737">
        <v>3487</v>
      </c>
      <c r="C2737" s="1">
        <v>20.567309816497389</v>
      </c>
      <c r="D2737" s="9">
        <v>19.493277777783867</v>
      </c>
      <c r="E2737" s="1">
        <v>15.146699999999999</v>
      </c>
      <c r="F2737" s="1">
        <v>15.2033</v>
      </c>
      <c r="G2737" s="1">
        <v>18.188600000000001</v>
      </c>
      <c r="H2737" s="1">
        <v>16.5061</v>
      </c>
    </row>
    <row r="2738" spans="1:8" x14ac:dyDescent="0.3">
      <c r="A2738">
        <f t="shared" si="111"/>
        <v>22</v>
      </c>
      <c r="B2738">
        <v>3537</v>
      </c>
      <c r="C2738" s="1">
        <v>20.13</v>
      </c>
      <c r="D2738" s="9">
        <v>19.540500000006176</v>
      </c>
      <c r="E2738" s="1">
        <v>17.104399999999998</v>
      </c>
      <c r="F2738" s="1">
        <v>17.124600000000001</v>
      </c>
      <c r="G2738" s="1">
        <v>18.771000000000001</v>
      </c>
      <c r="H2738" s="1">
        <v>17.880400000000002</v>
      </c>
    </row>
    <row r="2739" spans="1:8" x14ac:dyDescent="0.3">
      <c r="A2739" t="e">
        <f t="shared" si="111"/>
        <v>#REF!</v>
      </c>
      <c r="B2739">
        <v>3587</v>
      </c>
      <c r="C2739" s="1">
        <v>19.712690358231679</v>
      </c>
      <c r="D2739" s="9">
        <v>19.587722222228486</v>
      </c>
      <c r="E2739" s="1">
        <v>19.083200000000001</v>
      </c>
      <c r="F2739" s="1">
        <v>19.085699999999999</v>
      </c>
      <c r="G2739" s="1">
        <v>19.421600000000002</v>
      </c>
      <c r="H2739" s="1">
        <v>19.245999999999999</v>
      </c>
    </row>
    <row r="2740" spans="1:8" x14ac:dyDescent="0.3">
      <c r="A2740">
        <v>38</v>
      </c>
      <c r="B2740">
        <v>38</v>
      </c>
      <c r="C2740" s="1">
        <v>16.18</v>
      </c>
      <c r="D2740" s="9">
        <v>16.235888888888955</v>
      </c>
      <c r="E2740" s="1">
        <v>14.7933</v>
      </c>
      <c r="F2740" s="1">
        <v>14.6998</v>
      </c>
      <c r="G2740" s="1">
        <v>15.7423</v>
      </c>
      <c r="H2740" s="1">
        <v>14.7826</v>
      </c>
    </row>
    <row r="2741" spans="1:8" x14ac:dyDescent="0.3">
      <c r="A2741" t="e">
        <f t="shared" ref="A2741:A2772" si="112">A2691</f>
        <v>#REF!</v>
      </c>
      <c r="B2741">
        <v>88</v>
      </c>
      <c r="C2741" s="1">
        <v>16.221323595943691</v>
      </c>
      <c r="D2741" s="9">
        <v>16.283111111111264</v>
      </c>
      <c r="E2741" s="1">
        <v>12.9635</v>
      </c>
      <c r="F2741" s="1">
        <v>12.752599999999999</v>
      </c>
      <c r="G2741" s="1">
        <v>15.19</v>
      </c>
      <c r="H2741" s="1">
        <v>12.9094</v>
      </c>
    </row>
    <row r="2742" spans="1:8" x14ac:dyDescent="0.3">
      <c r="A2742">
        <f t="shared" si="112"/>
        <v>29</v>
      </c>
      <c r="B2742">
        <v>138</v>
      </c>
      <c r="C2742" s="1">
        <v>16.38424488415356</v>
      </c>
      <c r="D2742" s="9">
        <v>16.330333333333574</v>
      </c>
      <c r="E2742" s="1">
        <v>11.167199999999999</v>
      </c>
      <c r="F2742" s="1">
        <v>10.8551</v>
      </c>
      <c r="G2742" s="1">
        <v>14.707000000000001</v>
      </c>
      <c r="H2742" s="1">
        <v>11.026300000000001</v>
      </c>
    </row>
    <row r="2743" spans="1:8" x14ac:dyDescent="0.3">
      <c r="A2743" t="e">
        <f t="shared" si="112"/>
        <v>#REF!</v>
      </c>
      <c r="B2743">
        <v>188</v>
      </c>
      <c r="C2743" s="1">
        <v>16.690725247711971</v>
      </c>
      <c r="D2743" s="9">
        <v>16.377555555555883</v>
      </c>
      <c r="E2743" s="1">
        <v>9.4222099999999998</v>
      </c>
      <c r="F2743" s="1">
        <v>9.0481599999999993</v>
      </c>
      <c r="G2743" s="1">
        <v>14.3108</v>
      </c>
      <c r="H2743" s="1">
        <v>9.1333400000000005</v>
      </c>
    </row>
    <row r="2744" spans="1:8" x14ac:dyDescent="0.3">
      <c r="A2744">
        <f t="shared" si="112"/>
        <v>20</v>
      </c>
      <c r="B2744">
        <v>238</v>
      </c>
      <c r="C2744" s="1">
        <v>16.87</v>
      </c>
      <c r="D2744" s="9">
        <v>16.424777777778193</v>
      </c>
      <c r="E2744" s="1">
        <v>7.76267</v>
      </c>
      <c r="F2744" s="1">
        <v>7.42523</v>
      </c>
      <c r="G2744" s="1">
        <v>14.0139</v>
      </c>
      <c r="H2744" s="1">
        <v>7.2371299999999996</v>
      </c>
    </row>
    <row r="2745" spans="1:8" x14ac:dyDescent="0.3">
      <c r="A2745" t="e">
        <f t="shared" si="112"/>
        <v>#REF!</v>
      </c>
      <c r="B2745">
        <v>288</v>
      </c>
      <c r="C2745" s="1">
        <v>17.043383829741931</v>
      </c>
      <c r="D2745" s="9">
        <v>16.472000000000502</v>
      </c>
      <c r="E2745" s="1">
        <v>6.2880700000000003</v>
      </c>
      <c r="F2745" s="1">
        <v>6.2885999999999997</v>
      </c>
      <c r="G2745" s="1">
        <v>13.8081</v>
      </c>
      <c r="H2745" s="1">
        <v>5.4163500000000004</v>
      </c>
    </row>
    <row r="2746" spans="1:8" x14ac:dyDescent="0.3">
      <c r="A2746">
        <f t="shared" si="112"/>
        <v>36</v>
      </c>
      <c r="B2746">
        <v>338</v>
      </c>
      <c r="C2746" s="1">
        <v>17.256031037299209</v>
      </c>
      <c r="D2746" s="9">
        <v>16.519222222222812</v>
      </c>
      <c r="E2746" s="1">
        <v>5.3118800000000004</v>
      </c>
      <c r="F2746" s="1">
        <v>6.3152299999999997</v>
      </c>
      <c r="G2746" s="1">
        <v>13.9345</v>
      </c>
      <c r="H2746" s="1">
        <v>4.0915600000000003</v>
      </c>
    </row>
    <row r="2747" spans="1:8" x14ac:dyDescent="0.3">
      <c r="A2747" t="e">
        <f t="shared" si="112"/>
        <v>#REF!</v>
      </c>
      <c r="B2747">
        <v>388</v>
      </c>
      <c r="C2747" s="1">
        <v>17.491768857503551</v>
      </c>
      <c r="D2747" s="9">
        <v>16.566444444445121</v>
      </c>
      <c r="E2747" s="1">
        <v>4.6509099999999997</v>
      </c>
      <c r="F2747" s="1">
        <v>6.64236</v>
      </c>
      <c r="G2747" s="1">
        <v>14.0733</v>
      </c>
      <c r="H2747" s="1">
        <v>3.1598299999999999</v>
      </c>
    </row>
    <row r="2748" spans="1:8" x14ac:dyDescent="0.3">
      <c r="A2748">
        <f t="shared" si="112"/>
        <v>27</v>
      </c>
      <c r="B2748">
        <v>438</v>
      </c>
      <c r="C2748" s="1">
        <v>17.760881007737929</v>
      </c>
      <c r="D2748" s="9">
        <v>16.613666666667431</v>
      </c>
      <c r="E2748" s="1">
        <v>4.2267599999999996</v>
      </c>
      <c r="F2748" s="1">
        <v>6.72776</v>
      </c>
      <c r="G2748" s="1">
        <v>13.943199999999999</v>
      </c>
      <c r="H2748" s="1">
        <v>2.5822099999999999</v>
      </c>
    </row>
    <row r="2749" spans="1:8" x14ac:dyDescent="0.3">
      <c r="A2749" t="e">
        <f t="shared" si="112"/>
        <v>#REF!</v>
      </c>
      <c r="B2749">
        <v>488</v>
      </c>
      <c r="C2749" s="1">
        <v>17.941563989335108</v>
      </c>
      <c r="D2749" s="9">
        <v>16.66088888888974</v>
      </c>
      <c r="E2749" s="1">
        <v>3.8123499999999999</v>
      </c>
      <c r="F2749" s="1">
        <v>6.4254499999999997</v>
      </c>
      <c r="G2749" s="1">
        <v>13.617599999999999</v>
      </c>
      <c r="H2749" s="1">
        <v>2.1381000000000001</v>
      </c>
    </row>
    <row r="2750" spans="1:8" x14ac:dyDescent="0.3">
      <c r="A2750">
        <f t="shared" si="112"/>
        <v>18</v>
      </c>
      <c r="B2750">
        <v>538</v>
      </c>
      <c r="C2750" s="1">
        <v>18.100000000000001</v>
      </c>
      <c r="D2750" s="9">
        <v>16.70811111111205</v>
      </c>
      <c r="E2750" s="1">
        <v>3.1133999999999999</v>
      </c>
      <c r="F2750" s="1">
        <v>5.7051499999999997</v>
      </c>
      <c r="G2750" s="1">
        <v>13.2822</v>
      </c>
      <c r="H2750" s="1">
        <v>1.5196400000000001</v>
      </c>
    </row>
    <row r="2751" spans="1:8" x14ac:dyDescent="0.3">
      <c r="A2751" t="e">
        <f t="shared" si="112"/>
        <v>#REF!</v>
      </c>
      <c r="B2751">
        <v>588</v>
      </c>
      <c r="C2751" s="1">
        <v>18.331101852442629</v>
      </c>
      <c r="D2751" s="9">
        <v>16.755333333334359</v>
      </c>
      <c r="E2751" s="1">
        <v>2.20262</v>
      </c>
      <c r="F2751" s="1">
        <v>4.71502</v>
      </c>
      <c r="G2751" s="1">
        <v>12.9358</v>
      </c>
      <c r="H2751" s="1">
        <v>0.78165099999999998</v>
      </c>
    </row>
    <row r="2752" spans="1:8" x14ac:dyDescent="0.3">
      <c r="A2752">
        <f t="shared" si="112"/>
        <v>34</v>
      </c>
      <c r="B2752">
        <v>638</v>
      </c>
      <c r="C2752" s="1">
        <v>18.489999999999998</v>
      </c>
      <c r="D2752" s="9">
        <v>16.802555555556669</v>
      </c>
      <c r="E2752" s="1">
        <v>1.3434699999999999</v>
      </c>
      <c r="F2752" s="1">
        <v>3.6979899999999999</v>
      </c>
      <c r="G2752" s="1">
        <v>12.5092</v>
      </c>
      <c r="H2752" s="1">
        <v>0.17308100000000001</v>
      </c>
    </row>
    <row r="2753" spans="1:8" x14ac:dyDescent="0.3">
      <c r="A2753">
        <f t="shared" si="112"/>
        <v>0</v>
      </c>
      <c r="B2753">
        <v>688</v>
      </c>
      <c r="C2753" s="1">
        <v>18.628419085910711</v>
      </c>
      <c r="D2753" s="9">
        <v>16.849777777778979</v>
      </c>
      <c r="E2753" s="1">
        <v>0.77017599999999997</v>
      </c>
      <c r="F2753" s="1">
        <v>2.8733</v>
      </c>
      <c r="G2753" s="1">
        <v>12.169700000000001</v>
      </c>
      <c r="H2753" s="1">
        <v>-2.2416499999999999E-2</v>
      </c>
    </row>
    <row r="2754" spans="1:8" x14ac:dyDescent="0.3">
      <c r="A2754">
        <f t="shared" si="112"/>
        <v>25</v>
      </c>
      <c r="B2754">
        <v>738</v>
      </c>
      <c r="C2754" s="1">
        <v>18.78</v>
      </c>
      <c r="D2754" s="9">
        <v>16.897000000001288</v>
      </c>
      <c r="E2754" s="1">
        <v>0.66073400000000004</v>
      </c>
      <c r="F2754" s="1">
        <v>2.40672</v>
      </c>
      <c r="G2754" s="1">
        <v>12.167899999999999</v>
      </c>
      <c r="H2754" s="1">
        <v>0.44203999999999999</v>
      </c>
    </row>
    <row r="2755" spans="1:8" x14ac:dyDescent="0.3">
      <c r="A2755" t="e">
        <f t="shared" si="112"/>
        <v>#REF!</v>
      </c>
      <c r="B2755">
        <v>788</v>
      </c>
      <c r="C2755" s="1">
        <v>19.058088471985702</v>
      </c>
      <c r="D2755" s="9">
        <v>16.944222222223598</v>
      </c>
      <c r="E2755" s="1">
        <v>0.878243</v>
      </c>
      <c r="F2755" s="1">
        <v>2.15063</v>
      </c>
      <c r="G2755" s="1">
        <v>12.4856</v>
      </c>
      <c r="H2755" s="1">
        <v>1.39802</v>
      </c>
    </row>
    <row r="2756" spans="1:8" x14ac:dyDescent="0.3">
      <c r="A2756">
        <f t="shared" si="112"/>
        <v>16</v>
      </c>
      <c r="B2756">
        <v>838</v>
      </c>
      <c r="C2756" s="1">
        <v>19.34</v>
      </c>
      <c r="D2756" s="9">
        <v>16.991444444445907</v>
      </c>
      <c r="E2756" s="1">
        <v>1.16157</v>
      </c>
      <c r="F2756" s="1">
        <v>1.8527199999999999</v>
      </c>
      <c r="G2756" s="1">
        <v>12.9596</v>
      </c>
      <c r="H2756" s="1">
        <v>2.4752900000000002</v>
      </c>
    </row>
    <row r="2757" spans="1:8" x14ac:dyDescent="0.3">
      <c r="A2757" t="e">
        <f t="shared" si="112"/>
        <v>#REF!</v>
      </c>
      <c r="B2757">
        <v>888</v>
      </c>
      <c r="C2757" s="1">
        <v>19.631514014034799</v>
      </c>
      <c r="D2757" s="9">
        <v>17.038666666668217</v>
      </c>
      <c r="E2757" s="1">
        <v>1.47482</v>
      </c>
      <c r="F2757" s="1">
        <v>1.6369800000000001</v>
      </c>
      <c r="G2757" s="1">
        <v>13.3108</v>
      </c>
      <c r="H2757" s="1">
        <v>3.2929300000000001</v>
      </c>
    </row>
    <row r="2758" spans="1:8" x14ac:dyDescent="0.3">
      <c r="A2758">
        <f t="shared" si="112"/>
        <v>32</v>
      </c>
      <c r="B2758">
        <v>938</v>
      </c>
      <c r="C2758" s="1">
        <v>19.902845767227809</v>
      </c>
      <c r="D2758" s="9">
        <v>17.085888888890526</v>
      </c>
      <c r="E2758" s="1">
        <v>1.8690100000000001</v>
      </c>
      <c r="F2758" s="1">
        <v>1.7731300000000001</v>
      </c>
      <c r="G2758" s="1">
        <v>13.2576</v>
      </c>
      <c r="H2758" s="1">
        <v>3.5189499999999998</v>
      </c>
    </row>
    <row r="2759" spans="1:8" x14ac:dyDescent="0.3">
      <c r="A2759" t="e">
        <f t="shared" si="112"/>
        <v>#REF!</v>
      </c>
      <c r="B2759">
        <v>988</v>
      </c>
      <c r="C2759" s="1">
        <v>20.27994960821523</v>
      </c>
      <c r="D2759" s="9">
        <v>17.133111111112836</v>
      </c>
      <c r="E2759" s="1">
        <v>2.2161</v>
      </c>
      <c r="F2759" s="1">
        <v>2.24017</v>
      </c>
      <c r="G2759" s="1">
        <v>12.9442</v>
      </c>
      <c r="H2759" s="1">
        <v>3.24987</v>
      </c>
    </row>
    <row r="2760" spans="1:8" x14ac:dyDescent="0.3">
      <c r="A2760">
        <f t="shared" si="112"/>
        <v>23</v>
      </c>
      <c r="B2760">
        <v>1038</v>
      </c>
      <c r="C2760" s="1">
        <v>20.701081686392481</v>
      </c>
      <c r="D2760" s="9">
        <v>17.180333333335145</v>
      </c>
      <c r="E2760" s="1">
        <v>2.3346900000000002</v>
      </c>
      <c r="F2760" s="1">
        <v>2.86232</v>
      </c>
      <c r="G2760" s="1">
        <v>12.6981</v>
      </c>
      <c r="H2760" s="1">
        <v>2.79677</v>
      </c>
    </row>
    <row r="2761" spans="1:8" x14ac:dyDescent="0.3">
      <c r="A2761" t="e">
        <f t="shared" si="112"/>
        <v>#REF!</v>
      </c>
      <c r="B2761">
        <v>1088</v>
      </c>
      <c r="C2761" s="1">
        <v>21.10770546922728</v>
      </c>
      <c r="D2761" s="9">
        <v>17.227555555557455</v>
      </c>
      <c r="E2761" s="1">
        <v>2.3097699999999999</v>
      </c>
      <c r="F2761" s="1">
        <v>3.3484099999999999</v>
      </c>
      <c r="G2761" s="1">
        <v>12.6595</v>
      </c>
      <c r="H2761" s="1">
        <v>2.54318</v>
      </c>
    </row>
    <row r="2762" spans="1:8" x14ac:dyDescent="0.3">
      <c r="A2762">
        <f t="shared" si="112"/>
        <v>14</v>
      </c>
      <c r="B2762">
        <v>1138</v>
      </c>
      <c r="C2762" s="1">
        <v>21.453037298302871</v>
      </c>
      <c r="D2762" s="9">
        <v>17.274777777779764</v>
      </c>
      <c r="E2762" s="1">
        <v>2.3215699999999999</v>
      </c>
      <c r="F2762" s="1">
        <v>3.4098600000000001</v>
      </c>
      <c r="G2762" s="1">
        <v>12.852</v>
      </c>
      <c r="H2762" s="1">
        <v>2.8475000000000001</v>
      </c>
    </row>
    <row r="2763" spans="1:8" x14ac:dyDescent="0.3">
      <c r="A2763" t="e">
        <f t="shared" si="112"/>
        <v>#REF!</v>
      </c>
      <c r="B2763">
        <v>1188</v>
      </c>
      <c r="C2763" s="1">
        <v>21.823400182435929</v>
      </c>
      <c r="D2763" s="9">
        <v>17.322000000002074</v>
      </c>
      <c r="E2763" s="1">
        <v>2.2869999999999999</v>
      </c>
      <c r="F2763" s="1">
        <v>3.2150400000000001</v>
      </c>
      <c r="G2763" s="1">
        <v>13.086399999999999</v>
      </c>
      <c r="H2763" s="1">
        <v>3.59918</v>
      </c>
    </row>
    <row r="2764" spans="1:8" x14ac:dyDescent="0.3">
      <c r="A2764">
        <f t="shared" si="112"/>
        <v>30</v>
      </c>
      <c r="B2764">
        <v>1238</v>
      </c>
      <c r="C2764" s="1">
        <v>22.272314462531838</v>
      </c>
      <c r="D2764" s="9">
        <v>17.369222222224384</v>
      </c>
      <c r="E2764" s="1">
        <v>2.0390100000000002</v>
      </c>
      <c r="F2764" s="1">
        <v>3.12005</v>
      </c>
      <c r="G2764" s="1">
        <v>13.1157</v>
      </c>
      <c r="H2764" s="1">
        <v>4.47323</v>
      </c>
    </row>
    <row r="2765" spans="1:8" x14ac:dyDescent="0.3">
      <c r="A2765" t="e">
        <f t="shared" si="112"/>
        <v>#REF!</v>
      </c>
      <c r="B2765">
        <v>1288</v>
      </c>
      <c r="C2765" s="1">
        <v>22.69826419965209</v>
      </c>
      <c r="D2765" s="9">
        <v>17.416444444446693</v>
      </c>
      <c r="E2765" s="1">
        <v>1.7481599999999999</v>
      </c>
      <c r="F2765" s="1">
        <v>3.2378300000000002</v>
      </c>
      <c r="G2765" s="1">
        <v>13.0388</v>
      </c>
      <c r="H2765" s="1">
        <v>5.2154400000000001</v>
      </c>
    </row>
    <row r="2766" spans="1:8" x14ac:dyDescent="0.3">
      <c r="A2766">
        <f t="shared" si="112"/>
        <v>21</v>
      </c>
      <c r="B2766">
        <v>1338</v>
      </c>
      <c r="C2766" s="1">
        <v>23.02865077358577</v>
      </c>
      <c r="D2766" s="9">
        <v>17.463666666669003</v>
      </c>
      <c r="E2766" s="1">
        <v>1.7145999999999999</v>
      </c>
      <c r="F2766" s="1">
        <v>3.5524300000000002</v>
      </c>
      <c r="G2766" s="1">
        <v>13.0823</v>
      </c>
      <c r="H2766" s="1">
        <v>5.6417799999999998</v>
      </c>
    </row>
    <row r="2767" spans="1:8" x14ac:dyDescent="0.3">
      <c r="A2767" t="e">
        <f t="shared" si="112"/>
        <v>#REF!</v>
      </c>
      <c r="B2767">
        <v>1388</v>
      </c>
      <c r="C2767" s="1">
        <v>23.197992252338089</v>
      </c>
      <c r="D2767" s="9">
        <v>17.510888888891312</v>
      </c>
      <c r="E2767" s="1">
        <v>1.98613</v>
      </c>
      <c r="F2767" s="1">
        <v>3.9484300000000001</v>
      </c>
      <c r="G2767" s="1">
        <v>13.1732</v>
      </c>
      <c r="H2767" s="1">
        <v>5.8510099999999996</v>
      </c>
    </row>
    <row r="2768" spans="1:8" x14ac:dyDescent="0.3">
      <c r="A2768">
        <f t="shared" si="112"/>
        <v>37</v>
      </c>
      <c r="B2768">
        <v>1438</v>
      </c>
      <c r="C2768" s="1">
        <v>23.266698535124409</v>
      </c>
      <c r="D2768" s="9">
        <v>17.558111111113622</v>
      </c>
      <c r="E2768" s="1">
        <v>2.4720800000000001</v>
      </c>
      <c r="F2768" s="1">
        <v>4.2791600000000001</v>
      </c>
      <c r="G2768" s="1">
        <v>13.1311</v>
      </c>
      <c r="H2768" s="1">
        <v>6.0413899999999998</v>
      </c>
    </row>
    <row r="2769" spans="1:8" x14ac:dyDescent="0.3">
      <c r="A2769" t="e">
        <f t="shared" si="112"/>
        <v>#REF!</v>
      </c>
      <c r="B2769">
        <v>1488</v>
      </c>
      <c r="C2769" s="1">
        <v>23.166935406276561</v>
      </c>
      <c r="D2769" s="9">
        <v>17.605333333335931</v>
      </c>
      <c r="E2769" s="1">
        <v>2.9404699999999999</v>
      </c>
      <c r="F2769" s="1">
        <v>4.5204599999999999</v>
      </c>
      <c r="G2769" s="1">
        <v>13.0542</v>
      </c>
      <c r="H2769" s="1">
        <v>6.1452900000000001</v>
      </c>
    </row>
    <row r="2770" spans="1:8" x14ac:dyDescent="0.3">
      <c r="A2770">
        <f t="shared" si="112"/>
        <v>28</v>
      </c>
      <c r="B2770">
        <v>1538</v>
      </c>
      <c r="C2770" s="1">
        <v>22.924296813564869</v>
      </c>
      <c r="D2770" s="9">
        <v>17.652555555558241</v>
      </c>
      <c r="E2770" s="1">
        <v>3.15055</v>
      </c>
      <c r="F2770" s="1">
        <v>4.7255799999999999</v>
      </c>
      <c r="G2770" s="1">
        <v>13.1373</v>
      </c>
      <c r="H2770" s="1">
        <v>5.9865000000000004</v>
      </c>
    </row>
    <row r="2771" spans="1:8" x14ac:dyDescent="0.3">
      <c r="A2771" t="e">
        <f t="shared" si="112"/>
        <v>#REF!</v>
      </c>
      <c r="B2771">
        <v>1588</v>
      </c>
      <c r="C2771" s="1">
        <v>22.57839573147227</v>
      </c>
      <c r="D2771" s="9">
        <v>17.69977777778055</v>
      </c>
      <c r="E2771" s="1">
        <v>3.3172000000000001</v>
      </c>
      <c r="F2771" s="1">
        <v>5.0990799999999998</v>
      </c>
      <c r="G2771" s="1">
        <v>13.2965</v>
      </c>
      <c r="H2771" s="1">
        <v>5.5213099999999997</v>
      </c>
    </row>
    <row r="2772" spans="1:8" x14ac:dyDescent="0.3">
      <c r="A2772">
        <f t="shared" si="112"/>
        <v>19</v>
      </c>
      <c r="B2772">
        <v>1638</v>
      </c>
      <c r="C2772" s="1">
        <v>22.195748792652989</v>
      </c>
      <c r="D2772" s="9">
        <v>17.74700000000286</v>
      </c>
      <c r="E2772" s="1">
        <v>3.8171300000000001</v>
      </c>
      <c r="F2772" s="1">
        <v>5.8715599999999997</v>
      </c>
      <c r="G2772" s="1">
        <v>13.347899999999999</v>
      </c>
      <c r="H2772" s="1">
        <v>4.7750000000000004</v>
      </c>
    </row>
    <row r="2773" spans="1:8" x14ac:dyDescent="0.3">
      <c r="A2773" t="e">
        <f t="shared" ref="A2773:A2804" si="113">A2723</f>
        <v>#REF!</v>
      </c>
      <c r="B2773">
        <v>1688</v>
      </c>
      <c r="C2773" s="1">
        <v>21.789637731319399</v>
      </c>
      <c r="D2773" s="9">
        <v>17.794222222225169</v>
      </c>
      <c r="E2773" s="1">
        <v>4.6059400000000004</v>
      </c>
      <c r="F2773" s="1">
        <v>6.9192900000000002</v>
      </c>
      <c r="G2773" s="1">
        <v>13.358599999999999</v>
      </c>
      <c r="H2773" s="1">
        <v>3.8225600000000002</v>
      </c>
    </row>
    <row r="2774" spans="1:8" x14ac:dyDescent="0.3">
      <c r="A2774">
        <f t="shared" si="113"/>
        <v>35</v>
      </c>
      <c r="B2774">
        <v>1738</v>
      </c>
      <c r="C2774" s="1">
        <v>21.333883243969922</v>
      </c>
      <c r="D2774" s="9">
        <v>17.841444444447479</v>
      </c>
      <c r="E2774" s="1">
        <v>5.4255100000000001</v>
      </c>
      <c r="F2774" s="1">
        <v>7.9547100000000004</v>
      </c>
      <c r="G2774" s="1">
        <v>13.4808</v>
      </c>
      <c r="H2774" s="1">
        <v>2.7575500000000002</v>
      </c>
    </row>
    <row r="2775" spans="1:8" x14ac:dyDescent="0.3">
      <c r="A2775" t="e">
        <f t="shared" si="113"/>
        <v>#REF!</v>
      </c>
      <c r="B2775">
        <v>1788</v>
      </c>
      <c r="C2775" s="1">
        <v>20.999612073766439</v>
      </c>
      <c r="D2775" s="9">
        <v>17.888666666669788</v>
      </c>
      <c r="E2775" s="1">
        <v>5.9011899999999997</v>
      </c>
      <c r="F2775" s="1">
        <v>8.7142900000000001</v>
      </c>
      <c r="G2775" s="1">
        <v>13.610900000000001</v>
      </c>
      <c r="H2775" s="1">
        <v>1.6380300000000001</v>
      </c>
    </row>
    <row r="2776" spans="1:8" x14ac:dyDescent="0.3">
      <c r="A2776">
        <f t="shared" si="113"/>
        <v>26</v>
      </c>
      <c r="B2776">
        <v>1838</v>
      </c>
      <c r="C2776" s="1">
        <v>20.62999555984015</v>
      </c>
      <c r="D2776" s="9">
        <v>17.935888888892098</v>
      </c>
      <c r="E2776" s="1">
        <v>5.6709699999999996</v>
      </c>
      <c r="F2776" s="1">
        <v>8.9971999999999994</v>
      </c>
      <c r="G2776" s="1">
        <v>13.5631</v>
      </c>
      <c r="H2776" s="1">
        <v>0.49719000000000002</v>
      </c>
    </row>
    <row r="2777" spans="1:8" x14ac:dyDescent="0.3">
      <c r="A2777" t="e">
        <f t="shared" si="113"/>
        <v>#REF!</v>
      </c>
      <c r="B2777">
        <v>1888</v>
      </c>
      <c r="C2777" s="1">
        <v>20.266289775691181</v>
      </c>
      <c r="D2777" s="9">
        <v>17.983111111114408</v>
      </c>
      <c r="E2777" s="1">
        <v>4.8905200000000004</v>
      </c>
      <c r="F2777" s="1">
        <v>8.9975199999999997</v>
      </c>
      <c r="G2777" s="1">
        <v>13.4466</v>
      </c>
      <c r="H2777" s="1">
        <v>-0.69559099999999996</v>
      </c>
    </row>
    <row r="2778" spans="1:8" x14ac:dyDescent="0.3">
      <c r="A2778">
        <f t="shared" si="113"/>
        <v>17</v>
      </c>
      <c r="B2778">
        <v>1938</v>
      </c>
      <c r="C2778" s="1">
        <v>19.858472180031359</v>
      </c>
      <c r="D2778" s="9">
        <v>18.030333333336717</v>
      </c>
      <c r="E2778" s="1">
        <v>3.9506899999999998</v>
      </c>
      <c r="F2778" s="1">
        <v>9.0454600000000003</v>
      </c>
      <c r="G2778" s="1">
        <v>13.474</v>
      </c>
      <c r="H2778" s="1">
        <v>-1.98434</v>
      </c>
    </row>
    <row r="2779" spans="1:8" x14ac:dyDescent="0.3">
      <c r="A2779" t="e">
        <f t="shared" si="113"/>
        <v>#REF!</v>
      </c>
      <c r="B2779">
        <v>1988</v>
      </c>
      <c r="C2779" s="1">
        <v>19.591677027625082</v>
      </c>
      <c r="D2779" s="9">
        <v>18.077555555559027</v>
      </c>
      <c r="E2779" s="1">
        <v>3.1905800000000002</v>
      </c>
      <c r="F2779" s="1">
        <v>9.1011500000000005</v>
      </c>
      <c r="G2779" s="1">
        <v>13.5947</v>
      </c>
      <c r="H2779" s="1">
        <v>-3.2888600000000001</v>
      </c>
    </row>
    <row r="2780" spans="1:8" x14ac:dyDescent="0.3">
      <c r="A2780">
        <f t="shared" si="113"/>
        <v>33</v>
      </c>
      <c r="B2780">
        <v>2038</v>
      </c>
      <c r="C2780" s="1">
        <v>19.36</v>
      </c>
      <c r="D2780" s="9">
        <v>18.124777777781336</v>
      </c>
      <c r="E2780" s="1">
        <v>2.8694199999999999</v>
      </c>
      <c r="F2780" s="1">
        <v>8.9826700000000006</v>
      </c>
      <c r="G2780" s="1">
        <v>13.661099999999999</v>
      </c>
      <c r="H2780" s="1">
        <v>-4.47668</v>
      </c>
    </row>
    <row r="2781" spans="1:8" x14ac:dyDescent="0.3">
      <c r="A2781" t="e">
        <f t="shared" si="113"/>
        <v>#REF!</v>
      </c>
      <c r="B2781">
        <v>2088</v>
      </c>
      <c r="C2781" s="1">
        <v>19.226090597243729</v>
      </c>
      <c r="D2781" s="9">
        <v>18.172000000003646</v>
      </c>
      <c r="E2781" s="1">
        <v>2.8231899999999999</v>
      </c>
      <c r="F2781" s="1">
        <v>8.74132</v>
      </c>
      <c r="G2781" s="1">
        <v>13.726000000000001</v>
      </c>
      <c r="H2781" s="1">
        <v>-5.4552500000000004</v>
      </c>
    </row>
    <row r="2782" spans="1:8" x14ac:dyDescent="0.3">
      <c r="A2782">
        <f t="shared" si="113"/>
        <v>24</v>
      </c>
      <c r="B2782">
        <v>2138</v>
      </c>
      <c r="C2782" s="1">
        <v>19.184229387107202</v>
      </c>
      <c r="D2782" s="9">
        <v>18.219222222225955</v>
      </c>
      <c r="E2782" s="1">
        <v>2.7380900000000001</v>
      </c>
      <c r="F2782" s="1">
        <v>8.5307600000000008</v>
      </c>
      <c r="G2782" s="1">
        <v>13.904299999999999</v>
      </c>
      <c r="H2782" s="1">
        <v>-6.1417400000000004</v>
      </c>
    </row>
    <row r="2783" spans="1:8" x14ac:dyDescent="0.3">
      <c r="A2783" t="e">
        <f t="shared" si="113"/>
        <v>#REF!</v>
      </c>
      <c r="B2783">
        <v>2188</v>
      </c>
      <c r="C2783" s="1">
        <v>19.145836220945871</v>
      </c>
      <c r="D2783" s="9">
        <v>18.266444444448265</v>
      </c>
      <c r="E2783" s="1">
        <v>2.6522899999999998</v>
      </c>
      <c r="F2783" s="1">
        <v>8.4578900000000008</v>
      </c>
      <c r="G2783" s="1">
        <v>14.072900000000001</v>
      </c>
      <c r="H2783" s="1">
        <v>-6.3859000000000004</v>
      </c>
    </row>
    <row r="2784" spans="1:8" x14ac:dyDescent="0.3">
      <c r="A2784">
        <f t="shared" si="113"/>
        <v>15</v>
      </c>
      <c r="B2784">
        <v>2238</v>
      </c>
      <c r="C2784" s="1">
        <v>19.27054220041364</v>
      </c>
      <c r="D2784" s="9">
        <v>18.313666666670574</v>
      </c>
      <c r="E2784" s="1">
        <v>2.7317</v>
      </c>
      <c r="F2784" s="1">
        <v>8.5771300000000004</v>
      </c>
      <c r="G2784" s="1">
        <v>14.036899999999999</v>
      </c>
      <c r="H2784" s="1">
        <v>-6.0444599999999999</v>
      </c>
    </row>
    <row r="2785" spans="1:8" x14ac:dyDescent="0.3">
      <c r="A2785" t="e">
        <f t="shared" si="113"/>
        <v>#REF!</v>
      </c>
      <c r="B2785">
        <v>2288</v>
      </c>
      <c r="C2785" s="1">
        <v>19.500044785668589</v>
      </c>
      <c r="D2785" s="9">
        <v>18.360888888892884</v>
      </c>
      <c r="E2785" s="1">
        <v>2.8751600000000002</v>
      </c>
      <c r="F2785" s="1">
        <v>8.7093699999999998</v>
      </c>
      <c r="G2785" s="1">
        <v>13.895</v>
      </c>
      <c r="H2785" s="1">
        <v>-5.2611800000000004</v>
      </c>
    </row>
    <row r="2786" spans="1:8" x14ac:dyDescent="0.3">
      <c r="A2786">
        <f t="shared" si="113"/>
        <v>31</v>
      </c>
      <c r="B2786">
        <v>2338</v>
      </c>
      <c r="C2786" s="1">
        <v>19.860172039049569</v>
      </c>
      <c r="D2786" s="9">
        <v>18.408111111115193</v>
      </c>
      <c r="E2786" s="1">
        <v>2.89093</v>
      </c>
      <c r="F2786" s="1">
        <v>8.6057100000000002</v>
      </c>
      <c r="G2786" s="1">
        <v>13.846299999999999</v>
      </c>
      <c r="H2786" s="1">
        <v>-4.2909800000000002</v>
      </c>
    </row>
    <row r="2787" spans="1:8" x14ac:dyDescent="0.3">
      <c r="A2787" t="e">
        <f t="shared" si="113"/>
        <v>#REF!</v>
      </c>
      <c r="B2787">
        <v>2388</v>
      </c>
      <c r="C2787" s="1">
        <v>20.350868979137619</v>
      </c>
      <c r="D2787" s="9">
        <v>18.455333333337503</v>
      </c>
      <c r="E2787" s="1">
        <v>2.8345500000000001</v>
      </c>
      <c r="F2787" s="1">
        <v>8.3047500000000003</v>
      </c>
      <c r="G2787" s="1">
        <v>13.830500000000001</v>
      </c>
      <c r="H2787" s="1">
        <v>-3.2368199999999998</v>
      </c>
    </row>
    <row r="2788" spans="1:8" x14ac:dyDescent="0.3">
      <c r="A2788">
        <f t="shared" si="113"/>
        <v>22</v>
      </c>
      <c r="B2788">
        <v>2438</v>
      </c>
      <c r="C2788" s="1">
        <v>20.916222533750719</v>
      </c>
      <c r="D2788" s="9">
        <v>18.502555555559812</v>
      </c>
      <c r="E2788" s="1">
        <v>2.8369399999999998</v>
      </c>
      <c r="F2788" s="1">
        <v>7.9803600000000001</v>
      </c>
      <c r="G2788" s="1">
        <v>13.7064</v>
      </c>
      <c r="H2788" s="1">
        <v>-2.1278199999999998</v>
      </c>
    </row>
    <row r="2789" spans="1:8" x14ac:dyDescent="0.3">
      <c r="A2789" t="e">
        <f t="shared" si="113"/>
        <v>#REF!</v>
      </c>
      <c r="B2789">
        <v>2488</v>
      </c>
      <c r="C2789" s="1">
        <v>21.42918820279014</v>
      </c>
      <c r="D2789" s="9">
        <v>18.549777777782122</v>
      </c>
      <c r="E2789" s="1">
        <v>2.7399399999999998</v>
      </c>
      <c r="F2789" s="1">
        <v>7.8282600000000002</v>
      </c>
      <c r="G2789" s="1">
        <v>13.6195</v>
      </c>
      <c r="H2789" s="1">
        <v>-0.96041500000000002</v>
      </c>
    </row>
    <row r="2790" spans="1:8" x14ac:dyDescent="0.3">
      <c r="A2790">
        <f t="shared" si="113"/>
        <v>38</v>
      </c>
      <c r="B2790">
        <v>2538</v>
      </c>
      <c r="C2790" s="1">
        <v>21.93612147397284</v>
      </c>
      <c r="D2790" s="9">
        <v>18.597000000004432</v>
      </c>
      <c r="E2790" s="1">
        <v>2.2987600000000001</v>
      </c>
      <c r="F2790" s="1">
        <v>8.0046800000000005</v>
      </c>
      <c r="G2790" s="1">
        <v>13.7996</v>
      </c>
      <c r="H2790" s="1">
        <v>0.276507</v>
      </c>
    </row>
    <row r="2791" spans="1:8" x14ac:dyDescent="0.3">
      <c r="A2791" t="e">
        <f t="shared" si="113"/>
        <v>#REF!</v>
      </c>
      <c r="B2791">
        <v>2588</v>
      </c>
      <c r="C2791" s="1">
        <v>22.33299357810191</v>
      </c>
      <c r="D2791" s="9">
        <v>18.644222222226741</v>
      </c>
      <c r="E2791" s="1">
        <v>1.6136200000000001</v>
      </c>
      <c r="F2791" s="1">
        <v>8.2941400000000005</v>
      </c>
      <c r="G2791" s="1">
        <v>14.127800000000001</v>
      </c>
      <c r="H2791" s="1">
        <v>1.5410299999999999</v>
      </c>
    </row>
    <row r="2792" spans="1:8" x14ac:dyDescent="0.3">
      <c r="A2792">
        <f t="shared" si="113"/>
        <v>29</v>
      </c>
      <c r="B2792">
        <v>2638</v>
      </c>
      <c r="C2792" s="1">
        <v>22.64</v>
      </c>
      <c r="D2792" s="9">
        <v>18.691444444449051</v>
      </c>
      <c r="E2792" s="1">
        <v>0.94752599999999998</v>
      </c>
      <c r="F2792" s="1">
        <v>8.3541799999999995</v>
      </c>
      <c r="G2792" s="1">
        <v>14.341100000000001</v>
      </c>
      <c r="H2792" s="1">
        <v>2.7649400000000002</v>
      </c>
    </row>
    <row r="2793" spans="1:8" x14ac:dyDescent="0.3">
      <c r="A2793" t="e">
        <f t="shared" si="113"/>
        <v>#REF!</v>
      </c>
      <c r="B2793">
        <v>2688</v>
      </c>
      <c r="C2793" s="1">
        <v>23.165442347368209</v>
      </c>
      <c r="D2793" s="9">
        <v>18.73866666667136</v>
      </c>
      <c r="E2793" s="1">
        <v>0.60367099999999996</v>
      </c>
      <c r="F2793" s="1">
        <v>8.1641200000000005</v>
      </c>
      <c r="G2793" s="1">
        <v>14.287699999999999</v>
      </c>
      <c r="H2793" s="1">
        <v>3.8631199999999999</v>
      </c>
    </row>
    <row r="2794" spans="1:8" x14ac:dyDescent="0.3">
      <c r="A2794">
        <f t="shared" si="113"/>
        <v>20</v>
      </c>
      <c r="B2794">
        <v>2738</v>
      </c>
      <c r="C2794" s="1">
        <v>23.56257680168537</v>
      </c>
      <c r="D2794" s="9">
        <v>18.78588888889367</v>
      </c>
      <c r="E2794" s="1">
        <v>0.84907100000000002</v>
      </c>
      <c r="F2794" s="1">
        <v>7.8740699999999997</v>
      </c>
      <c r="G2794" s="1">
        <v>13.9039</v>
      </c>
      <c r="H2794" s="1">
        <v>4.7472799999999999</v>
      </c>
    </row>
    <row r="2795" spans="1:8" x14ac:dyDescent="0.3">
      <c r="A2795" t="e">
        <f t="shared" si="113"/>
        <v>#REF!</v>
      </c>
      <c r="B2795">
        <v>2788</v>
      </c>
      <c r="C2795" s="1">
        <v>23.927614096429899</v>
      </c>
      <c r="D2795" s="9">
        <v>18.833111111115979</v>
      </c>
      <c r="E2795" s="1">
        <v>1.5466</v>
      </c>
      <c r="F2795" s="1">
        <v>7.8135300000000001</v>
      </c>
      <c r="G2795" s="1">
        <v>13.407999999999999</v>
      </c>
      <c r="H2795" s="1">
        <v>5.36144</v>
      </c>
    </row>
    <row r="2796" spans="1:8" x14ac:dyDescent="0.3">
      <c r="A2796">
        <f t="shared" si="113"/>
        <v>36</v>
      </c>
      <c r="B2796">
        <v>2838</v>
      </c>
      <c r="C2796" s="1">
        <v>24.156975571492641</v>
      </c>
      <c r="D2796" s="9">
        <v>18.880333333338289</v>
      </c>
      <c r="E2796" s="1">
        <v>2.3776600000000001</v>
      </c>
      <c r="F2796" s="1">
        <v>8.3390199999999997</v>
      </c>
      <c r="G2796" s="1">
        <v>13.130800000000001</v>
      </c>
      <c r="H2796" s="1">
        <v>5.6887800000000004</v>
      </c>
    </row>
    <row r="2797" spans="1:8" x14ac:dyDescent="0.3">
      <c r="A2797" t="e">
        <f t="shared" si="113"/>
        <v>#REF!</v>
      </c>
      <c r="B2797">
        <v>2888</v>
      </c>
      <c r="C2797" s="1">
        <v>24.32</v>
      </c>
      <c r="D2797" s="9">
        <v>18.927555555560598</v>
      </c>
      <c r="E2797" s="1">
        <v>3.0333100000000002</v>
      </c>
      <c r="F2797" s="1">
        <v>9.4023599999999998</v>
      </c>
      <c r="G2797" s="1">
        <v>13.2988</v>
      </c>
      <c r="H2797" s="1">
        <v>5.8944200000000002</v>
      </c>
    </row>
    <row r="2798" spans="1:8" x14ac:dyDescent="0.3">
      <c r="A2798">
        <f t="shared" si="113"/>
        <v>27</v>
      </c>
      <c r="B2798">
        <v>2938</v>
      </c>
      <c r="C2798" s="1">
        <v>24.209518274026049</v>
      </c>
      <c r="D2798" s="9">
        <v>18.974777777782908</v>
      </c>
      <c r="E2798" s="1">
        <v>3.27576</v>
      </c>
      <c r="F2798" s="1">
        <v>10.76</v>
      </c>
      <c r="G2798" s="1">
        <v>14.0489</v>
      </c>
      <c r="H2798" s="1">
        <v>6.1910600000000002</v>
      </c>
    </row>
    <row r="2799" spans="1:8" x14ac:dyDescent="0.3">
      <c r="A2799" t="e">
        <f t="shared" si="113"/>
        <v>#REF!</v>
      </c>
      <c r="B2799">
        <v>2988</v>
      </c>
      <c r="C2799" s="1">
        <v>24.037433935993921</v>
      </c>
      <c r="D2799" s="9">
        <v>19.022000000005217</v>
      </c>
      <c r="E2799" s="1">
        <v>3.3604400000000001</v>
      </c>
      <c r="F2799" s="1">
        <v>12.0776</v>
      </c>
      <c r="G2799" s="1">
        <v>15.2035</v>
      </c>
      <c r="H2799" s="1">
        <v>6.5437700000000003</v>
      </c>
    </row>
    <row r="2800" spans="1:8" x14ac:dyDescent="0.3">
      <c r="A2800">
        <f t="shared" si="113"/>
        <v>18</v>
      </c>
      <c r="B2800">
        <v>3038</v>
      </c>
      <c r="C2800" s="1">
        <v>23.889821478846191</v>
      </c>
      <c r="D2800" s="9">
        <v>19.069222222227527</v>
      </c>
      <c r="E2800" s="1">
        <v>3.71909</v>
      </c>
      <c r="F2800" s="1">
        <v>12.9956</v>
      </c>
      <c r="G2800" s="1">
        <v>16.442</v>
      </c>
      <c r="H2800" s="1">
        <v>6.8371899999999997</v>
      </c>
    </row>
    <row r="2801" spans="1:8" x14ac:dyDescent="0.3">
      <c r="A2801" t="e">
        <f t="shared" si="113"/>
        <v>#REF!</v>
      </c>
      <c r="B2801">
        <v>3088</v>
      </c>
      <c r="C2801" s="1">
        <v>23.640705782965949</v>
      </c>
      <c r="D2801" s="9">
        <v>19.116444444449836</v>
      </c>
      <c r="E2801" s="1">
        <v>4.4412099999999999</v>
      </c>
      <c r="F2801" s="1">
        <v>13.2791</v>
      </c>
      <c r="G2801" s="1">
        <v>17.436599999999999</v>
      </c>
      <c r="H2801" s="1">
        <v>7.1761900000000001</v>
      </c>
    </row>
    <row r="2802" spans="1:8" x14ac:dyDescent="0.3">
      <c r="A2802">
        <f t="shared" si="113"/>
        <v>34</v>
      </c>
      <c r="B2802">
        <v>3138</v>
      </c>
      <c r="C2802" s="1">
        <v>23.2526137636473</v>
      </c>
      <c r="D2802" s="9">
        <v>19.163666666672146</v>
      </c>
      <c r="E2802" s="1">
        <v>5.4416399999999996</v>
      </c>
      <c r="F2802" s="1">
        <v>12.8148</v>
      </c>
      <c r="G2802" s="1">
        <v>17.9115</v>
      </c>
      <c r="H2802" s="1">
        <v>7.73916</v>
      </c>
    </row>
    <row r="2803" spans="1:8" x14ac:dyDescent="0.3">
      <c r="A2803">
        <f t="shared" si="113"/>
        <v>0</v>
      </c>
      <c r="B2803">
        <v>3188</v>
      </c>
      <c r="C2803" s="1">
        <v>22.87172574764136</v>
      </c>
      <c r="D2803" s="9">
        <v>19.210888888894456</v>
      </c>
      <c r="E2803" s="1">
        <v>6.5225099999999996</v>
      </c>
      <c r="F2803" s="1">
        <v>11.8407</v>
      </c>
      <c r="G2803" s="1">
        <v>17.898599999999998</v>
      </c>
      <c r="H2803" s="1">
        <v>8.5705500000000008</v>
      </c>
    </row>
    <row r="2804" spans="1:8" x14ac:dyDescent="0.3">
      <c r="A2804">
        <f t="shared" si="113"/>
        <v>25</v>
      </c>
      <c r="B2804">
        <v>3238</v>
      </c>
      <c r="C2804" s="1">
        <v>22.515944779283458</v>
      </c>
      <c r="D2804" s="9">
        <v>19.258111111116765</v>
      </c>
      <c r="E2804" s="1">
        <v>7.4800500000000003</v>
      </c>
      <c r="F2804" s="1">
        <v>10.7227</v>
      </c>
      <c r="G2804" s="1">
        <v>17.562200000000001</v>
      </c>
      <c r="H2804" s="1">
        <v>9.6494599999999995</v>
      </c>
    </row>
    <row r="2805" spans="1:8" x14ac:dyDescent="0.3">
      <c r="A2805" t="e">
        <f t="shared" ref="A2805:A2811" si="114">A2755</f>
        <v>#REF!</v>
      </c>
      <c r="B2805">
        <v>3288</v>
      </c>
      <c r="C2805" s="1">
        <v>22.096328312931249</v>
      </c>
      <c r="D2805" s="9">
        <v>19.305333333339075</v>
      </c>
      <c r="E2805" s="1">
        <v>8.3931799999999992</v>
      </c>
      <c r="F2805" s="1">
        <v>9.8526199999999999</v>
      </c>
      <c r="G2805" s="1">
        <v>17.1404</v>
      </c>
      <c r="H2805" s="1">
        <v>10.9108</v>
      </c>
    </row>
    <row r="2806" spans="1:8" x14ac:dyDescent="0.3">
      <c r="A2806">
        <f t="shared" si="114"/>
        <v>16</v>
      </c>
      <c r="B2806">
        <v>3338</v>
      </c>
      <c r="C2806" s="1">
        <v>21.764934549425121</v>
      </c>
      <c r="D2806" s="9">
        <v>19.352555555561384</v>
      </c>
      <c r="E2806" s="1">
        <v>9.6951800000000006</v>
      </c>
      <c r="F2806" s="1">
        <v>10.240500000000001</v>
      </c>
      <c r="G2806" s="1">
        <v>17.0914</v>
      </c>
      <c r="H2806" s="1">
        <v>12.3154</v>
      </c>
    </row>
    <row r="2807" spans="1:8" x14ac:dyDescent="0.3">
      <c r="A2807" t="e">
        <f t="shared" si="114"/>
        <v>#REF!</v>
      </c>
      <c r="B2807">
        <v>3388</v>
      </c>
      <c r="C2807" s="1">
        <v>21.455961379695729</v>
      </c>
      <c r="D2807" s="9">
        <v>19.399777777783694</v>
      </c>
      <c r="E2807" s="1">
        <v>11.4078</v>
      </c>
      <c r="F2807" s="1">
        <v>11.669</v>
      </c>
      <c r="G2807" s="1">
        <v>17.327200000000001</v>
      </c>
      <c r="H2807" s="1">
        <v>13.7446</v>
      </c>
    </row>
    <row r="2808" spans="1:8" x14ac:dyDescent="0.3">
      <c r="A2808">
        <f t="shared" si="114"/>
        <v>32</v>
      </c>
      <c r="B2808">
        <v>3438</v>
      </c>
      <c r="C2808" s="1">
        <v>21.07982533932439</v>
      </c>
      <c r="D2808" s="9">
        <v>19.447000000006003</v>
      </c>
      <c r="E2808" s="1">
        <v>13.263</v>
      </c>
      <c r="F2808" s="1">
        <v>13.388</v>
      </c>
      <c r="G2808" s="1">
        <v>17.7042</v>
      </c>
      <c r="H2808" s="1">
        <v>15.1479</v>
      </c>
    </row>
    <row r="2809" spans="1:8" x14ac:dyDescent="0.3">
      <c r="A2809" t="e">
        <f t="shared" si="114"/>
        <v>#REF!</v>
      </c>
      <c r="B2809">
        <v>3488</v>
      </c>
      <c r="C2809" s="1">
        <v>20.551113648510729</v>
      </c>
      <c r="D2809" s="9">
        <v>19.494222222228313</v>
      </c>
      <c r="E2809" s="1">
        <v>15.185499999999999</v>
      </c>
      <c r="F2809" s="1">
        <v>15.241199999999999</v>
      </c>
      <c r="G2809" s="1">
        <v>18.199400000000001</v>
      </c>
      <c r="H2809" s="1">
        <v>16.5337</v>
      </c>
    </row>
    <row r="2810" spans="1:8" x14ac:dyDescent="0.3">
      <c r="A2810">
        <f t="shared" si="114"/>
        <v>23</v>
      </c>
      <c r="B2810">
        <v>3538</v>
      </c>
      <c r="C2810" s="1">
        <v>20.13</v>
      </c>
      <c r="D2810" s="9">
        <v>19.541444444450622</v>
      </c>
      <c r="E2810" s="1">
        <v>17.143799999999999</v>
      </c>
      <c r="F2810" s="1">
        <v>17.163499999999999</v>
      </c>
      <c r="G2810" s="1">
        <v>18.7834</v>
      </c>
      <c r="H2810" s="1">
        <v>17.907699999999998</v>
      </c>
    </row>
    <row r="2811" spans="1:8" x14ac:dyDescent="0.3">
      <c r="A2811" t="e">
        <f t="shared" si="114"/>
        <v>#REF!</v>
      </c>
      <c r="B2811">
        <v>3588</v>
      </c>
      <c r="C2811" s="1">
        <v>19.701257431402411</v>
      </c>
      <c r="D2811" s="9">
        <v>19.588666666672932</v>
      </c>
      <c r="E2811" s="1">
        <v>19.122900000000001</v>
      </c>
      <c r="F2811" s="1">
        <v>19.1252</v>
      </c>
      <c r="G2811" s="1">
        <v>19.435199999999998</v>
      </c>
      <c r="H2811" s="1">
        <v>19.273299999999999</v>
      </c>
    </row>
    <row r="2812" spans="1:8" x14ac:dyDescent="0.3">
      <c r="A2812">
        <v>39</v>
      </c>
      <c r="B2812">
        <v>39</v>
      </c>
      <c r="C2812" s="1">
        <v>16.18</v>
      </c>
      <c r="D2812" s="9">
        <v>16.236833333333401</v>
      </c>
      <c r="E2812" s="1">
        <v>14.756500000000001</v>
      </c>
      <c r="F2812" s="1">
        <v>14.660500000000001</v>
      </c>
      <c r="G2812" s="1">
        <v>15.730700000000001</v>
      </c>
      <c r="H2812" s="1">
        <v>14.745200000000001</v>
      </c>
    </row>
    <row r="2813" spans="1:8" x14ac:dyDescent="0.3">
      <c r="A2813" t="e">
        <f t="shared" ref="A2813:A2844" si="115">A2763</f>
        <v>#REF!</v>
      </c>
      <c r="B2813">
        <v>89</v>
      </c>
      <c r="C2813" s="1">
        <v>16.225001783921169</v>
      </c>
      <c r="D2813" s="9">
        <v>16.28405555555571</v>
      </c>
      <c r="E2813" s="1">
        <v>12.927199999999999</v>
      </c>
      <c r="F2813" s="1">
        <v>12.714</v>
      </c>
      <c r="G2813" s="1">
        <v>15.179600000000001</v>
      </c>
      <c r="H2813" s="1">
        <v>12.8719</v>
      </c>
    </row>
    <row r="2814" spans="1:8" x14ac:dyDescent="0.3">
      <c r="A2814">
        <f t="shared" si="115"/>
        <v>30</v>
      </c>
      <c r="B2814">
        <v>139</v>
      </c>
      <c r="C2814" s="1">
        <v>16.38792138177487</v>
      </c>
      <c r="D2814" s="9">
        <v>16.33127777777802</v>
      </c>
      <c r="E2814" s="1">
        <v>11.1317</v>
      </c>
      <c r="F2814" s="1">
        <v>10.8178</v>
      </c>
      <c r="G2814" s="1">
        <v>14.6982</v>
      </c>
      <c r="H2814" s="1">
        <v>10.9885</v>
      </c>
    </row>
    <row r="2815" spans="1:8" x14ac:dyDescent="0.3">
      <c r="A2815" t="e">
        <f t="shared" si="115"/>
        <v>#REF!</v>
      </c>
      <c r="B2815">
        <v>189</v>
      </c>
      <c r="C2815" s="1">
        <v>16.694507109900911</v>
      </c>
      <c r="D2815" s="9">
        <v>16.378500000000329</v>
      </c>
      <c r="E2815" s="1">
        <v>9.3880300000000005</v>
      </c>
      <c r="F2815" s="1">
        <v>9.0134399999999992</v>
      </c>
      <c r="G2815" s="1">
        <v>14.303900000000001</v>
      </c>
      <c r="H2815" s="1">
        <v>9.0953999999999997</v>
      </c>
    </row>
    <row r="2816" spans="1:8" x14ac:dyDescent="0.3">
      <c r="A2816">
        <f t="shared" si="115"/>
        <v>21</v>
      </c>
      <c r="B2816">
        <v>239</v>
      </c>
      <c r="C2816" s="1">
        <v>16.87</v>
      </c>
      <c r="D2816" s="9">
        <v>16.425722222222639</v>
      </c>
      <c r="E2816" s="1">
        <v>7.7307300000000003</v>
      </c>
      <c r="F2816" s="1">
        <v>7.3958500000000003</v>
      </c>
      <c r="G2816" s="1">
        <v>14.008900000000001</v>
      </c>
      <c r="H2816" s="1">
        <v>7.1993200000000002</v>
      </c>
    </row>
    <row r="2817" spans="1:8" x14ac:dyDescent="0.3">
      <c r="A2817" t="e">
        <f t="shared" si="115"/>
        <v>#REF!</v>
      </c>
      <c r="B2817">
        <v>289</v>
      </c>
      <c r="C2817" s="1">
        <v>17.047186270148181</v>
      </c>
      <c r="D2817" s="9">
        <v>16.472944444444948</v>
      </c>
      <c r="E2817" s="1">
        <v>6.2635100000000001</v>
      </c>
      <c r="F2817" s="1">
        <v>6.2782900000000001</v>
      </c>
      <c r="G2817" s="1">
        <v>13.806900000000001</v>
      </c>
      <c r="H2817" s="1">
        <v>5.3842999999999996</v>
      </c>
    </row>
    <row r="2818" spans="1:8" x14ac:dyDescent="0.3">
      <c r="A2818">
        <f t="shared" si="115"/>
        <v>37</v>
      </c>
      <c r="B2818">
        <v>339</v>
      </c>
      <c r="C2818" s="1">
        <v>17.25992042316518</v>
      </c>
      <c r="D2818" s="9">
        <v>16.520166666667258</v>
      </c>
      <c r="E2818" s="1">
        <v>5.2961099999999997</v>
      </c>
      <c r="F2818" s="1">
        <v>6.3216299999999999</v>
      </c>
      <c r="G2818" s="1">
        <v>13.938499999999999</v>
      </c>
      <c r="H2818" s="1">
        <v>4.0694999999999997</v>
      </c>
    </row>
    <row r="2819" spans="1:8" x14ac:dyDescent="0.3">
      <c r="A2819" t="e">
        <f t="shared" si="115"/>
        <v>#REF!</v>
      </c>
      <c r="B2819">
        <v>389</v>
      </c>
      <c r="C2819" s="1">
        <v>17.495713941928361</v>
      </c>
      <c r="D2819" s="9">
        <v>16.567388888889568</v>
      </c>
      <c r="E2819" s="1">
        <v>4.6403299999999996</v>
      </c>
      <c r="F2819" s="1">
        <v>6.6474799999999998</v>
      </c>
      <c r="G2819" s="1">
        <v>14.0738</v>
      </c>
      <c r="H2819" s="1">
        <v>3.1448999999999998</v>
      </c>
    </row>
    <row r="2820" spans="1:8" x14ac:dyDescent="0.3">
      <c r="A2820">
        <f t="shared" si="115"/>
        <v>28</v>
      </c>
      <c r="B2820">
        <v>439</v>
      </c>
      <c r="C2820" s="1">
        <v>17.764896539816011</v>
      </c>
      <c r="D2820" s="9">
        <v>16.614611111111877</v>
      </c>
      <c r="E2820" s="1">
        <v>4.2194700000000003</v>
      </c>
      <c r="F2820" s="1">
        <v>6.7256900000000002</v>
      </c>
      <c r="G2820" s="1">
        <v>13.938000000000001</v>
      </c>
      <c r="H2820" s="1">
        <v>2.57315</v>
      </c>
    </row>
    <row r="2821" spans="1:8" x14ac:dyDescent="0.3">
      <c r="A2821" t="e">
        <f t="shared" si="115"/>
        <v>#REF!</v>
      </c>
      <c r="B2821">
        <v>489</v>
      </c>
      <c r="C2821" s="1">
        <v>17.949895934011</v>
      </c>
      <c r="D2821" s="9">
        <v>16.661833333334187</v>
      </c>
      <c r="E2821" s="1">
        <v>3.80186</v>
      </c>
      <c r="F2821" s="1">
        <v>6.4150999999999998</v>
      </c>
      <c r="G2821" s="1">
        <v>13.6105</v>
      </c>
      <c r="H2821" s="1">
        <v>2.1282000000000001</v>
      </c>
    </row>
    <row r="2822" spans="1:8" x14ac:dyDescent="0.3">
      <c r="A2822">
        <f t="shared" si="115"/>
        <v>19</v>
      </c>
      <c r="B2822">
        <v>539</v>
      </c>
      <c r="C2822" s="1">
        <v>18.101471810240611</v>
      </c>
      <c r="D2822" s="9">
        <v>16.709055555556496</v>
      </c>
      <c r="E2822" s="1">
        <v>3.0964</v>
      </c>
      <c r="F2822" s="1">
        <v>5.6871999999999998</v>
      </c>
      <c r="G2822" s="1">
        <v>13.275700000000001</v>
      </c>
      <c r="H2822" s="1">
        <v>1.50525</v>
      </c>
    </row>
    <row r="2823" spans="1:8" x14ac:dyDescent="0.3">
      <c r="A2823" t="e">
        <f t="shared" si="115"/>
        <v>#REF!</v>
      </c>
      <c r="B2823">
        <v>589</v>
      </c>
      <c r="C2823" s="1">
        <v>18.33960905165997</v>
      </c>
      <c r="D2823" s="9">
        <v>16.756277777778806</v>
      </c>
      <c r="E2823" s="1">
        <v>2.1840600000000001</v>
      </c>
      <c r="F2823" s="1">
        <v>4.69414</v>
      </c>
      <c r="G2823" s="1">
        <v>12.928100000000001</v>
      </c>
      <c r="H2823" s="1">
        <v>0.767343</v>
      </c>
    </row>
    <row r="2824" spans="1:8" x14ac:dyDescent="0.3">
      <c r="A2824">
        <f t="shared" si="115"/>
        <v>35</v>
      </c>
      <c r="B2824">
        <v>639</v>
      </c>
      <c r="C2824" s="1">
        <v>18.489999999999998</v>
      </c>
      <c r="D2824" s="9">
        <v>16.803500000001115</v>
      </c>
      <c r="E2824" s="1">
        <v>1.3284800000000001</v>
      </c>
      <c r="F2824" s="1">
        <v>3.6789299999999998</v>
      </c>
      <c r="G2824" s="1">
        <v>12.5007</v>
      </c>
      <c r="H2824" s="1">
        <v>0.164129</v>
      </c>
    </row>
    <row r="2825" spans="1:8" x14ac:dyDescent="0.3">
      <c r="A2825" t="e">
        <f t="shared" si="115"/>
        <v>#REF!</v>
      </c>
      <c r="B2825">
        <v>689</v>
      </c>
      <c r="C2825" s="1">
        <v>18.634610991538398</v>
      </c>
      <c r="D2825" s="9">
        <v>16.850722222223425</v>
      </c>
      <c r="E2825" s="1">
        <v>0.76311600000000002</v>
      </c>
      <c r="F2825" s="1">
        <v>2.8601800000000002</v>
      </c>
      <c r="G2825" s="1">
        <v>12.165800000000001</v>
      </c>
      <c r="H2825" s="1">
        <v>-2.0064700000000001E-2</v>
      </c>
    </row>
    <row r="2826" spans="1:8" x14ac:dyDescent="0.3">
      <c r="A2826">
        <f t="shared" si="115"/>
        <v>26</v>
      </c>
      <c r="B2826">
        <v>739</v>
      </c>
      <c r="C2826" s="1">
        <v>18.78</v>
      </c>
      <c r="D2826" s="9">
        <v>16.897944444445734</v>
      </c>
      <c r="E2826" s="1">
        <v>0.66283800000000004</v>
      </c>
      <c r="F2826" s="1">
        <v>2.4005200000000002</v>
      </c>
      <c r="G2826" s="1">
        <v>12.1716</v>
      </c>
      <c r="H2826" s="1">
        <v>0.457565</v>
      </c>
    </row>
    <row r="2827" spans="1:8" x14ac:dyDescent="0.3">
      <c r="A2827" t="e">
        <f t="shared" si="115"/>
        <v>#REF!</v>
      </c>
      <c r="B2827">
        <v>789</v>
      </c>
      <c r="C2827" s="1">
        <v>19.069776041200019</v>
      </c>
      <c r="D2827" s="9">
        <v>16.945166666668044</v>
      </c>
      <c r="E2827" s="1">
        <v>0.88394499999999998</v>
      </c>
      <c r="F2827" s="1">
        <v>2.1456</v>
      </c>
      <c r="G2827" s="1">
        <v>12.494199999999999</v>
      </c>
      <c r="H2827" s="1">
        <v>1.4196299999999999</v>
      </c>
    </row>
    <row r="2828" spans="1:8" x14ac:dyDescent="0.3">
      <c r="A2828">
        <f t="shared" si="115"/>
        <v>17</v>
      </c>
      <c r="B2828">
        <v>839</v>
      </c>
      <c r="C2828" s="1">
        <v>19.34152970175602</v>
      </c>
      <c r="D2828" s="9">
        <v>16.992388888890353</v>
      </c>
      <c r="E2828" s="1">
        <v>1.1673</v>
      </c>
      <c r="F2828" s="1">
        <v>1.84659</v>
      </c>
      <c r="G2828" s="1">
        <v>12.9689</v>
      </c>
      <c r="H2828" s="1">
        <v>2.4954800000000001</v>
      </c>
    </row>
    <row r="2829" spans="1:8" x14ac:dyDescent="0.3">
      <c r="A2829" t="e">
        <f t="shared" si="115"/>
        <v>#REF!</v>
      </c>
      <c r="B2829">
        <v>889</v>
      </c>
      <c r="C2829" s="1">
        <v>19.63981862724744</v>
      </c>
      <c r="D2829" s="9">
        <v>17.039611111112663</v>
      </c>
      <c r="E2829" s="1">
        <v>1.4818899999999999</v>
      </c>
      <c r="F2829" s="1">
        <v>1.6355999999999999</v>
      </c>
      <c r="G2829" s="1">
        <v>13.314299999999999</v>
      </c>
      <c r="H2829" s="1">
        <v>3.3039800000000001</v>
      </c>
    </row>
    <row r="2830" spans="1:8" x14ac:dyDescent="0.3">
      <c r="A2830">
        <f t="shared" si="115"/>
        <v>33</v>
      </c>
      <c r="B2830">
        <v>939</v>
      </c>
      <c r="C2830" s="1">
        <v>19.907171101576161</v>
      </c>
      <c r="D2830" s="9">
        <v>17.086833333334972</v>
      </c>
      <c r="E2830" s="1">
        <v>1.8771199999999999</v>
      </c>
      <c r="F2830" s="1">
        <v>1.77976</v>
      </c>
      <c r="G2830" s="1">
        <v>13.252700000000001</v>
      </c>
      <c r="H2830" s="1">
        <v>3.51742</v>
      </c>
    </row>
    <row r="2831" spans="1:8" x14ac:dyDescent="0.3">
      <c r="A2831" t="e">
        <f t="shared" si="115"/>
        <v>#REF!</v>
      </c>
      <c r="B2831">
        <v>989</v>
      </c>
      <c r="C2831" s="1">
        <v>20.289029209075981</v>
      </c>
      <c r="D2831" s="9">
        <v>17.134055555557282</v>
      </c>
      <c r="E2831" s="1">
        <v>2.2210899999999998</v>
      </c>
      <c r="F2831" s="1">
        <v>2.2517800000000001</v>
      </c>
      <c r="G2831" s="1">
        <v>12.9377</v>
      </c>
      <c r="H2831" s="1">
        <v>3.2415099999999999</v>
      </c>
    </row>
    <row r="2832" spans="1:8" x14ac:dyDescent="0.3">
      <c r="A2832">
        <f t="shared" si="115"/>
        <v>24</v>
      </c>
      <c r="B2832">
        <v>1039</v>
      </c>
      <c r="C2832" s="1">
        <v>20.71045176074453</v>
      </c>
      <c r="D2832" s="9">
        <v>17.181277777779592</v>
      </c>
      <c r="E2832" s="1">
        <v>2.3348900000000001</v>
      </c>
      <c r="F2832" s="1">
        <v>2.87453</v>
      </c>
      <c r="G2832" s="1">
        <v>12.6951</v>
      </c>
      <c r="H2832" s="1">
        <v>2.7883599999999999</v>
      </c>
    </row>
    <row r="2833" spans="1:8" x14ac:dyDescent="0.3">
      <c r="A2833" t="e">
        <f t="shared" si="115"/>
        <v>#REF!</v>
      </c>
      <c r="B2833">
        <v>1089</v>
      </c>
      <c r="C2833" s="1">
        <v>21.114593251373279</v>
      </c>
      <c r="D2833" s="9">
        <v>17.228500000001901</v>
      </c>
      <c r="E2833" s="1">
        <v>2.3092700000000002</v>
      </c>
      <c r="F2833" s="1">
        <v>3.3543699999999999</v>
      </c>
      <c r="G2833" s="1">
        <v>12.661199999999999</v>
      </c>
      <c r="H2833" s="1">
        <v>2.5430100000000002</v>
      </c>
    </row>
    <row r="2834" spans="1:8" x14ac:dyDescent="0.3">
      <c r="A2834">
        <f t="shared" si="115"/>
        <v>15</v>
      </c>
      <c r="B2834">
        <v>1139</v>
      </c>
      <c r="C2834" s="1">
        <v>21.457435164458211</v>
      </c>
      <c r="D2834" s="9">
        <v>17.275722222224211</v>
      </c>
      <c r="E2834" s="1">
        <v>2.3220299999999998</v>
      </c>
      <c r="F2834" s="1">
        <v>3.4071899999999999</v>
      </c>
      <c r="G2834" s="1">
        <v>12.857200000000001</v>
      </c>
      <c r="H2834" s="1">
        <v>2.8592599999999999</v>
      </c>
    </row>
    <row r="2835" spans="1:8" x14ac:dyDescent="0.3">
      <c r="A2835" t="e">
        <f t="shared" si="115"/>
        <v>#REF!</v>
      </c>
      <c r="B2835">
        <v>1189</v>
      </c>
      <c r="C2835" s="1">
        <v>21.836620176354732</v>
      </c>
      <c r="D2835" s="9">
        <v>17.32294444444652</v>
      </c>
      <c r="E2835" s="1">
        <v>2.2844000000000002</v>
      </c>
      <c r="F2835" s="1">
        <v>3.2111800000000001</v>
      </c>
      <c r="G2835" s="1">
        <v>13.089600000000001</v>
      </c>
      <c r="H2835" s="1">
        <v>3.6164800000000001</v>
      </c>
    </row>
    <row r="2836" spans="1:8" x14ac:dyDescent="0.3">
      <c r="A2836">
        <f t="shared" si="115"/>
        <v>31</v>
      </c>
      <c r="B2836">
        <v>1239</v>
      </c>
      <c r="C2836" s="1">
        <v>22.28111135546925</v>
      </c>
      <c r="D2836" s="9">
        <v>17.37016666666883</v>
      </c>
      <c r="E2836" s="1">
        <v>2.0325199999999999</v>
      </c>
      <c r="F2836" s="1">
        <v>3.12032</v>
      </c>
      <c r="G2836" s="1">
        <v>13.1144</v>
      </c>
      <c r="H2836" s="1">
        <v>4.4901</v>
      </c>
    </row>
    <row r="2837" spans="1:8" x14ac:dyDescent="0.3">
      <c r="A2837" t="e">
        <f t="shared" si="115"/>
        <v>#REF!</v>
      </c>
      <c r="B2837">
        <v>1289</v>
      </c>
      <c r="C2837" s="1">
        <v>22.71019622058931</v>
      </c>
      <c r="D2837" s="9">
        <v>17.417388888891139</v>
      </c>
      <c r="E2837" s="1">
        <v>1.7441800000000001</v>
      </c>
      <c r="F2837" s="1">
        <v>3.24234</v>
      </c>
      <c r="G2837" s="1">
        <v>13.038</v>
      </c>
      <c r="H2837" s="1">
        <v>5.22743</v>
      </c>
    </row>
    <row r="2838" spans="1:8" x14ac:dyDescent="0.3">
      <c r="A2838">
        <f t="shared" si="115"/>
        <v>22</v>
      </c>
      <c r="B2838">
        <v>1339</v>
      </c>
      <c r="C2838" s="1">
        <v>23.03280265946395</v>
      </c>
      <c r="D2838" s="9">
        <v>17.464611111113449</v>
      </c>
      <c r="E2838" s="1">
        <v>1.7172799999999999</v>
      </c>
      <c r="F2838" s="1">
        <v>3.5600999999999998</v>
      </c>
      <c r="G2838" s="1">
        <v>13.084300000000001</v>
      </c>
      <c r="H2838" s="1">
        <v>5.6473300000000002</v>
      </c>
    </row>
    <row r="2839" spans="1:8" x14ac:dyDescent="0.3">
      <c r="A2839" t="e">
        <f t="shared" si="115"/>
        <v>#REF!</v>
      </c>
      <c r="B2839">
        <v>1389</v>
      </c>
      <c r="C2839" s="1">
        <v>23.20432792429569</v>
      </c>
      <c r="D2839" s="9">
        <v>17.511833333335758</v>
      </c>
      <c r="E2839" s="1">
        <v>1.99417</v>
      </c>
      <c r="F2839" s="1">
        <v>3.95607</v>
      </c>
      <c r="G2839" s="1">
        <v>13.173999999999999</v>
      </c>
      <c r="H2839" s="1">
        <v>5.8545800000000003</v>
      </c>
    </row>
    <row r="2840" spans="1:8" x14ac:dyDescent="0.3">
      <c r="A2840">
        <f t="shared" si="115"/>
        <v>38</v>
      </c>
      <c r="B2840">
        <v>1439</v>
      </c>
      <c r="C2840" s="1">
        <v>23.262673045725531</v>
      </c>
      <c r="D2840" s="9">
        <v>17.559055555558068</v>
      </c>
      <c r="E2840" s="1">
        <v>2.4826100000000002</v>
      </c>
      <c r="F2840" s="1">
        <v>4.2847499999999998</v>
      </c>
      <c r="G2840" s="1">
        <v>13.129200000000001</v>
      </c>
      <c r="H2840" s="1">
        <v>6.0449599999999997</v>
      </c>
    </row>
    <row r="2841" spans="1:8" x14ac:dyDescent="0.3">
      <c r="A2841" t="e">
        <f t="shared" si="115"/>
        <v>#REF!</v>
      </c>
      <c r="B2841">
        <v>1489</v>
      </c>
      <c r="C2841" s="1">
        <v>23.16292636187238</v>
      </c>
      <c r="D2841" s="9">
        <v>17.606277777780377</v>
      </c>
      <c r="E2841" s="1">
        <v>2.9476</v>
      </c>
      <c r="F2841" s="1">
        <v>4.52461</v>
      </c>
      <c r="G2841" s="1">
        <v>13.053900000000001</v>
      </c>
      <c r="H2841" s="1">
        <v>6.1451599999999997</v>
      </c>
    </row>
    <row r="2842" spans="1:8" x14ac:dyDescent="0.3">
      <c r="A2842">
        <f t="shared" si="115"/>
        <v>29</v>
      </c>
      <c r="B2842">
        <v>1539</v>
      </c>
      <c r="C2842" s="1">
        <v>22.920201138597641</v>
      </c>
      <c r="D2842" s="9">
        <v>17.653500000002687</v>
      </c>
      <c r="E2842" s="1">
        <v>3.1528800000000001</v>
      </c>
      <c r="F2842" s="1">
        <v>4.73048</v>
      </c>
      <c r="G2842" s="1">
        <v>13.140499999999999</v>
      </c>
      <c r="H2842" s="1">
        <v>5.9801399999999996</v>
      </c>
    </row>
    <row r="2843" spans="1:8" x14ac:dyDescent="0.3">
      <c r="A2843" t="e">
        <f t="shared" si="115"/>
        <v>#REF!</v>
      </c>
      <c r="B2843">
        <v>1589</v>
      </c>
      <c r="C2843" s="1">
        <v>22.570280659755319</v>
      </c>
      <c r="D2843" s="9">
        <v>17.700722222224996</v>
      </c>
      <c r="E2843" s="1">
        <v>3.3230499999999998</v>
      </c>
      <c r="F2843" s="1">
        <v>5.1101599999999996</v>
      </c>
      <c r="G2843" s="1">
        <v>13.298999999999999</v>
      </c>
      <c r="H2843" s="1">
        <v>5.50901</v>
      </c>
    </row>
    <row r="2844" spans="1:8" x14ac:dyDescent="0.3">
      <c r="A2844">
        <f t="shared" si="115"/>
        <v>20</v>
      </c>
      <c r="B2844">
        <v>1639</v>
      </c>
      <c r="C2844" s="1">
        <v>22.183873248357209</v>
      </c>
      <c r="D2844" s="9">
        <v>17.747944444447306</v>
      </c>
      <c r="E2844" s="1">
        <v>3.8308800000000001</v>
      </c>
      <c r="F2844" s="1">
        <v>5.8907800000000003</v>
      </c>
      <c r="G2844" s="1">
        <v>13.347899999999999</v>
      </c>
      <c r="H2844" s="1">
        <v>4.7576400000000003</v>
      </c>
    </row>
    <row r="2845" spans="1:8" x14ac:dyDescent="0.3">
      <c r="A2845" t="e">
        <f t="shared" ref="A2845:A2876" si="116">A2795</f>
        <v>#REF!</v>
      </c>
      <c r="B2845">
        <v>1689</v>
      </c>
      <c r="C2845" s="1">
        <v>21.785636530959291</v>
      </c>
      <c r="D2845" s="9">
        <v>17.795166666669616</v>
      </c>
      <c r="E2845" s="1">
        <v>4.6230000000000002</v>
      </c>
      <c r="F2845" s="1">
        <v>6.9410600000000002</v>
      </c>
      <c r="G2845" s="1">
        <v>13.3596</v>
      </c>
      <c r="H2845" s="1">
        <v>3.8020800000000001</v>
      </c>
    </row>
    <row r="2846" spans="1:8" x14ac:dyDescent="0.3">
      <c r="A2846">
        <f t="shared" si="116"/>
        <v>36</v>
      </c>
      <c r="B2846">
        <v>1739</v>
      </c>
      <c r="C2846" s="1">
        <v>21.326064572391701</v>
      </c>
      <c r="D2846" s="9">
        <v>17.842388888891925</v>
      </c>
      <c r="E2846" s="1">
        <v>5.4398200000000001</v>
      </c>
      <c r="F2846" s="1">
        <v>7.9734499999999997</v>
      </c>
      <c r="G2846" s="1">
        <v>13.484</v>
      </c>
      <c r="H2846" s="1">
        <v>2.7355499999999999</v>
      </c>
    </row>
    <row r="2847" spans="1:8" x14ac:dyDescent="0.3">
      <c r="A2847" t="e">
        <f t="shared" si="116"/>
        <v>#REF!</v>
      </c>
      <c r="B2847">
        <v>1789</v>
      </c>
      <c r="C2847" s="1">
        <v>20.991656244530361</v>
      </c>
      <c r="D2847" s="9">
        <v>17.889611111114235</v>
      </c>
      <c r="E2847" s="1">
        <v>5.9042500000000002</v>
      </c>
      <c r="F2847" s="1">
        <v>8.7249400000000001</v>
      </c>
      <c r="G2847" s="1">
        <v>13.612</v>
      </c>
      <c r="H2847" s="1">
        <v>1.61537</v>
      </c>
    </row>
    <row r="2848" spans="1:8" x14ac:dyDescent="0.3">
      <c r="A2848">
        <f t="shared" si="116"/>
        <v>27</v>
      </c>
      <c r="B2848">
        <v>1839</v>
      </c>
      <c r="C2848" s="1">
        <v>20.621995271829778</v>
      </c>
      <c r="D2848" s="9">
        <v>17.936833333336544</v>
      </c>
      <c r="E2848" s="1">
        <v>5.65944</v>
      </c>
      <c r="F2848" s="1">
        <v>8.9987200000000005</v>
      </c>
      <c r="G2848" s="1">
        <v>13.560600000000001</v>
      </c>
      <c r="H2848" s="1">
        <v>0.47404299999999999</v>
      </c>
    </row>
    <row r="2849" spans="1:8" x14ac:dyDescent="0.3">
      <c r="A2849" t="e">
        <f t="shared" si="116"/>
        <v>#REF!</v>
      </c>
      <c r="B2849">
        <v>1889</v>
      </c>
      <c r="C2849" s="1">
        <v>20.258135569691571</v>
      </c>
      <c r="D2849" s="9">
        <v>17.984055555558854</v>
      </c>
      <c r="E2849" s="1">
        <v>4.87202</v>
      </c>
      <c r="F2849" s="1">
        <v>8.9972399999999997</v>
      </c>
      <c r="G2849" s="1">
        <v>13.4452</v>
      </c>
      <c r="H2849" s="1">
        <v>-0.72038999999999997</v>
      </c>
    </row>
    <row r="2850" spans="1:8" x14ac:dyDescent="0.3">
      <c r="A2850">
        <f t="shared" si="116"/>
        <v>18</v>
      </c>
      <c r="B2850">
        <v>1939</v>
      </c>
      <c r="C2850" s="1">
        <v>19.85436712342263</v>
      </c>
      <c r="D2850" s="9">
        <v>18.031277777781163</v>
      </c>
      <c r="E2850" s="1">
        <v>3.93268</v>
      </c>
      <c r="F2850" s="1">
        <v>9.0472000000000001</v>
      </c>
      <c r="G2850" s="1">
        <v>13.476100000000001</v>
      </c>
      <c r="H2850" s="1">
        <v>-2.0107300000000001</v>
      </c>
    </row>
    <row r="2851" spans="1:8" x14ac:dyDescent="0.3">
      <c r="A2851" t="e">
        <f t="shared" si="116"/>
        <v>#REF!</v>
      </c>
      <c r="B2851">
        <v>1989</v>
      </c>
      <c r="C2851" s="1">
        <v>19.58509052398627</v>
      </c>
      <c r="D2851" s="9">
        <v>18.078500000003473</v>
      </c>
      <c r="E2851" s="1">
        <v>3.17937</v>
      </c>
      <c r="F2851" s="1">
        <v>9.1008800000000001</v>
      </c>
      <c r="G2851" s="1">
        <v>13.5969</v>
      </c>
      <c r="H2851" s="1">
        <v>-3.3141699999999998</v>
      </c>
    </row>
    <row r="2852" spans="1:8" x14ac:dyDescent="0.3">
      <c r="A2852">
        <f t="shared" si="116"/>
        <v>34</v>
      </c>
      <c r="B2852">
        <v>2039</v>
      </c>
      <c r="C2852" s="1">
        <v>19.36</v>
      </c>
      <c r="D2852" s="9">
        <v>18.125722222225782</v>
      </c>
      <c r="E2852" s="1">
        <v>2.8669899999999999</v>
      </c>
      <c r="F2852" s="1">
        <v>8.9785199999999996</v>
      </c>
      <c r="G2852" s="1">
        <v>13.661899999999999</v>
      </c>
      <c r="H2852" s="1">
        <v>-4.4985499999999998</v>
      </c>
    </row>
    <row r="2853" spans="1:8" x14ac:dyDescent="0.3">
      <c r="A2853">
        <f t="shared" si="116"/>
        <v>0</v>
      </c>
      <c r="B2853">
        <v>2089</v>
      </c>
      <c r="C2853" s="1">
        <v>19.222087891414589</v>
      </c>
      <c r="D2853" s="9">
        <v>18.172944444448092</v>
      </c>
      <c r="E2853" s="1">
        <v>2.8226100000000001</v>
      </c>
      <c r="F2853" s="1">
        <v>8.7363400000000002</v>
      </c>
      <c r="G2853" s="1">
        <v>13.728300000000001</v>
      </c>
      <c r="H2853" s="1">
        <v>-5.4721799999999998</v>
      </c>
    </row>
    <row r="2854" spans="1:8" x14ac:dyDescent="0.3">
      <c r="A2854">
        <f t="shared" si="116"/>
        <v>25</v>
      </c>
      <c r="B2854">
        <v>2139</v>
      </c>
      <c r="C2854" s="1">
        <v>19.188217757020539</v>
      </c>
      <c r="D2854" s="9">
        <v>18.220166666670401</v>
      </c>
      <c r="E2854" s="1">
        <v>2.7357200000000002</v>
      </c>
      <c r="F2854" s="1">
        <v>8.5276700000000005</v>
      </c>
      <c r="G2854" s="1">
        <v>13.9086</v>
      </c>
      <c r="H2854" s="1">
        <v>-6.1515599999999999</v>
      </c>
    </row>
    <row r="2855" spans="1:8" x14ac:dyDescent="0.3">
      <c r="A2855" t="e">
        <f t="shared" si="116"/>
        <v>#REF!</v>
      </c>
      <c r="B2855">
        <v>2189</v>
      </c>
      <c r="C2855" s="1">
        <v>19.141880587332469</v>
      </c>
      <c r="D2855" s="9">
        <v>18.267388888892711</v>
      </c>
      <c r="E2855" s="1">
        <v>2.6519499999999998</v>
      </c>
      <c r="F2855" s="1">
        <v>8.4584200000000003</v>
      </c>
      <c r="G2855" s="1">
        <v>14.0745</v>
      </c>
      <c r="H2855" s="1">
        <v>-6.3850300000000004</v>
      </c>
    </row>
    <row r="2856" spans="1:8" x14ac:dyDescent="0.3">
      <c r="A2856">
        <f t="shared" si="116"/>
        <v>16</v>
      </c>
      <c r="B2856">
        <v>2239</v>
      </c>
      <c r="C2856" s="1">
        <v>19.274474038075919</v>
      </c>
      <c r="D2856" s="9">
        <v>18.31461111111502</v>
      </c>
      <c r="E2856" s="1">
        <v>2.7346900000000001</v>
      </c>
      <c r="F2856" s="1">
        <v>8.5806000000000004</v>
      </c>
      <c r="G2856" s="1">
        <v>14.0344</v>
      </c>
      <c r="H2856" s="1">
        <v>-6.0322100000000001</v>
      </c>
    </row>
    <row r="2857" spans="1:8" x14ac:dyDescent="0.3">
      <c r="A2857" t="e">
        <f t="shared" si="116"/>
        <v>#REF!</v>
      </c>
      <c r="B2857">
        <v>2289</v>
      </c>
      <c r="C2857" s="1">
        <v>19.504094122792111</v>
      </c>
      <c r="D2857" s="9">
        <v>18.36183333333733</v>
      </c>
      <c r="E2857" s="1">
        <v>2.8771499999999999</v>
      </c>
      <c r="F2857" s="1">
        <v>8.7101799999999994</v>
      </c>
      <c r="G2857" s="1">
        <v>13.8927</v>
      </c>
      <c r="H2857" s="1">
        <v>-5.2428900000000001</v>
      </c>
    </row>
    <row r="2858" spans="1:8" x14ac:dyDescent="0.3">
      <c r="A2858">
        <f t="shared" si="116"/>
        <v>32</v>
      </c>
      <c r="B2858">
        <v>2339</v>
      </c>
      <c r="C2858" s="1">
        <v>19.868358527250791</v>
      </c>
      <c r="D2858" s="9">
        <v>18.40905555555964</v>
      </c>
      <c r="E2858" s="1">
        <v>2.8899499999999998</v>
      </c>
      <c r="F2858" s="1">
        <v>8.6010600000000004</v>
      </c>
      <c r="G2858" s="1">
        <v>13.846299999999999</v>
      </c>
      <c r="H2858" s="1">
        <v>-4.2706</v>
      </c>
    </row>
    <row r="2859" spans="1:8" x14ac:dyDescent="0.3">
      <c r="A2859" t="e">
        <f t="shared" si="116"/>
        <v>#REF!</v>
      </c>
      <c r="B2859">
        <v>2389</v>
      </c>
      <c r="C2859" s="1">
        <v>20.358706092572</v>
      </c>
      <c r="D2859" s="9">
        <v>18.456277777781949</v>
      </c>
      <c r="E2859" s="1">
        <v>2.8338399999999999</v>
      </c>
      <c r="F2859" s="1">
        <v>8.2978900000000007</v>
      </c>
      <c r="G2859" s="1">
        <v>13.8293</v>
      </c>
      <c r="H2859" s="1">
        <v>-3.2151100000000001</v>
      </c>
    </row>
    <row r="2860" spans="1:8" x14ac:dyDescent="0.3">
      <c r="A2860">
        <f t="shared" si="116"/>
        <v>23</v>
      </c>
      <c r="B2860">
        <v>2439</v>
      </c>
      <c r="C2860" s="1">
        <v>20.930307661047639</v>
      </c>
      <c r="D2860" s="9">
        <v>18.503500000004259</v>
      </c>
      <c r="E2860" s="1">
        <v>2.8369399999999998</v>
      </c>
      <c r="F2860" s="1">
        <v>7.9749400000000001</v>
      </c>
      <c r="G2860" s="1">
        <v>13.7034</v>
      </c>
      <c r="H2860" s="1">
        <v>-2.1051000000000002</v>
      </c>
    </row>
    <row r="2861" spans="1:8" x14ac:dyDescent="0.3">
      <c r="A2861" t="e">
        <f t="shared" si="116"/>
        <v>#REF!</v>
      </c>
      <c r="B2861">
        <v>2489</v>
      </c>
      <c r="C2861" s="1">
        <v>21.440556871364439</v>
      </c>
      <c r="D2861" s="9">
        <v>18.550722222226568</v>
      </c>
      <c r="E2861" s="1">
        <v>2.7349899999999998</v>
      </c>
      <c r="F2861" s="1">
        <v>7.8283899999999997</v>
      </c>
      <c r="G2861" s="1">
        <v>13.62</v>
      </c>
      <c r="H2861" s="1">
        <v>-0.93634600000000001</v>
      </c>
    </row>
    <row r="2862" spans="1:8" x14ac:dyDescent="0.3">
      <c r="A2862">
        <f t="shared" si="116"/>
        <v>39</v>
      </c>
      <c r="B2862">
        <v>2539</v>
      </c>
      <c r="C2862" s="1">
        <v>21.945512329056861</v>
      </c>
      <c r="D2862" s="9">
        <v>18.597944444448878</v>
      </c>
      <c r="E2862" s="1">
        <v>2.2865899999999999</v>
      </c>
      <c r="F2862" s="1">
        <v>8.0106400000000004</v>
      </c>
      <c r="G2862" s="1">
        <v>13.8057</v>
      </c>
      <c r="H2862" s="1">
        <v>0.30174600000000001</v>
      </c>
    </row>
    <row r="2863" spans="1:8" x14ac:dyDescent="0.3">
      <c r="A2863" t="e">
        <f t="shared" si="116"/>
        <v>#REF!</v>
      </c>
      <c r="B2863">
        <v>2589</v>
      </c>
      <c r="C2863" s="1">
        <v>22.340241430075189</v>
      </c>
      <c r="D2863" s="9">
        <v>18.645166666671187</v>
      </c>
      <c r="E2863" s="1">
        <v>1.5992</v>
      </c>
      <c r="F2863" s="1">
        <v>8.2984399999999994</v>
      </c>
      <c r="G2863" s="1">
        <v>14.134</v>
      </c>
      <c r="H2863" s="1">
        <v>1.5661499999999999</v>
      </c>
    </row>
    <row r="2864" spans="1:8" x14ac:dyDescent="0.3">
      <c r="A2864">
        <f t="shared" si="116"/>
        <v>30</v>
      </c>
      <c r="B2864">
        <v>2639</v>
      </c>
      <c r="C2864" s="1">
        <v>22.64</v>
      </c>
      <c r="D2864" s="9">
        <v>18.692388888893497</v>
      </c>
      <c r="E2864" s="1">
        <v>0.93642199999999998</v>
      </c>
      <c r="F2864" s="1">
        <v>8.3524200000000004</v>
      </c>
      <c r="G2864" s="1">
        <v>14.343</v>
      </c>
      <c r="H2864" s="1">
        <v>2.78844</v>
      </c>
    </row>
    <row r="2865" spans="1:8" x14ac:dyDescent="0.3">
      <c r="A2865" t="e">
        <f t="shared" si="116"/>
        <v>#REF!</v>
      </c>
      <c r="B2865">
        <v>2689</v>
      </c>
      <c r="C2865" s="1">
        <v>23.17661461630707</v>
      </c>
      <c r="D2865" s="9">
        <v>18.739611111115806</v>
      </c>
      <c r="E2865" s="1">
        <v>0.60228599999999999</v>
      </c>
      <c r="F2865" s="1">
        <v>8.1586400000000001</v>
      </c>
      <c r="G2865" s="1">
        <v>14.283200000000001</v>
      </c>
      <c r="H2865" s="1">
        <v>3.8831600000000002</v>
      </c>
    </row>
    <row r="2866" spans="1:8" x14ac:dyDescent="0.3">
      <c r="A2866">
        <f t="shared" si="116"/>
        <v>21</v>
      </c>
      <c r="B2866">
        <v>2739</v>
      </c>
      <c r="C2866" s="1">
        <v>23.57029362513217</v>
      </c>
      <c r="D2866" s="9">
        <v>18.786833333338116</v>
      </c>
      <c r="E2866" s="1">
        <v>0.85965199999999997</v>
      </c>
      <c r="F2866" s="1">
        <v>7.8692500000000001</v>
      </c>
      <c r="G2866" s="1">
        <v>13.8939</v>
      </c>
      <c r="H2866" s="1">
        <v>4.7623499999999996</v>
      </c>
    </row>
    <row r="2867" spans="1:8" x14ac:dyDescent="0.3">
      <c r="A2867" t="e">
        <f t="shared" si="116"/>
        <v>#REF!</v>
      </c>
      <c r="B2867">
        <v>2789</v>
      </c>
      <c r="C2867" s="1">
        <v>23.93323433956521</v>
      </c>
      <c r="D2867" s="9">
        <v>18.834055555560425</v>
      </c>
      <c r="E2867" s="1">
        <v>1.56297</v>
      </c>
      <c r="F2867" s="1">
        <v>7.8174799999999998</v>
      </c>
      <c r="G2867" s="1">
        <v>13.3993</v>
      </c>
      <c r="H2867" s="1">
        <v>5.3706899999999997</v>
      </c>
    </row>
    <row r="2868" spans="1:8" x14ac:dyDescent="0.3">
      <c r="A2868">
        <f t="shared" si="116"/>
        <v>37</v>
      </c>
      <c r="B2868">
        <v>2839</v>
      </c>
      <c r="C2868" s="1">
        <v>24.16498311967613</v>
      </c>
      <c r="D2868" s="9">
        <v>18.881277777782735</v>
      </c>
      <c r="E2868" s="1">
        <v>2.3935</v>
      </c>
      <c r="F2868" s="1">
        <v>8.3557799999999993</v>
      </c>
      <c r="G2868" s="1">
        <v>13.129200000000001</v>
      </c>
      <c r="H2868" s="1">
        <v>5.6932700000000001</v>
      </c>
    </row>
    <row r="2869" spans="1:8" x14ac:dyDescent="0.3">
      <c r="A2869" t="e">
        <f t="shared" si="116"/>
        <v>#REF!</v>
      </c>
      <c r="B2869">
        <v>2889</v>
      </c>
      <c r="C2869" s="1">
        <v>24.323218596786479</v>
      </c>
      <c r="D2869" s="9">
        <v>18.928500000005045</v>
      </c>
      <c r="E2869" s="1">
        <v>3.0425499999999999</v>
      </c>
      <c r="F2869" s="1">
        <v>9.4275300000000009</v>
      </c>
      <c r="G2869" s="1">
        <v>13.3079</v>
      </c>
      <c r="H2869" s="1">
        <v>5.8989900000000004</v>
      </c>
    </row>
    <row r="2870" spans="1:8" x14ac:dyDescent="0.3">
      <c r="A2870">
        <f t="shared" si="116"/>
        <v>28</v>
      </c>
      <c r="B2870">
        <v>2939</v>
      </c>
      <c r="C2870" s="1">
        <v>24.205502887063211</v>
      </c>
      <c r="D2870" s="9">
        <v>18.975722222227354</v>
      </c>
      <c r="E2870" s="1">
        <v>3.2774100000000002</v>
      </c>
      <c r="F2870" s="1">
        <v>10.788</v>
      </c>
      <c r="G2870" s="1">
        <v>14.069100000000001</v>
      </c>
      <c r="H2870" s="1">
        <v>6.1980500000000003</v>
      </c>
    </row>
    <row r="2871" spans="1:8" x14ac:dyDescent="0.3">
      <c r="A2871" t="e">
        <f t="shared" si="116"/>
        <v>#REF!</v>
      </c>
      <c r="B2871">
        <v>2989</v>
      </c>
      <c r="C2871" s="1">
        <v>24.03336282177067</v>
      </c>
      <c r="D2871" s="9">
        <v>19.022944444449664</v>
      </c>
      <c r="E2871" s="1">
        <v>3.3637999999999999</v>
      </c>
      <c r="F2871" s="1">
        <v>12.101000000000001</v>
      </c>
      <c r="G2871" s="1">
        <v>15.2285</v>
      </c>
      <c r="H2871" s="1">
        <v>6.5503900000000002</v>
      </c>
    </row>
    <row r="2872" spans="1:8" x14ac:dyDescent="0.3">
      <c r="A2872">
        <f t="shared" si="116"/>
        <v>19</v>
      </c>
      <c r="B2872">
        <v>3039</v>
      </c>
      <c r="C2872" s="1">
        <v>23.8855557404042</v>
      </c>
      <c r="D2872" s="9">
        <v>19.070166666671973</v>
      </c>
      <c r="E2872" s="1">
        <v>3.7301899999999999</v>
      </c>
      <c r="F2872" s="1">
        <v>13.007999999999999</v>
      </c>
      <c r="G2872" s="1">
        <v>16.465399999999999</v>
      </c>
      <c r="H2872" s="1">
        <v>6.8428599999999999</v>
      </c>
    </row>
    <row r="2873" spans="1:8" x14ac:dyDescent="0.3">
      <c r="A2873" t="e">
        <f t="shared" si="116"/>
        <v>#REF!</v>
      </c>
      <c r="B2873">
        <v>3089</v>
      </c>
      <c r="C2873" s="1">
        <v>23.632172558857881</v>
      </c>
      <c r="D2873" s="9">
        <v>19.117388888894283</v>
      </c>
      <c r="E2873" s="1">
        <v>4.4588900000000002</v>
      </c>
      <c r="F2873" s="1">
        <v>13.277100000000001</v>
      </c>
      <c r="G2873" s="1">
        <v>17.451799999999999</v>
      </c>
      <c r="H2873" s="1">
        <v>7.1848000000000001</v>
      </c>
    </row>
    <row r="2874" spans="1:8" x14ac:dyDescent="0.3">
      <c r="A2874">
        <f t="shared" si="116"/>
        <v>35</v>
      </c>
      <c r="B2874">
        <v>3139</v>
      </c>
      <c r="C2874" s="1">
        <v>23.244407928477909</v>
      </c>
      <c r="D2874" s="9">
        <v>19.164611111116592</v>
      </c>
      <c r="E2874" s="1">
        <v>5.4632699999999996</v>
      </c>
      <c r="F2874" s="1">
        <v>12.799099999999999</v>
      </c>
      <c r="G2874" s="1">
        <v>17.915500000000002</v>
      </c>
      <c r="H2874" s="1">
        <v>7.7531999999999996</v>
      </c>
    </row>
    <row r="2875" spans="1:8" x14ac:dyDescent="0.3">
      <c r="A2875" t="e">
        <f t="shared" si="116"/>
        <v>#REF!</v>
      </c>
      <c r="B2875">
        <v>3189</v>
      </c>
      <c r="C2875" s="1">
        <v>22.863545771752751</v>
      </c>
      <c r="D2875" s="9">
        <v>19.211833333338902</v>
      </c>
      <c r="E2875" s="1">
        <v>6.5433300000000001</v>
      </c>
      <c r="F2875" s="1">
        <v>11.8186</v>
      </c>
      <c r="G2875" s="1">
        <v>17.894500000000001</v>
      </c>
      <c r="H2875" s="1">
        <v>8.5898199999999996</v>
      </c>
    </row>
    <row r="2876" spans="1:8" x14ac:dyDescent="0.3">
      <c r="A2876">
        <f t="shared" si="116"/>
        <v>26</v>
      </c>
      <c r="B2876">
        <v>3239</v>
      </c>
      <c r="C2876" s="1">
        <v>22.508705062707161</v>
      </c>
      <c r="D2876" s="9">
        <v>19.259055555561211</v>
      </c>
      <c r="E2876" s="1">
        <v>7.4979300000000002</v>
      </c>
      <c r="F2876" s="1">
        <v>10.7012</v>
      </c>
      <c r="G2876" s="1">
        <v>17.553599999999999</v>
      </c>
      <c r="H2876" s="1">
        <v>9.6731300000000005</v>
      </c>
    </row>
    <row r="2877" spans="1:8" x14ac:dyDescent="0.3">
      <c r="A2877" t="e">
        <f t="shared" ref="A2877:A2883" si="117">A2827</f>
        <v>#REF!</v>
      </c>
      <c r="B2877">
        <v>3289</v>
      </c>
      <c r="C2877" s="1">
        <v>22.087782947723699</v>
      </c>
      <c r="D2877" s="9">
        <v>19.306277777783521</v>
      </c>
      <c r="E2877" s="1">
        <v>8.4132300000000004</v>
      </c>
      <c r="F2877" s="1">
        <v>9.8427399999999992</v>
      </c>
      <c r="G2877" s="1">
        <v>17.133700000000001</v>
      </c>
      <c r="H2877" s="1">
        <v>10.9375</v>
      </c>
    </row>
    <row r="2878" spans="1:8" x14ac:dyDescent="0.3">
      <c r="A2878">
        <f t="shared" si="117"/>
        <v>17</v>
      </c>
      <c r="B2878">
        <v>3339</v>
      </c>
      <c r="C2878" s="1">
        <v>21.76065253602242</v>
      </c>
      <c r="D2878" s="9">
        <v>19.35350000000583</v>
      </c>
      <c r="E2878" s="1">
        <v>9.72715</v>
      </c>
      <c r="F2878" s="1">
        <v>10.2644</v>
      </c>
      <c r="G2878" s="1">
        <v>17.094999999999999</v>
      </c>
      <c r="H2878" s="1">
        <v>12.3443</v>
      </c>
    </row>
    <row r="2879" spans="1:8" x14ac:dyDescent="0.3">
      <c r="A2879" t="e">
        <f t="shared" si="117"/>
        <v>#REF!</v>
      </c>
      <c r="B2879">
        <v>3389</v>
      </c>
      <c r="C2879" s="1">
        <v>21.448745709127572</v>
      </c>
      <c r="D2879" s="9">
        <v>19.40072222222814</v>
      </c>
      <c r="E2879" s="1">
        <v>11.443899999999999</v>
      </c>
      <c r="F2879" s="1">
        <v>11.7013</v>
      </c>
      <c r="G2879" s="1">
        <v>17.333300000000001</v>
      </c>
      <c r="H2879" s="1">
        <v>13.7729</v>
      </c>
    </row>
    <row r="2880" spans="1:8" x14ac:dyDescent="0.3">
      <c r="A2880">
        <f t="shared" si="117"/>
        <v>33</v>
      </c>
      <c r="B2880">
        <v>3439</v>
      </c>
      <c r="C2880" s="1">
        <v>21.06291723907626</v>
      </c>
      <c r="D2880" s="9">
        <v>19.447944444450449</v>
      </c>
      <c r="E2880" s="1">
        <v>13.3009</v>
      </c>
      <c r="F2880" s="1">
        <v>13.424099999999999</v>
      </c>
      <c r="G2880" s="1">
        <v>17.713100000000001</v>
      </c>
      <c r="H2880" s="1">
        <v>15.175700000000001</v>
      </c>
    </row>
    <row r="2881" spans="1:8" x14ac:dyDescent="0.3">
      <c r="A2881" t="e">
        <f t="shared" si="117"/>
        <v>#REF!</v>
      </c>
      <c r="B2881">
        <v>3489</v>
      </c>
      <c r="C2881" s="1">
        <v>20.534929368089781</v>
      </c>
      <c r="D2881" s="9">
        <v>19.495166666672759</v>
      </c>
      <c r="E2881" s="1">
        <v>15.224399999999999</v>
      </c>
      <c r="F2881" s="1">
        <v>15.2791</v>
      </c>
      <c r="G2881" s="1">
        <v>18.2103</v>
      </c>
      <c r="H2881" s="1">
        <v>16.561299999999999</v>
      </c>
    </row>
    <row r="2882" spans="1:8" x14ac:dyDescent="0.3">
      <c r="A2882">
        <f t="shared" si="117"/>
        <v>24</v>
      </c>
      <c r="B2882">
        <v>3539</v>
      </c>
      <c r="C2882" s="1">
        <v>20.13</v>
      </c>
      <c r="D2882" s="9">
        <v>19.542388888895069</v>
      </c>
      <c r="E2882" s="1">
        <v>17.183199999999999</v>
      </c>
      <c r="F2882" s="1">
        <v>17.202500000000001</v>
      </c>
      <c r="G2882" s="1">
        <v>18.7958</v>
      </c>
      <c r="H2882" s="1">
        <v>17.935099999999998</v>
      </c>
    </row>
    <row r="2883" spans="1:8" x14ac:dyDescent="0.3">
      <c r="A2883" t="e">
        <f t="shared" si="117"/>
        <v>#REF!</v>
      </c>
      <c r="B2883">
        <v>3589</v>
      </c>
      <c r="C2883" s="1">
        <v>19.68988301776071</v>
      </c>
      <c r="D2883" s="9">
        <v>19.589611111117378</v>
      </c>
      <c r="E2883" s="1">
        <v>19.162600000000001</v>
      </c>
      <c r="F2883" s="1">
        <v>19.1648</v>
      </c>
      <c r="G2883" s="1">
        <v>19.448799999999999</v>
      </c>
      <c r="H2883" s="1">
        <v>19.3005</v>
      </c>
    </row>
    <row r="2884" spans="1:8" x14ac:dyDescent="0.3">
      <c r="A2884">
        <v>40</v>
      </c>
      <c r="B2884">
        <v>40</v>
      </c>
      <c r="C2884" s="1">
        <v>16.182397329045308</v>
      </c>
      <c r="D2884" s="9">
        <v>16.237777777777847</v>
      </c>
      <c r="E2884" s="1">
        <v>14.7196</v>
      </c>
      <c r="F2884" s="1">
        <v>14.6212</v>
      </c>
      <c r="G2884" s="1">
        <v>15.719099999999999</v>
      </c>
      <c r="H2884" s="1">
        <v>14.707800000000001</v>
      </c>
    </row>
    <row r="2885" spans="1:8" x14ac:dyDescent="0.3">
      <c r="A2885" t="e">
        <f t="shared" ref="A2885:A2916" si="118">A2835</f>
        <v>#REF!</v>
      </c>
      <c r="B2885">
        <v>90</v>
      </c>
      <c r="C2885" s="1">
        <v>16.228679971898639</v>
      </c>
      <c r="D2885" s="9">
        <v>16.285000000000156</v>
      </c>
      <c r="E2885" s="1">
        <v>12.8909</v>
      </c>
      <c r="F2885" s="1">
        <v>12.6755</v>
      </c>
      <c r="G2885" s="1">
        <v>15.1692</v>
      </c>
      <c r="H2885" s="1">
        <v>12.834300000000001</v>
      </c>
    </row>
    <row r="2886" spans="1:8" x14ac:dyDescent="0.3">
      <c r="A2886">
        <f t="shared" si="118"/>
        <v>31</v>
      </c>
      <c r="B2886">
        <v>140</v>
      </c>
      <c r="C2886" s="1">
        <v>16.391600733666529</v>
      </c>
      <c r="D2886" s="9">
        <v>16.332222222222466</v>
      </c>
      <c r="E2886" s="1">
        <v>11.096299999999999</v>
      </c>
      <c r="F2886" s="1">
        <v>10.7807</v>
      </c>
      <c r="G2886" s="1">
        <v>14.689399999999999</v>
      </c>
      <c r="H2886" s="1">
        <v>10.950699999999999</v>
      </c>
    </row>
    <row r="2887" spans="1:8" x14ac:dyDescent="0.3">
      <c r="A2887" t="e">
        <f t="shared" si="118"/>
        <v>#REF!</v>
      </c>
      <c r="B2887">
        <v>190</v>
      </c>
      <c r="C2887" s="1">
        <v>16.698288972089859</v>
      </c>
      <c r="D2887" s="9">
        <v>16.379444444444776</v>
      </c>
      <c r="E2887" s="1">
        <v>9.3538800000000002</v>
      </c>
      <c r="F2887" s="1">
        <v>8.97879</v>
      </c>
      <c r="G2887" s="1">
        <v>14.297000000000001</v>
      </c>
      <c r="H2887" s="1">
        <v>9.0574700000000004</v>
      </c>
    </row>
    <row r="2888" spans="1:8" x14ac:dyDescent="0.3">
      <c r="A2888">
        <f t="shared" si="118"/>
        <v>22</v>
      </c>
      <c r="B2888">
        <v>240</v>
      </c>
      <c r="C2888" s="1">
        <v>16.87</v>
      </c>
      <c r="D2888" s="9">
        <v>16.426666666667085</v>
      </c>
      <c r="E2888" s="1">
        <v>7.6988399999999997</v>
      </c>
      <c r="F2888" s="1">
        <v>7.3666299999999998</v>
      </c>
      <c r="G2888" s="1">
        <v>14.0039</v>
      </c>
      <c r="H2888" s="1">
        <v>7.1615099999999998</v>
      </c>
    </row>
    <row r="2889" spans="1:8" x14ac:dyDescent="0.3">
      <c r="A2889" t="e">
        <f t="shared" si="118"/>
        <v>#REF!</v>
      </c>
      <c r="B2889">
        <v>290</v>
      </c>
      <c r="C2889" s="1">
        <v>17.050990246819079</v>
      </c>
      <c r="D2889" s="9">
        <v>16.473888888889395</v>
      </c>
      <c r="E2889" s="1">
        <v>6.2392200000000004</v>
      </c>
      <c r="F2889" s="1">
        <v>6.2686200000000003</v>
      </c>
      <c r="G2889" s="1">
        <v>13.805999999999999</v>
      </c>
      <c r="H2889" s="1">
        <v>5.3525299999999998</v>
      </c>
    </row>
    <row r="2890" spans="1:8" x14ac:dyDescent="0.3">
      <c r="A2890">
        <f t="shared" si="118"/>
        <v>38</v>
      </c>
      <c r="B2890">
        <v>340</v>
      </c>
      <c r="C2890" s="1">
        <v>17.263825073022911</v>
      </c>
      <c r="D2890" s="9">
        <v>16.521111111111704</v>
      </c>
      <c r="E2890" s="1">
        <v>5.2804399999999996</v>
      </c>
      <c r="F2890" s="1">
        <v>6.3281099999999997</v>
      </c>
      <c r="G2890" s="1">
        <v>13.942600000000001</v>
      </c>
      <c r="H2890" s="1">
        <v>4.0475700000000003</v>
      </c>
    </row>
    <row r="2891" spans="1:8" x14ac:dyDescent="0.3">
      <c r="A2891" t="e">
        <f t="shared" si="118"/>
        <v>#REF!</v>
      </c>
      <c r="B2891">
        <v>390</v>
      </c>
      <c r="C2891" s="1">
        <v>17.499659026353161</v>
      </c>
      <c r="D2891" s="9">
        <v>16.568333333334014</v>
      </c>
      <c r="E2891" s="1">
        <v>4.6298599999999999</v>
      </c>
      <c r="F2891" s="1">
        <v>6.6524799999999997</v>
      </c>
      <c r="G2891" s="1">
        <v>14.074199999999999</v>
      </c>
      <c r="H2891" s="1">
        <v>3.1301299999999999</v>
      </c>
    </row>
    <row r="2892" spans="1:8" x14ac:dyDescent="0.3">
      <c r="A2892">
        <f t="shared" si="118"/>
        <v>29</v>
      </c>
      <c r="B2892">
        <v>440</v>
      </c>
      <c r="C2892" s="1">
        <v>17.768912071894089</v>
      </c>
      <c r="D2892" s="9">
        <v>16.615555555556323</v>
      </c>
      <c r="E2892" s="1">
        <v>4.2121700000000004</v>
      </c>
      <c r="F2892" s="1">
        <v>6.7234600000000002</v>
      </c>
      <c r="G2892" s="1">
        <v>13.932600000000001</v>
      </c>
      <c r="H2892" s="1">
        <v>2.5641400000000001</v>
      </c>
    </row>
    <row r="2893" spans="1:8" x14ac:dyDescent="0.3">
      <c r="A2893" t="e">
        <f t="shared" si="118"/>
        <v>#REF!</v>
      </c>
      <c r="B2893">
        <v>490</v>
      </c>
      <c r="C2893" s="1">
        <v>17.95</v>
      </c>
      <c r="D2893" s="9">
        <v>16.662777777778633</v>
      </c>
      <c r="E2893" s="1">
        <v>3.7912400000000002</v>
      </c>
      <c r="F2893" s="1">
        <v>6.4045699999999997</v>
      </c>
      <c r="G2893" s="1">
        <v>13.603400000000001</v>
      </c>
      <c r="H2893" s="1">
        <v>2.1181999999999999</v>
      </c>
    </row>
    <row r="2894" spans="1:8" x14ac:dyDescent="0.3">
      <c r="A2894">
        <f t="shared" si="118"/>
        <v>20</v>
      </c>
      <c r="B2894">
        <v>540</v>
      </c>
      <c r="C2894" s="1">
        <v>18.109985781667721</v>
      </c>
      <c r="D2894" s="9">
        <v>16.710000000000942</v>
      </c>
      <c r="E2894" s="1">
        <v>3.07931</v>
      </c>
      <c r="F2894" s="1">
        <v>5.6691399999999996</v>
      </c>
      <c r="G2894" s="1">
        <v>13.2692</v>
      </c>
      <c r="H2894" s="1">
        <v>1.49082</v>
      </c>
    </row>
    <row r="2895" spans="1:8" x14ac:dyDescent="0.3">
      <c r="A2895" t="e">
        <f t="shared" si="118"/>
        <v>#REF!</v>
      </c>
      <c r="B2895">
        <v>590</v>
      </c>
      <c r="C2895" s="1">
        <v>18.348116250877311</v>
      </c>
      <c r="D2895" s="9">
        <v>16.757222222223252</v>
      </c>
      <c r="E2895" s="1">
        <v>2.16553</v>
      </c>
      <c r="F2895" s="1">
        <v>4.6732500000000003</v>
      </c>
      <c r="G2895" s="1">
        <v>12.920400000000001</v>
      </c>
      <c r="H2895" s="1">
        <v>0.75308600000000003</v>
      </c>
    </row>
    <row r="2896" spans="1:8" x14ac:dyDescent="0.3">
      <c r="A2896">
        <f t="shared" si="118"/>
        <v>36</v>
      </c>
      <c r="B2896">
        <v>640</v>
      </c>
      <c r="C2896" s="1">
        <v>18.489999999999998</v>
      </c>
      <c r="D2896" s="9">
        <v>16.804444444445561</v>
      </c>
      <c r="E2896" s="1">
        <v>1.3136000000000001</v>
      </c>
      <c r="F2896" s="1">
        <v>3.6599499999999998</v>
      </c>
      <c r="G2896" s="1">
        <v>12.492100000000001</v>
      </c>
      <c r="H2896" s="1">
        <v>0.15534500000000001</v>
      </c>
    </row>
    <row r="2897" spans="1:8" x14ac:dyDescent="0.3">
      <c r="A2897" t="e">
        <f t="shared" si="118"/>
        <v>#REF!</v>
      </c>
      <c r="B2897">
        <v>690</v>
      </c>
      <c r="C2897" s="1">
        <v>18.642381059681899</v>
      </c>
      <c r="D2897" s="9">
        <v>16.851666666667871</v>
      </c>
      <c r="E2897" s="1">
        <v>0.75625900000000001</v>
      </c>
      <c r="F2897" s="1">
        <v>2.84721</v>
      </c>
      <c r="G2897" s="1">
        <v>12.162000000000001</v>
      </c>
      <c r="H2897" s="1">
        <v>-1.7425900000000001E-2</v>
      </c>
    </row>
    <row r="2898" spans="1:8" x14ac:dyDescent="0.3">
      <c r="A2898">
        <f t="shared" si="118"/>
        <v>27</v>
      </c>
      <c r="B2898">
        <v>740</v>
      </c>
      <c r="C2898" s="1">
        <v>18.78078907835334</v>
      </c>
      <c r="D2898" s="9">
        <v>16.89888888889018</v>
      </c>
      <c r="E2898" s="1">
        <v>0.66507000000000005</v>
      </c>
      <c r="F2898" s="1">
        <v>2.3944100000000001</v>
      </c>
      <c r="G2898" s="1">
        <v>12.1755</v>
      </c>
      <c r="H2898" s="1">
        <v>0.47328399999999998</v>
      </c>
    </row>
    <row r="2899" spans="1:8" x14ac:dyDescent="0.3">
      <c r="A2899" t="e">
        <f t="shared" si="118"/>
        <v>#REF!</v>
      </c>
      <c r="B2899">
        <v>790</v>
      </c>
      <c r="C2899" s="1">
        <v>19.081462880650111</v>
      </c>
      <c r="D2899" s="9">
        <v>16.94611111111249</v>
      </c>
      <c r="E2899" s="1">
        <v>0.88966000000000001</v>
      </c>
      <c r="F2899" s="1">
        <v>2.14053</v>
      </c>
      <c r="G2899" s="1">
        <v>12.5029</v>
      </c>
      <c r="H2899" s="1">
        <v>1.4412799999999999</v>
      </c>
    </row>
    <row r="2900" spans="1:8" x14ac:dyDescent="0.3">
      <c r="A2900">
        <f t="shared" si="118"/>
        <v>18</v>
      </c>
      <c r="B2900">
        <v>840</v>
      </c>
      <c r="C2900" s="1">
        <v>19.349571874912041</v>
      </c>
      <c r="D2900" s="9">
        <v>16.9933333333348</v>
      </c>
      <c r="E2900" s="1">
        <v>1.1730499999999999</v>
      </c>
      <c r="F2900" s="1">
        <v>1.84049</v>
      </c>
      <c r="G2900" s="1">
        <v>12.978199999999999</v>
      </c>
      <c r="H2900" s="1">
        <v>2.5155500000000002</v>
      </c>
    </row>
    <row r="2901" spans="1:8" x14ac:dyDescent="0.3">
      <c r="A2901" t="e">
        <f t="shared" si="118"/>
        <v>#REF!</v>
      </c>
      <c r="B2901">
        <v>890</v>
      </c>
      <c r="C2901" s="1">
        <v>19.64812324046008</v>
      </c>
      <c r="D2901" s="9">
        <v>17.040555555557109</v>
      </c>
      <c r="E2901" s="1">
        <v>1.4890000000000001</v>
      </c>
      <c r="F2901" s="1">
        <v>1.6343799999999999</v>
      </c>
      <c r="G2901" s="1">
        <v>13.317600000000001</v>
      </c>
      <c r="H2901" s="1">
        <v>3.3147799999999998</v>
      </c>
    </row>
    <row r="2902" spans="1:8" x14ac:dyDescent="0.3">
      <c r="A2902">
        <f t="shared" si="118"/>
        <v>34</v>
      </c>
      <c r="B2902">
        <v>940</v>
      </c>
      <c r="C2902" s="1">
        <v>19.913003576823581</v>
      </c>
      <c r="D2902" s="9">
        <v>17.087777777779419</v>
      </c>
      <c r="E2902" s="1">
        <v>1.8852199999999999</v>
      </c>
      <c r="F2902" s="1">
        <v>1.7865200000000001</v>
      </c>
      <c r="G2902" s="1">
        <v>13.2477</v>
      </c>
      <c r="H2902" s="1">
        <v>3.5156999999999998</v>
      </c>
    </row>
    <row r="2903" spans="1:8" x14ac:dyDescent="0.3">
      <c r="A2903">
        <f t="shared" si="118"/>
        <v>0</v>
      </c>
      <c r="B2903">
        <v>990</v>
      </c>
      <c r="C2903" s="1">
        <v>20.29813558704436</v>
      </c>
      <c r="D2903" s="9">
        <v>17.135000000001728</v>
      </c>
      <c r="E2903" s="1">
        <v>2.2259699999999998</v>
      </c>
      <c r="F2903" s="1">
        <v>2.2634599999999998</v>
      </c>
      <c r="G2903" s="1">
        <v>12.9312</v>
      </c>
      <c r="H2903" s="1">
        <v>3.2330800000000002</v>
      </c>
    </row>
    <row r="2904" spans="1:8" x14ac:dyDescent="0.3">
      <c r="A2904">
        <f t="shared" si="118"/>
        <v>25</v>
      </c>
      <c r="B2904">
        <v>1040</v>
      </c>
      <c r="C2904" s="1">
        <v>20.719804985268681</v>
      </c>
      <c r="D2904" s="9">
        <v>17.182222222224038</v>
      </c>
      <c r="E2904" s="1">
        <v>2.3350399999999998</v>
      </c>
      <c r="F2904" s="1">
        <v>2.8866800000000001</v>
      </c>
      <c r="G2904" s="1">
        <v>12.6922</v>
      </c>
      <c r="H2904" s="1">
        <v>2.7800199999999999</v>
      </c>
    </row>
    <row r="2905" spans="1:8" x14ac:dyDescent="0.3">
      <c r="A2905" t="e">
        <f t="shared" si="118"/>
        <v>#REF!</v>
      </c>
      <c r="B2905">
        <v>1090</v>
      </c>
      <c r="C2905" s="1">
        <v>21.1237713103056</v>
      </c>
      <c r="D2905" s="9">
        <v>17.229444444446347</v>
      </c>
      <c r="E2905" s="1">
        <v>2.3088000000000002</v>
      </c>
      <c r="F2905" s="1">
        <v>3.3601399999999999</v>
      </c>
      <c r="G2905" s="1">
        <v>12.663</v>
      </c>
      <c r="H2905" s="1">
        <v>2.5430899999999999</v>
      </c>
    </row>
    <row r="2906" spans="1:8" x14ac:dyDescent="0.3">
      <c r="A2906">
        <f t="shared" si="118"/>
        <v>16</v>
      </c>
      <c r="B2906">
        <v>1140</v>
      </c>
      <c r="C2906" s="1">
        <v>21.4618286957819</v>
      </c>
      <c r="D2906" s="9">
        <v>17.276666666668657</v>
      </c>
      <c r="E2906" s="1">
        <v>2.32246</v>
      </c>
      <c r="F2906" s="1">
        <v>3.4044300000000001</v>
      </c>
      <c r="G2906" s="1">
        <v>12.862500000000001</v>
      </c>
      <c r="H2906" s="1">
        <v>2.8711899999999999</v>
      </c>
    </row>
    <row r="2907" spans="1:8" x14ac:dyDescent="0.3">
      <c r="A2907" t="e">
        <f t="shared" si="118"/>
        <v>#REF!</v>
      </c>
      <c r="B2907">
        <v>1190</v>
      </c>
      <c r="C2907" s="1">
        <v>21.849840170273531</v>
      </c>
      <c r="D2907" s="9">
        <v>17.323888888890966</v>
      </c>
      <c r="E2907" s="1">
        <v>2.2816999999999998</v>
      </c>
      <c r="F2907" s="1">
        <v>3.2073800000000001</v>
      </c>
      <c r="G2907" s="1">
        <v>13.092599999999999</v>
      </c>
      <c r="H2907" s="1">
        <v>3.6338300000000001</v>
      </c>
    </row>
    <row r="2908" spans="1:8" x14ac:dyDescent="0.3">
      <c r="A2908">
        <f t="shared" si="118"/>
        <v>32</v>
      </c>
      <c r="B2908">
        <v>1240</v>
      </c>
      <c r="C2908" s="1">
        <v>22.289908248406672</v>
      </c>
      <c r="D2908" s="9">
        <v>17.371111111113276</v>
      </c>
      <c r="E2908" s="1">
        <v>2.0259999999999998</v>
      </c>
      <c r="F2908" s="1">
        <v>3.1206900000000002</v>
      </c>
      <c r="G2908" s="1">
        <v>13.1129</v>
      </c>
      <c r="H2908" s="1">
        <v>4.50692</v>
      </c>
    </row>
    <row r="2909" spans="1:8" x14ac:dyDescent="0.3">
      <c r="A2909" t="e">
        <f t="shared" si="118"/>
        <v>#REF!</v>
      </c>
      <c r="B2909">
        <v>1290</v>
      </c>
      <c r="C2909" s="1">
        <v>22.722990434192969</v>
      </c>
      <c r="D2909" s="9">
        <v>17.418333333335585</v>
      </c>
      <c r="E2909" s="1">
        <v>1.7403299999999999</v>
      </c>
      <c r="F2909" s="1">
        <v>3.2469299999999999</v>
      </c>
      <c r="G2909" s="1">
        <v>13.0372</v>
      </c>
      <c r="H2909" s="1">
        <v>5.2392700000000003</v>
      </c>
    </row>
    <row r="2910" spans="1:8" x14ac:dyDescent="0.3">
      <c r="A2910">
        <f t="shared" si="118"/>
        <v>23</v>
      </c>
      <c r="B2910">
        <v>1340</v>
      </c>
      <c r="C2910" s="1">
        <v>23.036958071888641</v>
      </c>
      <c r="D2910" s="9">
        <v>17.465555555557895</v>
      </c>
      <c r="E2910" s="1">
        <v>1.7200800000000001</v>
      </c>
      <c r="F2910" s="1">
        <v>3.56779</v>
      </c>
      <c r="G2910" s="1">
        <v>13.086399999999999</v>
      </c>
      <c r="H2910" s="1">
        <v>5.6527799999999999</v>
      </c>
    </row>
    <row r="2911" spans="1:8" x14ac:dyDescent="0.3">
      <c r="A2911" t="e">
        <f t="shared" si="118"/>
        <v>#REF!</v>
      </c>
      <c r="B2911">
        <v>1390</v>
      </c>
      <c r="C2911" s="1">
        <v>23.21265806440865</v>
      </c>
      <c r="D2911" s="9">
        <v>17.512777777780205</v>
      </c>
      <c r="E2911" s="1">
        <v>2.00231</v>
      </c>
      <c r="F2911" s="1">
        <v>3.96367</v>
      </c>
      <c r="G2911" s="1">
        <v>13.174799999999999</v>
      </c>
      <c r="H2911" s="1">
        <v>5.8581500000000002</v>
      </c>
    </row>
    <row r="2912" spans="1:8" x14ac:dyDescent="0.3">
      <c r="A2912">
        <f t="shared" si="118"/>
        <v>39</v>
      </c>
      <c r="B2912">
        <v>1440</v>
      </c>
      <c r="C2912" s="1">
        <v>23.26</v>
      </c>
      <c r="D2912" s="9">
        <v>17.560000000002514</v>
      </c>
      <c r="E2912" s="1">
        <v>2.4931399999999999</v>
      </c>
      <c r="F2912" s="1">
        <v>4.2903099999999998</v>
      </c>
      <c r="G2912" s="1">
        <v>13.1272</v>
      </c>
      <c r="H2912" s="1">
        <v>6.0484900000000001</v>
      </c>
    </row>
    <row r="2913" spans="1:8" x14ac:dyDescent="0.3">
      <c r="A2913" t="e">
        <f t="shared" si="118"/>
        <v>#REF!</v>
      </c>
      <c r="B2913">
        <v>1490</v>
      </c>
      <c r="C2913" s="1">
        <v>23.158914876946259</v>
      </c>
      <c r="D2913" s="9">
        <v>17.607222222224824</v>
      </c>
      <c r="E2913" s="1">
        <v>2.9546100000000002</v>
      </c>
      <c r="F2913" s="1">
        <v>4.52874</v>
      </c>
      <c r="G2913" s="1">
        <v>13.053599999999999</v>
      </c>
      <c r="H2913" s="1">
        <v>6.1449199999999999</v>
      </c>
    </row>
    <row r="2914" spans="1:8" x14ac:dyDescent="0.3">
      <c r="A2914">
        <f t="shared" si="118"/>
        <v>30</v>
      </c>
      <c r="B2914">
        <v>1540</v>
      </c>
      <c r="C2914" s="1">
        <v>22.912211692821799</v>
      </c>
      <c r="D2914" s="9">
        <v>17.654444444447133</v>
      </c>
      <c r="E2914" s="1">
        <v>3.1551999999999998</v>
      </c>
      <c r="F2914" s="1">
        <v>4.7354599999999998</v>
      </c>
      <c r="G2914" s="1">
        <v>13.143599999999999</v>
      </c>
      <c r="H2914" s="1">
        <v>5.9736599999999997</v>
      </c>
    </row>
    <row r="2915" spans="1:8" x14ac:dyDescent="0.3">
      <c r="A2915" t="e">
        <f t="shared" si="118"/>
        <v>#REF!</v>
      </c>
      <c r="B2915">
        <v>1590</v>
      </c>
      <c r="C2915" s="1">
        <v>22.562165588038379</v>
      </c>
      <c r="D2915" s="9">
        <v>17.701666666669443</v>
      </c>
      <c r="E2915" s="1">
        <v>3.3290500000000001</v>
      </c>
      <c r="F2915" s="1">
        <v>5.1214199999999996</v>
      </c>
      <c r="G2915" s="1">
        <v>13.301399999999999</v>
      </c>
      <c r="H2915" s="1">
        <v>5.4965999999999999</v>
      </c>
    </row>
    <row r="2916" spans="1:8" x14ac:dyDescent="0.3">
      <c r="A2916">
        <f t="shared" si="118"/>
        <v>21</v>
      </c>
      <c r="B2916">
        <v>1640</v>
      </c>
      <c r="C2916" s="1">
        <v>22.171997704061429</v>
      </c>
      <c r="D2916" s="9">
        <v>17.748888888891752</v>
      </c>
      <c r="E2916" s="1">
        <v>3.8447399999999998</v>
      </c>
      <c r="F2916" s="1">
        <v>5.9101100000000004</v>
      </c>
      <c r="G2916" s="1">
        <v>13.347899999999999</v>
      </c>
      <c r="H2916" s="1">
        <v>4.7402100000000003</v>
      </c>
    </row>
    <row r="2917" spans="1:8" x14ac:dyDescent="0.3">
      <c r="A2917" t="e">
        <f t="shared" ref="A2917:A2948" si="119">A2867</f>
        <v>#REF!</v>
      </c>
      <c r="B2917">
        <v>1690</v>
      </c>
      <c r="C2917" s="1">
        <v>21.78163533059918</v>
      </c>
      <c r="D2917" s="9">
        <v>17.796111111114062</v>
      </c>
      <c r="E2917" s="1">
        <v>4.6400699999999997</v>
      </c>
      <c r="F2917" s="1">
        <v>6.9628199999999998</v>
      </c>
      <c r="G2917" s="1">
        <v>13.360799999999999</v>
      </c>
      <c r="H2917" s="1">
        <v>3.7815599999999998</v>
      </c>
    </row>
    <row r="2918" spans="1:8" x14ac:dyDescent="0.3">
      <c r="A2918">
        <f t="shared" si="119"/>
        <v>37</v>
      </c>
      <c r="B2918">
        <v>1740</v>
      </c>
      <c r="C2918" s="1">
        <v>21.318243304016601</v>
      </c>
      <c r="D2918" s="9">
        <v>17.843333333336371</v>
      </c>
      <c r="E2918" s="1">
        <v>5.4539900000000001</v>
      </c>
      <c r="F2918" s="1">
        <v>7.99207</v>
      </c>
      <c r="G2918" s="1">
        <v>13.487299999999999</v>
      </c>
      <c r="H2918" s="1">
        <v>2.7135400000000001</v>
      </c>
    </row>
    <row r="2919" spans="1:8" x14ac:dyDescent="0.3">
      <c r="A2919" t="e">
        <f t="shared" si="119"/>
        <v>#REF!</v>
      </c>
      <c r="B2919">
        <v>1790</v>
      </c>
      <c r="C2919" s="1">
        <v>20.983689344762031</v>
      </c>
      <c r="D2919" s="9">
        <v>17.890555555558681</v>
      </c>
      <c r="E2919" s="1">
        <v>5.907</v>
      </c>
      <c r="F2919" s="1">
        <v>8.7353699999999996</v>
      </c>
      <c r="G2919" s="1">
        <v>13.613099999999999</v>
      </c>
      <c r="H2919" s="1">
        <v>1.5927</v>
      </c>
    </row>
    <row r="2920" spans="1:8" x14ac:dyDescent="0.3">
      <c r="A2920">
        <f t="shared" si="119"/>
        <v>28</v>
      </c>
      <c r="B2920">
        <v>1840</v>
      </c>
      <c r="C2920" s="1">
        <v>20.613988467083129</v>
      </c>
      <c r="D2920" s="9">
        <v>17.93777777778099</v>
      </c>
      <c r="E2920" s="1">
        <v>5.6476800000000003</v>
      </c>
      <c r="F2920" s="1">
        <v>9.0001300000000004</v>
      </c>
      <c r="G2920" s="1">
        <v>13.5581</v>
      </c>
      <c r="H2920" s="1">
        <v>0.45087500000000003</v>
      </c>
    </row>
    <row r="2921" spans="1:8" x14ac:dyDescent="0.3">
      <c r="A2921" t="e">
        <f t="shared" si="119"/>
        <v>#REF!</v>
      </c>
      <c r="B2921">
        <v>1890</v>
      </c>
      <c r="C2921" s="1">
        <v>20.249969704640659</v>
      </c>
      <c r="D2921" s="9">
        <v>17.9850000000033</v>
      </c>
      <c r="E2921" s="1">
        <v>4.8534699999999997</v>
      </c>
      <c r="F2921" s="1">
        <v>8.9969999999999999</v>
      </c>
      <c r="G2921" s="1">
        <v>13.444000000000001</v>
      </c>
      <c r="H2921" s="1">
        <v>-0.74523399999999995</v>
      </c>
    </row>
    <row r="2922" spans="1:8" x14ac:dyDescent="0.3">
      <c r="A2922">
        <f t="shared" si="119"/>
        <v>19</v>
      </c>
      <c r="B2922">
        <v>1940</v>
      </c>
      <c r="C2922" s="1">
        <v>19.850262066813901</v>
      </c>
      <c r="D2922" s="9">
        <v>18.032222222225609</v>
      </c>
      <c r="E2922" s="1">
        <v>3.9147400000000001</v>
      </c>
      <c r="F2922" s="1">
        <v>9.04894</v>
      </c>
      <c r="G2922" s="1">
        <v>13.478199999999999</v>
      </c>
      <c r="H2922" s="1">
        <v>-2.0371299999999999</v>
      </c>
    </row>
    <row r="2923" spans="1:8" x14ac:dyDescent="0.3">
      <c r="A2923" t="e">
        <f t="shared" si="119"/>
        <v>#REF!</v>
      </c>
      <c r="B2923">
        <v>1990</v>
      </c>
      <c r="C2923" s="1">
        <v>19.576832919764978</v>
      </c>
      <c r="D2923" s="9">
        <v>18.079444444447919</v>
      </c>
      <c r="E2923" s="1">
        <v>3.1683599999999998</v>
      </c>
      <c r="F2923" s="1">
        <v>9.1005400000000005</v>
      </c>
      <c r="G2923" s="1">
        <v>13.599</v>
      </c>
      <c r="H2923" s="1">
        <v>-3.3394200000000001</v>
      </c>
    </row>
    <row r="2924" spans="1:8" x14ac:dyDescent="0.3">
      <c r="A2924">
        <f t="shared" si="119"/>
        <v>35</v>
      </c>
      <c r="B2924">
        <v>2040</v>
      </c>
      <c r="C2924" s="1">
        <v>19.360914306217399</v>
      </c>
      <c r="D2924" s="9">
        <v>18.126666666670229</v>
      </c>
      <c r="E2924" s="1">
        <v>2.8646699999999998</v>
      </c>
      <c r="F2924" s="1">
        <v>8.9743200000000005</v>
      </c>
      <c r="G2924" s="1">
        <v>13.662800000000001</v>
      </c>
      <c r="H2924" s="1">
        <v>-4.5203300000000004</v>
      </c>
    </row>
    <row r="2925" spans="1:8" x14ac:dyDescent="0.3">
      <c r="A2925" t="e">
        <f t="shared" si="119"/>
        <v>#REF!</v>
      </c>
      <c r="B2925">
        <v>2090</v>
      </c>
      <c r="C2925" s="1">
        <v>19.22</v>
      </c>
      <c r="D2925" s="9">
        <v>18.173888888892538</v>
      </c>
      <c r="E2925" s="1">
        <v>2.8219799999999999</v>
      </c>
      <c r="F2925" s="1">
        <v>8.7313700000000001</v>
      </c>
      <c r="G2925" s="1">
        <v>13.730700000000001</v>
      </c>
      <c r="H2925" s="1">
        <v>-5.4889999999999999</v>
      </c>
    </row>
    <row r="2926" spans="1:8" x14ac:dyDescent="0.3">
      <c r="A2926">
        <f t="shared" si="119"/>
        <v>26</v>
      </c>
      <c r="B2926">
        <v>2140</v>
      </c>
      <c r="C2926" s="1">
        <v>19.190000000000001</v>
      </c>
      <c r="D2926" s="9">
        <v>18.221111111114848</v>
      </c>
      <c r="E2926" s="1">
        <v>2.7333500000000002</v>
      </c>
      <c r="F2926" s="1">
        <v>8.5246399999999998</v>
      </c>
      <c r="G2926" s="1">
        <v>13.912800000000001</v>
      </c>
      <c r="H2926" s="1">
        <v>-6.1612</v>
      </c>
    </row>
    <row r="2927" spans="1:8" x14ac:dyDescent="0.3">
      <c r="A2927" t="e">
        <f t="shared" si="119"/>
        <v>#REF!</v>
      </c>
      <c r="B2927">
        <v>2190</v>
      </c>
      <c r="C2927" s="1">
        <v>19.14</v>
      </c>
      <c r="D2927" s="9">
        <v>18.268333333337157</v>
      </c>
      <c r="E2927" s="1">
        <v>2.6516799999999998</v>
      </c>
      <c r="F2927" s="1">
        <v>8.4590399999999999</v>
      </c>
      <c r="G2927" s="1">
        <v>14.0761</v>
      </c>
      <c r="H2927" s="1">
        <v>-6.3839100000000002</v>
      </c>
    </row>
    <row r="2928" spans="1:8" x14ac:dyDescent="0.3">
      <c r="A2928">
        <f t="shared" si="119"/>
        <v>17</v>
      </c>
      <c r="B2928">
        <v>2240</v>
      </c>
      <c r="C2928" s="1">
        <v>19.278405875738208</v>
      </c>
      <c r="D2928" s="9">
        <v>18.315555555559467</v>
      </c>
      <c r="E2928" s="1">
        <v>2.7376999999999998</v>
      </c>
      <c r="F2928" s="1">
        <v>8.5840700000000005</v>
      </c>
      <c r="G2928" s="1">
        <v>14.031700000000001</v>
      </c>
      <c r="H2928" s="1">
        <v>-6.0197900000000004</v>
      </c>
    </row>
    <row r="2929" spans="1:8" x14ac:dyDescent="0.3">
      <c r="A2929" t="e">
        <f t="shared" si="119"/>
        <v>#REF!</v>
      </c>
      <c r="B2929">
        <v>2290</v>
      </c>
      <c r="C2929" s="1">
        <v>19.508143459915619</v>
      </c>
      <c r="D2929" s="9">
        <v>18.362777777781776</v>
      </c>
      <c r="E2929" s="1">
        <v>2.87906</v>
      </c>
      <c r="F2929" s="1">
        <v>8.7108799999999995</v>
      </c>
      <c r="G2929" s="1">
        <v>13.8904</v>
      </c>
      <c r="H2929" s="1">
        <v>-5.2245400000000002</v>
      </c>
    </row>
    <row r="2930" spans="1:8" x14ac:dyDescent="0.3">
      <c r="A2930">
        <f t="shared" si="119"/>
        <v>33</v>
      </c>
      <c r="B2930">
        <v>2340</v>
      </c>
      <c r="C2930" s="1">
        <v>19.879815916020409</v>
      </c>
      <c r="D2930" s="9">
        <v>18.410000000004086</v>
      </c>
      <c r="E2930" s="1">
        <v>2.8889399999999998</v>
      </c>
      <c r="F2930" s="1">
        <v>8.59633</v>
      </c>
      <c r="G2930" s="1">
        <v>13.8462</v>
      </c>
      <c r="H2930" s="1">
        <v>-4.2501899999999999</v>
      </c>
    </row>
    <row r="2931" spans="1:8" x14ac:dyDescent="0.3">
      <c r="A2931" t="e">
        <f t="shared" si="119"/>
        <v>#REF!</v>
      </c>
      <c r="B2931">
        <v>2390</v>
      </c>
      <c r="C2931" s="1">
        <v>20.36653342619476</v>
      </c>
      <c r="D2931" s="9">
        <v>18.457222222226395</v>
      </c>
      <c r="E2931" s="1">
        <v>2.83318</v>
      </c>
      <c r="F2931" s="1">
        <v>8.2910299999999992</v>
      </c>
      <c r="G2931" s="1">
        <v>13.827999999999999</v>
      </c>
      <c r="H2931" s="1">
        <v>-3.1933799999999999</v>
      </c>
    </row>
    <row r="2932" spans="1:8" x14ac:dyDescent="0.3">
      <c r="A2932">
        <f t="shared" si="119"/>
        <v>24</v>
      </c>
      <c r="B2932">
        <v>2440</v>
      </c>
      <c r="C2932" s="1">
        <v>20.945642791147051</v>
      </c>
      <c r="D2932" s="9">
        <v>18.504444444448705</v>
      </c>
      <c r="E2932" s="1">
        <v>2.8369</v>
      </c>
      <c r="F2932" s="1">
        <v>7.9695999999999998</v>
      </c>
      <c r="G2932" s="1">
        <v>13.7004</v>
      </c>
      <c r="H2932" s="1">
        <v>-2.08236</v>
      </c>
    </row>
    <row r="2933" spans="1:8" x14ac:dyDescent="0.3">
      <c r="A2933" t="e">
        <f t="shared" si="119"/>
        <v>#REF!</v>
      </c>
      <c r="B2933">
        <v>2490</v>
      </c>
      <c r="C2933" s="1">
        <v>21.451925459954161</v>
      </c>
      <c r="D2933" s="9">
        <v>18.551666666671014</v>
      </c>
      <c r="E2933" s="1">
        <v>2.7298800000000001</v>
      </c>
      <c r="F2933" s="1">
        <v>7.8286699999999998</v>
      </c>
      <c r="G2933" s="1">
        <v>13.620699999999999</v>
      </c>
      <c r="H2933" s="1">
        <v>-0.91224700000000003</v>
      </c>
    </row>
    <row r="2934" spans="1:8" x14ac:dyDescent="0.3">
      <c r="A2934">
        <f t="shared" si="119"/>
        <v>40</v>
      </c>
      <c r="B2934">
        <v>2540</v>
      </c>
      <c r="C2934" s="1">
        <v>21.956842447154461</v>
      </c>
      <c r="D2934" s="9">
        <v>18.598888888893324</v>
      </c>
      <c r="E2934" s="1">
        <v>2.27433</v>
      </c>
      <c r="F2934" s="1">
        <v>8.0166500000000003</v>
      </c>
      <c r="G2934" s="1">
        <v>13.8118</v>
      </c>
      <c r="H2934" s="1">
        <v>0.32699600000000001</v>
      </c>
    </row>
    <row r="2935" spans="1:8" x14ac:dyDescent="0.3">
      <c r="A2935" t="e">
        <f t="shared" si="119"/>
        <v>#REF!</v>
      </c>
      <c r="B2935">
        <v>2590</v>
      </c>
      <c r="C2935" s="1">
        <v>22.34398743589648</v>
      </c>
      <c r="D2935" s="9">
        <v>18.646111111115633</v>
      </c>
      <c r="E2935" s="1">
        <v>1.5847800000000001</v>
      </c>
      <c r="F2935" s="1">
        <v>8.3026300000000006</v>
      </c>
      <c r="G2935" s="1">
        <v>14.1401</v>
      </c>
      <c r="H2935" s="1">
        <v>1.5912500000000001</v>
      </c>
    </row>
    <row r="2936" spans="1:8" x14ac:dyDescent="0.3">
      <c r="A2936">
        <f t="shared" si="119"/>
        <v>31</v>
      </c>
      <c r="B2936">
        <v>2640</v>
      </c>
      <c r="C2936" s="1">
        <v>22.642504736671281</v>
      </c>
      <c r="D2936" s="9">
        <v>18.693333333337943</v>
      </c>
      <c r="E2936" s="1">
        <v>0.92544899999999997</v>
      </c>
      <c r="F2936" s="1">
        <v>8.3505500000000001</v>
      </c>
      <c r="G2936" s="1">
        <v>14.344799999999999</v>
      </c>
      <c r="H2936" s="1">
        <v>2.81189</v>
      </c>
    </row>
    <row r="2937" spans="1:8" x14ac:dyDescent="0.3">
      <c r="A2937" t="e">
        <f t="shared" si="119"/>
        <v>#REF!</v>
      </c>
      <c r="B2937">
        <v>2690</v>
      </c>
      <c r="C2937" s="1">
        <v>23.187786885245931</v>
      </c>
      <c r="D2937" s="9">
        <v>18.740555555560253</v>
      </c>
      <c r="E2937" s="1">
        <v>0.60116099999999995</v>
      </c>
      <c r="F2937" s="1">
        <v>8.1531000000000002</v>
      </c>
      <c r="G2937" s="1">
        <v>14.278499999999999</v>
      </c>
      <c r="H2937" s="1">
        <v>3.9031199999999999</v>
      </c>
    </row>
    <row r="2938" spans="1:8" x14ac:dyDescent="0.3">
      <c r="A2938">
        <f t="shared" si="119"/>
        <v>22</v>
      </c>
      <c r="B2938">
        <v>2740</v>
      </c>
      <c r="C2938" s="1">
        <v>23.578010448578969</v>
      </c>
      <c r="D2938" s="9">
        <v>18.787777777782562</v>
      </c>
      <c r="E2938" s="1">
        <v>0.87041100000000005</v>
      </c>
      <c r="F2938" s="1">
        <v>7.8645100000000001</v>
      </c>
      <c r="G2938" s="1">
        <v>13.883900000000001</v>
      </c>
      <c r="H2938" s="1">
        <v>4.7773099999999999</v>
      </c>
    </row>
    <row r="2939" spans="1:8" x14ac:dyDescent="0.3">
      <c r="A2939" t="e">
        <f t="shared" si="119"/>
        <v>#REF!</v>
      </c>
      <c r="B2939">
        <v>2790</v>
      </c>
      <c r="C2939" s="1">
        <v>23.941247866398509</v>
      </c>
      <c r="D2939" s="9">
        <v>18.835000000004872</v>
      </c>
      <c r="E2939" s="1">
        <v>1.5793900000000001</v>
      </c>
      <c r="F2939" s="1">
        <v>7.8216900000000003</v>
      </c>
      <c r="G2939" s="1">
        <v>13.390700000000001</v>
      </c>
      <c r="H2939" s="1">
        <v>5.37981</v>
      </c>
    </row>
    <row r="2940" spans="1:8" x14ac:dyDescent="0.3">
      <c r="A2940">
        <f t="shared" si="119"/>
        <v>38</v>
      </c>
      <c r="B2940">
        <v>2840</v>
      </c>
      <c r="C2940" s="1">
        <v>24.172992763287031</v>
      </c>
      <c r="D2940" s="9">
        <v>18.882222222227181</v>
      </c>
      <c r="E2940" s="1">
        <v>2.4092699999999998</v>
      </c>
      <c r="F2940" s="1">
        <v>8.3727599999999995</v>
      </c>
      <c r="G2940" s="1">
        <v>13.127800000000001</v>
      </c>
      <c r="H2940" s="1">
        <v>5.6977099999999998</v>
      </c>
    </row>
    <row r="2941" spans="1:8" x14ac:dyDescent="0.3">
      <c r="A2941" t="e">
        <f t="shared" si="119"/>
        <v>#REF!</v>
      </c>
      <c r="B2941">
        <v>2890</v>
      </c>
      <c r="C2941" s="1">
        <v>24.327263838772851</v>
      </c>
      <c r="D2941" s="9">
        <v>18.929444444449491</v>
      </c>
      <c r="E2941" s="1">
        <v>3.05158</v>
      </c>
      <c r="F2941" s="1">
        <v>9.4528199999999991</v>
      </c>
      <c r="G2941" s="1">
        <v>13.317299999999999</v>
      </c>
      <c r="H2941" s="1">
        <v>5.9036</v>
      </c>
    </row>
    <row r="2942" spans="1:8" x14ac:dyDescent="0.3">
      <c r="A2942">
        <f t="shared" si="119"/>
        <v>29</v>
      </c>
      <c r="B2942">
        <v>2940</v>
      </c>
      <c r="C2942" s="1">
        <v>24.20148750010037</v>
      </c>
      <c r="D2942" s="9">
        <v>18.9766666666718</v>
      </c>
      <c r="E2942" s="1">
        <v>3.27901</v>
      </c>
      <c r="F2942" s="1">
        <v>10.816000000000001</v>
      </c>
      <c r="G2942" s="1">
        <v>14.089499999999999</v>
      </c>
      <c r="H2942" s="1">
        <v>6.2050599999999996</v>
      </c>
    </row>
    <row r="2943" spans="1:8" x14ac:dyDescent="0.3">
      <c r="A2943" t="e">
        <f t="shared" si="119"/>
        <v>#REF!</v>
      </c>
      <c r="B2943">
        <v>2990</v>
      </c>
      <c r="C2943" s="1">
        <v>24.0292903178436</v>
      </c>
      <c r="D2943" s="9">
        <v>19.02388888889411</v>
      </c>
      <c r="E2943" s="1">
        <v>3.3672900000000001</v>
      </c>
      <c r="F2943" s="1">
        <v>12.1242</v>
      </c>
      <c r="G2943" s="1">
        <v>15.2536</v>
      </c>
      <c r="H2943" s="1">
        <v>6.5569800000000003</v>
      </c>
    </row>
    <row r="2944" spans="1:8" x14ac:dyDescent="0.3">
      <c r="A2944">
        <f t="shared" si="119"/>
        <v>20</v>
      </c>
      <c r="B2944">
        <v>3040</v>
      </c>
      <c r="C2944" s="1">
        <v>23.881290001962221</v>
      </c>
      <c r="D2944" s="9">
        <v>19.071111111116419</v>
      </c>
      <c r="E2944" s="1">
        <v>3.7414299999999998</v>
      </c>
      <c r="F2944" s="1">
        <v>13.020300000000001</v>
      </c>
      <c r="G2944" s="1">
        <v>16.488700000000001</v>
      </c>
      <c r="H2944" s="1">
        <v>6.8485399999999998</v>
      </c>
    </row>
    <row r="2945" spans="1:8" x14ac:dyDescent="0.3">
      <c r="A2945" t="e">
        <f t="shared" si="119"/>
        <v>#REF!</v>
      </c>
      <c r="B2945">
        <v>3090</v>
      </c>
      <c r="C2945" s="1">
        <v>23.623642481257491</v>
      </c>
      <c r="D2945" s="9">
        <v>19.118333333338729</v>
      </c>
      <c r="E2945" s="1">
        <v>4.4766899999999996</v>
      </c>
      <c r="F2945" s="1">
        <v>13.274900000000001</v>
      </c>
      <c r="G2945" s="1">
        <v>17.466699999999999</v>
      </c>
      <c r="H2945" s="1">
        <v>7.1935000000000002</v>
      </c>
    </row>
    <row r="2946" spans="1:8" x14ac:dyDescent="0.3">
      <c r="A2946">
        <f t="shared" si="119"/>
        <v>36</v>
      </c>
      <c r="B2946">
        <v>3140</v>
      </c>
      <c r="C2946" s="1">
        <v>23.23620101781167</v>
      </c>
      <c r="D2946" s="9">
        <v>19.165555555561038</v>
      </c>
      <c r="E2946" s="1">
        <v>5.4849300000000003</v>
      </c>
      <c r="F2946" s="1">
        <v>12.783099999999999</v>
      </c>
      <c r="G2946" s="1">
        <v>17.9193</v>
      </c>
      <c r="H2946" s="1">
        <v>7.7673399999999999</v>
      </c>
    </row>
    <row r="2947" spans="1:8" x14ac:dyDescent="0.3">
      <c r="A2947" t="e">
        <f t="shared" si="119"/>
        <v>#REF!</v>
      </c>
      <c r="B2947">
        <v>3190</v>
      </c>
      <c r="C2947" s="1">
        <v>22.85536457459817</v>
      </c>
      <c r="D2947" s="9">
        <v>19.212777777783348</v>
      </c>
      <c r="E2947" s="1">
        <v>6.5640900000000002</v>
      </c>
      <c r="F2947" s="1">
        <v>11.7965</v>
      </c>
      <c r="G2947" s="1">
        <v>17.8902</v>
      </c>
      <c r="H2947" s="1">
        <v>8.6091999999999995</v>
      </c>
    </row>
    <row r="2948" spans="1:8" x14ac:dyDescent="0.3">
      <c r="A2948">
        <f t="shared" si="119"/>
        <v>27</v>
      </c>
      <c r="B2948">
        <v>3240</v>
      </c>
      <c r="C2948" s="1">
        <v>22.50443345692511</v>
      </c>
      <c r="D2948" s="9">
        <v>19.260000000005657</v>
      </c>
      <c r="E2948" s="1">
        <v>7.51579</v>
      </c>
      <c r="F2948" s="1">
        <v>10.6798</v>
      </c>
      <c r="G2948" s="1">
        <v>17.545000000000002</v>
      </c>
      <c r="H2948" s="1">
        <v>9.6968700000000005</v>
      </c>
    </row>
    <row r="2949" spans="1:8" x14ac:dyDescent="0.3">
      <c r="A2949" t="e">
        <f t="shared" ref="A2949:A2955" si="120">A2899</f>
        <v>#REF!</v>
      </c>
      <c r="B2949">
        <v>3290</v>
      </c>
      <c r="C2949" s="1">
        <v>22.079619289015181</v>
      </c>
      <c r="D2949" s="9">
        <v>19.307222222227967</v>
      </c>
      <c r="E2949" s="1">
        <v>8.4334399999999992</v>
      </c>
      <c r="F2949" s="1">
        <v>9.8333899999999996</v>
      </c>
      <c r="G2949" s="1">
        <v>17.127199999999998</v>
      </c>
      <c r="H2949" s="1">
        <v>10.9643</v>
      </c>
    </row>
    <row r="2950" spans="1:8" x14ac:dyDescent="0.3">
      <c r="A2950">
        <f t="shared" si="120"/>
        <v>18</v>
      </c>
      <c r="B2950">
        <v>3340</v>
      </c>
      <c r="C2950" s="1">
        <v>21.752750265147601</v>
      </c>
      <c r="D2950" s="9">
        <v>19.354444444450277</v>
      </c>
      <c r="E2950" s="1">
        <v>9.7592400000000001</v>
      </c>
      <c r="F2950" s="1">
        <v>10.288500000000001</v>
      </c>
      <c r="G2950" s="1">
        <v>17.098500000000001</v>
      </c>
      <c r="H2950" s="1">
        <v>12.373200000000001</v>
      </c>
    </row>
    <row r="2951" spans="1:8" x14ac:dyDescent="0.3">
      <c r="A2951" t="e">
        <f t="shared" si="120"/>
        <v>#REF!</v>
      </c>
      <c r="B2951">
        <v>3390</v>
      </c>
      <c r="C2951" s="1">
        <v>21.444507810447249</v>
      </c>
      <c r="D2951" s="9">
        <v>19.401666666672586</v>
      </c>
      <c r="E2951" s="1">
        <v>11.48</v>
      </c>
      <c r="F2951" s="1">
        <v>11.733700000000001</v>
      </c>
      <c r="G2951" s="1">
        <v>17.339600000000001</v>
      </c>
      <c r="H2951" s="1">
        <v>13.8012</v>
      </c>
    </row>
    <row r="2952" spans="1:8" x14ac:dyDescent="0.3">
      <c r="A2952">
        <f t="shared" si="120"/>
        <v>34</v>
      </c>
      <c r="B2952">
        <v>3440</v>
      </c>
      <c r="C2952" s="1">
        <v>21.04600913882814</v>
      </c>
      <c r="D2952" s="9">
        <v>19.448888888894896</v>
      </c>
      <c r="E2952" s="1">
        <v>13.338900000000001</v>
      </c>
      <c r="F2952" s="1">
        <v>13.4602</v>
      </c>
      <c r="G2952" s="1">
        <v>17.722000000000001</v>
      </c>
      <c r="H2952" s="1">
        <v>15.2036</v>
      </c>
    </row>
    <row r="2953" spans="1:8" x14ac:dyDescent="0.3">
      <c r="A2953">
        <f t="shared" si="120"/>
        <v>0</v>
      </c>
      <c r="B2953">
        <v>3490</v>
      </c>
      <c r="C2953" s="1">
        <v>20.51877108151449</v>
      </c>
      <c r="D2953" s="9">
        <v>19.496111111117205</v>
      </c>
      <c r="E2953" s="1">
        <v>15.263299999999999</v>
      </c>
      <c r="F2953" s="1">
        <v>15.317</v>
      </c>
      <c r="G2953" s="1">
        <v>18.2212</v>
      </c>
      <c r="H2953" s="1">
        <v>16.588899999999999</v>
      </c>
    </row>
    <row r="2954" spans="1:8" x14ac:dyDescent="0.3">
      <c r="A2954">
        <f t="shared" si="120"/>
        <v>25</v>
      </c>
      <c r="B2954">
        <v>3540</v>
      </c>
      <c r="C2954" s="1">
        <v>20.124121377405569</v>
      </c>
      <c r="D2954" s="9">
        <v>19.543333333339515</v>
      </c>
      <c r="E2954" s="1">
        <v>17.2226</v>
      </c>
      <c r="F2954" s="1">
        <v>17.241399999999999</v>
      </c>
      <c r="G2954" s="1">
        <v>18.808299999999999</v>
      </c>
      <c r="H2954" s="1">
        <v>17.962499999999999</v>
      </c>
    </row>
    <row r="2955" spans="1:8" x14ac:dyDescent="0.3">
      <c r="A2955" t="e">
        <f t="shared" si="120"/>
        <v>#REF!</v>
      </c>
      <c r="B2955">
        <v>3590</v>
      </c>
      <c r="C2955" s="1">
        <v>19.68226202497398</v>
      </c>
      <c r="D2955" s="9">
        <v>19.590555555561824</v>
      </c>
      <c r="E2955" s="1">
        <v>19.202400000000001</v>
      </c>
      <c r="F2955" s="1">
        <v>19.2043</v>
      </c>
      <c r="G2955" s="1">
        <v>19.462399999999999</v>
      </c>
      <c r="H2955" s="1">
        <v>19.3278</v>
      </c>
    </row>
    <row r="2956" spans="1:8" x14ac:dyDescent="0.3">
      <c r="A2956">
        <v>41</v>
      </c>
      <c r="B2956">
        <v>41</v>
      </c>
      <c r="C2956" s="1">
        <v>16.186171996497109</v>
      </c>
      <c r="D2956" s="9">
        <v>16.238722222222293</v>
      </c>
      <c r="E2956" s="1">
        <v>14.6828</v>
      </c>
      <c r="F2956" s="1">
        <v>14.582000000000001</v>
      </c>
      <c r="G2956" s="1">
        <v>15.7075</v>
      </c>
      <c r="H2956" s="1">
        <v>14.670400000000001</v>
      </c>
    </row>
    <row r="2957" spans="1:8" x14ac:dyDescent="0.3">
      <c r="A2957" t="e">
        <f t="shared" ref="A2957:A2988" si="121">A2907</f>
        <v>#REF!</v>
      </c>
      <c r="B2957">
        <v>91</v>
      </c>
      <c r="C2957" s="1">
        <v>16.23</v>
      </c>
      <c r="D2957" s="9">
        <v>16.285944444444603</v>
      </c>
      <c r="E2957" s="1">
        <v>12.854699999999999</v>
      </c>
      <c r="F2957" s="1">
        <v>12.637</v>
      </c>
      <c r="G2957" s="1">
        <v>15.158899999999999</v>
      </c>
      <c r="H2957" s="1">
        <v>12.7967</v>
      </c>
    </row>
    <row r="2958" spans="1:8" x14ac:dyDescent="0.3">
      <c r="A2958">
        <f t="shared" si="121"/>
        <v>32</v>
      </c>
      <c r="B2958">
        <v>141</v>
      </c>
      <c r="C2958" s="1">
        <v>16.39528379856581</v>
      </c>
      <c r="D2958" s="9">
        <v>16.333166666666912</v>
      </c>
      <c r="E2958" s="1">
        <v>11.0608</v>
      </c>
      <c r="F2958" s="1">
        <v>10.743499999999999</v>
      </c>
      <c r="G2958" s="1">
        <v>14.6806</v>
      </c>
      <c r="H2958" s="1">
        <v>10.9129</v>
      </c>
    </row>
    <row r="2959" spans="1:8" x14ac:dyDescent="0.3">
      <c r="A2959" t="e">
        <f t="shared" si="121"/>
        <v>#REF!</v>
      </c>
      <c r="B2959">
        <v>191</v>
      </c>
      <c r="C2959" s="1">
        <v>16.702082656635689</v>
      </c>
      <c r="D2959" s="9">
        <v>16.380388888889222</v>
      </c>
      <c r="E2959" s="1">
        <v>9.3197600000000005</v>
      </c>
      <c r="F2959" s="1">
        <v>8.94421</v>
      </c>
      <c r="G2959" s="1">
        <v>14.2902</v>
      </c>
      <c r="H2959" s="1">
        <v>9.0195299999999996</v>
      </c>
    </row>
    <row r="2960" spans="1:8" x14ac:dyDescent="0.3">
      <c r="A2960">
        <f t="shared" si="121"/>
        <v>23</v>
      </c>
      <c r="B2960">
        <v>241</v>
      </c>
      <c r="C2960" s="1">
        <v>16.87</v>
      </c>
      <c r="D2960" s="9">
        <v>16.427611111111531</v>
      </c>
      <c r="E2960" s="1">
        <v>7.6670100000000003</v>
      </c>
      <c r="F2960" s="1">
        <v>7.3375700000000004</v>
      </c>
      <c r="G2960" s="1">
        <v>13.998900000000001</v>
      </c>
      <c r="H2960" s="1">
        <v>7.1237199999999996</v>
      </c>
    </row>
    <row r="2961" spans="1:8" x14ac:dyDescent="0.3">
      <c r="A2961" t="e">
        <f t="shared" si="121"/>
        <v>#REF!</v>
      </c>
      <c r="B2961">
        <v>291</v>
      </c>
      <c r="C2961" s="1">
        <v>17.05479859548101</v>
      </c>
      <c r="D2961" s="9">
        <v>16.474833333333841</v>
      </c>
      <c r="E2961" s="1">
        <v>6.2151899999999998</v>
      </c>
      <c r="F2961" s="1">
        <v>6.2595799999999997</v>
      </c>
      <c r="G2961" s="1">
        <v>13.805300000000001</v>
      </c>
      <c r="H2961" s="1">
        <v>5.32104</v>
      </c>
    </row>
    <row r="2962" spans="1:8" x14ac:dyDescent="0.3">
      <c r="A2962">
        <f t="shared" si="121"/>
        <v>39</v>
      </c>
      <c r="B2962">
        <v>341</v>
      </c>
      <c r="C2962" s="1">
        <v>17.267730041705072</v>
      </c>
      <c r="D2962" s="9">
        <v>16.52205555555615</v>
      </c>
      <c r="E2962" s="1">
        <v>5.2648900000000003</v>
      </c>
      <c r="F2962" s="1">
        <v>6.3346499999999999</v>
      </c>
      <c r="G2962" s="1">
        <v>13.9466</v>
      </c>
      <c r="H2962" s="1">
        <v>4.0257899999999998</v>
      </c>
    </row>
    <row r="2963" spans="1:8" x14ac:dyDescent="0.3">
      <c r="A2963" t="e">
        <f t="shared" si="121"/>
        <v>#REF!</v>
      </c>
      <c r="B2963">
        <v>391</v>
      </c>
      <c r="C2963" s="1">
        <v>17.5</v>
      </c>
      <c r="D2963" s="9">
        <v>16.56927777777846</v>
      </c>
      <c r="E2963" s="1">
        <v>4.6195000000000004</v>
      </c>
      <c r="F2963" s="1">
        <v>6.6573599999999997</v>
      </c>
      <c r="G2963" s="1">
        <v>14.074400000000001</v>
      </c>
      <c r="H2963" s="1">
        <v>3.1155300000000001</v>
      </c>
    </row>
    <row r="2964" spans="1:8" x14ac:dyDescent="0.3">
      <c r="A2964">
        <f t="shared" si="121"/>
        <v>30</v>
      </c>
      <c r="B2964">
        <v>441</v>
      </c>
      <c r="C2964" s="1">
        <v>17.772934355630689</v>
      </c>
      <c r="D2964" s="9">
        <v>16.616500000000769</v>
      </c>
      <c r="E2964" s="1">
        <v>4.2048800000000002</v>
      </c>
      <c r="F2964" s="1">
        <v>6.7210700000000001</v>
      </c>
      <c r="G2964" s="1">
        <v>13.927199999999999</v>
      </c>
      <c r="H2964" s="1">
        <v>2.55518</v>
      </c>
    </row>
    <row r="2965" spans="1:8" x14ac:dyDescent="0.3">
      <c r="A2965" t="e">
        <f t="shared" si="121"/>
        <v>#REF!</v>
      </c>
      <c r="B2965">
        <v>491</v>
      </c>
      <c r="C2965" s="1">
        <v>17.95</v>
      </c>
      <c r="D2965" s="9">
        <v>16.663722222223079</v>
      </c>
      <c r="E2965" s="1">
        <v>3.7804799999999998</v>
      </c>
      <c r="F2965" s="1">
        <v>6.3938600000000001</v>
      </c>
      <c r="G2965" s="1">
        <v>13.596399999999999</v>
      </c>
      <c r="H2965" s="1">
        <v>2.1081099999999999</v>
      </c>
    </row>
    <row r="2966" spans="1:8" x14ac:dyDescent="0.3">
      <c r="A2966">
        <f t="shared" si="121"/>
        <v>21</v>
      </c>
      <c r="B2966">
        <v>541</v>
      </c>
      <c r="C2966" s="1">
        <v>18.118499753094831</v>
      </c>
      <c r="D2966" s="9">
        <v>16.710944444445389</v>
      </c>
      <c r="E2966" s="1">
        <v>3.0621399999999999</v>
      </c>
      <c r="F2966" s="1">
        <v>5.65097</v>
      </c>
      <c r="G2966" s="1">
        <v>13.262700000000001</v>
      </c>
      <c r="H2966" s="1">
        <v>1.4763500000000001</v>
      </c>
    </row>
    <row r="2967" spans="1:8" x14ac:dyDescent="0.3">
      <c r="A2967" t="e">
        <f t="shared" si="121"/>
        <v>#REF!</v>
      </c>
      <c r="B2967">
        <v>591</v>
      </c>
      <c r="C2967" s="1">
        <v>18.350000000000001</v>
      </c>
      <c r="D2967" s="9">
        <v>16.758166666667698</v>
      </c>
      <c r="E2967" s="1">
        <v>2.14703</v>
      </c>
      <c r="F2967" s="1">
        <v>4.6523599999999998</v>
      </c>
      <c r="G2967" s="1">
        <v>12.912599999999999</v>
      </c>
      <c r="H2967" s="1">
        <v>0.73888500000000001</v>
      </c>
    </row>
    <row r="2968" spans="1:8" x14ac:dyDescent="0.3">
      <c r="A2968">
        <f t="shared" si="121"/>
        <v>37</v>
      </c>
      <c r="B2968">
        <v>641</v>
      </c>
      <c r="C2968" s="1">
        <v>18.491221429996621</v>
      </c>
      <c r="D2968" s="9">
        <v>16.805388888890008</v>
      </c>
      <c r="E2968" s="1">
        <v>1.29884</v>
      </c>
      <c r="F2968" s="1">
        <v>3.6410499999999999</v>
      </c>
      <c r="G2968" s="1">
        <v>12.483599999999999</v>
      </c>
      <c r="H2968" s="1">
        <v>0.14673</v>
      </c>
    </row>
    <row r="2969" spans="1:8" x14ac:dyDescent="0.3">
      <c r="A2969" t="e">
        <f t="shared" si="121"/>
        <v>#REF!</v>
      </c>
      <c r="B2969">
        <v>691</v>
      </c>
      <c r="C2969" s="1">
        <v>18.650075276724209</v>
      </c>
      <c r="D2969" s="9">
        <v>16.852611111112317</v>
      </c>
      <c r="E2969" s="1">
        <v>0.74960599999999999</v>
      </c>
      <c r="F2969" s="1">
        <v>2.8344</v>
      </c>
      <c r="G2969" s="1">
        <v>12.158300000000001</v>
      </c>
      <c r="H2969" s="1">
        <v>-1.4497899999999999E-2</v>
      </c>
    </row>
    <row r="2970" spans="1:8" x14ac:dyDescent="0.3">
      <c r="A2970">
        <f t="shared" si="121"/>
        <v>28</v>
      </c>
      <c r="B2970">
        <v>741</v>
      </c>
      <c r="C2970" s="1">
        <v>18.78472168913499</v>
      </c>
      <c r="D2970" s="9">
        <v>16.899833333334627</v>
      </c>
      <c r="E2970" s="1">
        <v>0.66742999999999997</v>
      </c>
      <c r="F2970" s="1">
        <v>2.3883800000000002</v>
      </c>
      <c r="G2970" s="1">
        <v>12.179399999999999</v>
      </c>
      <c r="H2970" s="1">
        <v>0.48919400000000002</v>
      </c>
    </row>
    <row r="2971" spans="1:8" x14ac:dyDescent="0.3">
      <c r="A2971" t="e">
        <f t="shared" si="121"/>
        <v>#REF!</v>
      </c>
      <c r="B2971">
        <v>791</v>
      </c>
      <c r="C2971" s="1">
        <v>19.093154931226231</v>
      </c>
      <c r="D2971" s="9">
        <v>16.947055555556936</v>
      </c>
      <c r="E2971" s="1">
        <v>0.89538499999999999</v>
      </c>
      <c r="F2971" s="1">
        <v>2.1354299999999999</v>
      </c>
      <c r="G2971" s="1">
        <v>12.5116</v>
      </c>
      <c r="H2971" s="1">
        <v>1.4629700000000001</v>
      </c>
    </row>
    <row r="2972" spans="1:8" x14ac:dyDescent="0.3">
      <c r="A2972">
        <f t="shared" si="121"/>
        <v>19</v>
      </c>
      <c r="B2972">
        <v>841</v>
      </c>
      <c r="C2972" s="1">
        <v>19.357614048068079</v>
      </c>
      <c r="D2972" s="9">
        <v>16.994277777779246</v>
      </c>
      <c r="E2972" s="1">
        <v>1.1788000000000001</v>
      </c>
      <c r="F2972" s="1">
        <v>1.83443</v>
      </c>
      <c r="G2972" s="1">
        <v>12.987399999999999</v>
      </c>
      <c r="H2972" s="1">
        <v>2.53552</v>
      </c>
    </row>
    <row r="2973" spans="1:8" x14ac:dyDescent="0.3">
      <c r="A2973" t="e">
        <f t="shared" si="121"/>
        <v>#REF!</v>
      </c>
      <c r="B2973">
        <v>891</v>
      </c>
      <c r="C2973" s="1">
        <v>19.653220626724199</v>
      </c>
      <c r="D2973" s="9">
        <v>17.041500000001555</v>
      </c>
      <c r="E2973" s="1">
        <v>1.4961599999999999</v>
      </c>
      <c r="F2973" s="1">
        <v>1.6333200000000001</v>
      </c>
      <c r="G2973" s="1">
        <v>13.3207</v>
      </c>
      <c r="H2973" s="1">
        <v>3.32531</v>
      </c>
    </row>
    <row r="2974" spans="1:8" x14ac:dyDescent="0.3">
      <c r="A2974">
        <f t="shared" si="121"/>
        <v>35</v>
      </c>
      <c r="B2974">
        <v>941</v>
      </c>
      <c r="C2974" s="1">
        <v>19.92168518743598</v>
      </c>
      <c r="D2974" s="9">
        <v>17.088722222223865</v>
      </c>
      <c r="E2974" s="1">
        <v>1.8932899999999999</v>
      </c>
      <c r="F2974" s="1">
        <v>1.7934099999999999</v>
      </c>
      <c r="G2974" s="1">
        <v>13.242599999999999</v>
      </c>
      <c r="H2974" s="1">
        <v>3.5137800000000001</v>
      </c>
    </row>
    <row r="2975" spans="1:8" x14ac:dyDescent="0.3">
      <c r="A2975" t="e">
        <f t="shared" si="121"/>
        <v>#REF!</v>
      </c>
      <c r="B2975">
        <v>991</v>
      </c>
      <c r="C2975" s="1">
        <v>20.307245170781929</v>
      </c>
      <c r="D2975" s="9">
        <v>17.135944444446174</v>
      </c>
      <c r="E2975" s="1">
        <v>2.2307399999999999</v>
      </c>
      <c r="F2975" s="1">
        <v>2.2751999999999999</v>
      </c>
      <c r="G2975" s="1">
        <v>12.924799999999999</v>
      </c>
      <c r="H2975" s="1">
        <v>3.2245699999999999</v>
      </c>
    </row>
    <row r="2976" spans="1:8" x14ac:dyDescent="0.3">
      <c r="A2976">
        <f t="shared" si="121"/>
        <v>26</v>
      </c>
      <c r="B2976">
        <v>1041</v>
      </c>
      <c r="C2976" s="1">
        <v>20.729158209792839</v>
      </c>
      <c r="D2976" s="9">
        <v>17.183166666668484</v>
      </c>
      <c r="E2976" s="1">
        <v>2.3351299999999999</v>
      </c>
      <c r="F2976" s="1">
        <v>2.8987699999999998</v>
      </c>
      <c r="G2976" s="1">
        <v>12.689399999999999</v>
      </c>
      <c r="H2976" s="1">
        <v>2.7717800000000001</v>
      </c>
    </row>
    <row r="2977" spans="1:8" x14ac:dyDescent="0.3">
      <c r="A2977" t="e">
        <f t="shared" si="121"/>
        <v>#REF!</v>
      </c>
      <c r="B2977">
        <v>1091</v>
      </c>
      <c r="C2977" s="1">
        <v>21.131472852939289</v>
      </c>
      <c r="D2977" s="9">
        <v>17.230388888890793</v>
      </c>
      <c r="E2977" s="1">
        <v>2.30836</v>
      </c>
      <c r="F2977" s="1">
        <v>3.3656999999999999</v>
      </c>
      <c r="G2977" s="1">
        <v>12.664899999999999</v>
      </c>
      <c r="H2977" s="1">
        <v>2.5434299999999999</v>
      </c>
    </row>
    <row r="2978" spans="1:8" x14ac:dyDescent="0.3">
      <c r="A2978">
        <f t="shared" si="121"/>
        <v>17</v>
      </c>
      <c r="B2978">
        <v>1141</v>
      </c>
      <c r="C2978" s="1">
        <v>21.466216161669351</v>
      </c>
      <c r="D2978" s="9">
        <v>17.277611111113103</v>
      </c>
      <c r="E2978" s="1">
        <v>2.3228800000000001</v>
      </c>
      <c r="F2978" s="1">
        <v>3.4015599999999999</v>
      </c>
      <c r="G2978" s="1">
        <v>12.867800000000001</v>
      </c>
      <c r="H2978" s="1">
        <v>2.8832900000000001</v>
      </c>
    </row>
    <row r="2979" spans="1:8" x14ac:dyDescent="0.3">
      <c r="A2979" t="e">
        <f t="shared" si="121"/>
        <v>#REF!</v>
      </c>
      <c r="B2979">
        <v>1191</v>
      </c>
      <c r="C2979" s="1">
        <v>21.858723421164179</v>
      </c>
      <c r="D2979" s="9">
        <v>17.324833333335413</v>
      </c>
      <c r="E2979" s="1">
        <v>2.2788900000000001</v>
      </c>
      <c r="F2979" s="1">
        <v>3.20363</v>
      </c>
      <c r="G2979" s="1">
        <v>13.095499999999999</v>
      </c>
      <c r="H2979" s="1">
        <v>3.6512199999999999</v>
      </c>
    </row>
    <row r="2980" spans="1:8" x14ac:dyDescent="0.3">
      <c r="A2980">
        <f t="shared" si="121"/>
        <v>33</v>
      </c>
      <c r="B2980">
        <v>1241</v>
      </c>
      <c r="C2980" s="1">
        <v>22.29871004510948</v>
      </c>
      <c r="D2980" s="9">
        <v>17.372055555557722</v>
      </c>
      <c r="E2980" s="1">
        <v>2.0194800000000002</v>
      </c>
      <c r="F2980" s="1">
        <v>3.12114</v>
      </c>
      <c r="G2980" s="1">
        <v>13.111499999999999</v>
      </c>
      <c r="H2980" s="1">
        <v>4.5236700000000001</v>
      </c>
    </row>
    <row r="2981" spans="1:8" x14ac:dyDescent="0.3">
      <c r="A2981" t="e">
        <f t="shared" si="121"/>
        <v>#REF!</v>
      </c>
      <c r="B2981">
        <v>1291</v>
      </c>
      <c r="C2981" s="1">
        <v>22.733844528436659</v>
      </c>
      <c r="D2981" s="9">
        <v>17.419277777780032</v>
      </c>
      <c r="E2981" s="1">
        <v>1.7365900000000001</v>
      </c>
      <c r="F2981" s="1">
        <v>3.2515999999999998</v>
      </c>
      <c r="G2981" s="1">
        <v>13.0366</v>
      </c>
      <c r="H2981" s="1">
        <v>5.2509699999999997</v>
      </c>
    </row>
    <row r="2982" spans="1:8" x14ac:dyDescent="0.3">
      <c r="A2982">
        <f t="shared" si="121"/>
        <v>24</v>
      </c>
      <c r="B2982">
        <v>1341</v>
      </c>
      <c r="C2982" s="1">
        <v>23.04111400277711</v>
      </c>
      <c r="D2982" s="9">
        <v>17.466500000002341</v>
      </c>
      <c r="E2982" s="1">
        <v>1.7230000000000001</v>
      </c>
      <c r="F2982" s="1">
        <v>3.57551</v>
      </c>
      <c r="G2982" s="1">
        <v>13.0885</v>
      </c>
      <c r="H2982" s="1">
        <v>5.6581599999999996</v>
      </c>
    </row>
    <row r="2983" spans="1:8" x14ac:dyDescent="0.3">
      <c r="A2983" t="e">
        <f t="shared" si="121"/>
        <v>#REF!</v>
      </c>
      <c r="B2983">
        <v>1391</v>
      </c>
      <c r="C2983" s="1">
        <v>23.220494083739759</v>
      </c>
      <c r="D2983" s="9">
        <v>17.513722222224651</v>
      </c>
      <c r="E2983" s="1">
        <v>2.0105400000000002</v>
      </c>
      <c r="F2983" s="1">
        <v>3.9712399999999999</v>
      </c>
      <c r="G2983" s="1">
        <v>13.1755</v>
      </c>
      <c r="H2983" s="1">
        <v>5.8617299999999997</v>
      </c>
    </row>
    <row r="2984" spans="1:8" x14ac:dyDescent="0.3">
      <c r="A2984">
        <f t="shared" si="121"/>
        <v>40</v>
      </c>
      <c r="B2984">
        <v>1441</v>
      </c>
      <c r="C2984" s="1">
        <v>23.26</v>
      </c>
      <c r="D2984" s="9">
        <v>17.56094444444696</v>
      </c>
      <c r="E2984" s="1">
        <v>2.5036499999999999</v>
      </c>
      <c r="F2984" s="1">
        <v>4.2958299999999996</v>
      </c>
      <c r="G2984" s="1">
        <v>13.1252</v>
      </c>
      <c r="H2984" s="1">
        <v>6.0519800000000004</v>
      </c>
    </row>
    <row r="2985" spans="1:8" x14ac:dyDescent="0.3">
      <c r="A2985" t="e">
        <f t="shared" si="121"/>
        <v>#REF!</v>
      </c>
      <c r="B2985">
        <v>1491</v>
      </c>
      <c r="C2985" s="1">
        <v>23.154896795580111</v>
      </c>
      <c r="D2985" s="9">
        <v>17.60816666666927</v>
      </c>
      <c r="E2985" s="1">
        <v>2.96149</v>
      </c>
      <c r="F2985" s="1">
        <v>4.5328400000000002</v>
      </c>
      <c r="G2985" s="1">
        <v>13.0535</v>
      </c>
      <c r="H2985" s="1">
        <v>6.1445600000000002</v>
      </c>
    </row>
    <row r="2986" spans="1:8" x14ac:dyDescent="0.3">
      <c r="A2986">
        <f t="shared" si="121"/>
        <v>31</v>
      </c>
      <c r="B2986">
        <v>1541</v>
      </c>
      <c r="C2986" s="1">
        <v>22.90402114798675</v>
      </c>
      <c r="D2986" s="9">
        <v>17.655388888891579</v>
      </c>
      <c r="E2986" s="1">
        <v>3.1575000000000002</v>
      </c>
      <c r="F2986" s="1">
        <v>4.7404999999999999</v>
      </c>
      <c r="G2986" s="1">
        <v>13.146800000000001</v>
      </c>
      <c r="H2986" s="1">
        <v>5.9670500000000004</v>
      </c>
    </row>
    <row r="2987" spans="1:8" x14ac:dyDescent="0.3">
      <c r="A2987" t="e">
        <f t="shared" si="121"/>
        <v>#REF!</v>
      </c>
      <c r="B2987">
        <v>1591</v>
      </c>
      <c r="C2987" s="1">
        <v>22.557025740887241</v>
      </c>
      <c r="D2987" s="9">
        <v>17.702611111113889</v>
      </c>
      <c r="E2987" s="1">
        <v>3.33521</v>
      </c>
      <c r="F2987" s="1">
        <v>5.1328699999999996</v>
      </c>
      <c r="G2987" s="1">
        <v>13.303800000000001</v>
      </c>
      <c r="H2987" s="1">
        <v>5.48407</v>
      </c>
    </row>
    <row r="2988" spans="1:8" x14ac:dyDescent="0.3">
      <c r="A2988">
        <f t="shared" si="121"/>
        <v>22</v>
      </c>
      <c r="B2988">
        <v>1641</v>
      </c>
      <c r="C2988" s="1">
        <v>22.160100528428831</v>
      </c>
      <c r="D2988" s="9">
        <v>17.749833333336198</v>
      </c>
      <c r="E2988" s="1">
        <v>3.8587099999999999</v>
      </c>
      <c r="F2988" s="1">
        <v>5.9295400000000003</v>
      </c>
      <c r="G2988" s="1">
        <v>13.347899999999999</v>
      </c>
      <c r="H2988" s="1">
        <v>4.7226900000000001</v>
      </c>
    </row>
    <row r="2989" spans="1:8" x14ac:dyDescent="0.3">
      <c r="A2989" t="e">
        <f t="shared" ref="A2989:A3020" si="122">A2939</f>
        <v>#REF!</v>
      </c>
      <c r="B2989">
        <v>1691</v>
      </c>
      <c r="C2989" s="1">
        <v>21.775270928474882</v>
      </c>
      <c r="D2989" s="9">
        <v>17.797055555558508</v>
      </c>
      <c r="E2989" s="1">
        <v>4.6571600000000002</v>
      </c>
      <c r="F2989" s="1">
        <v>6.9845699999999997</v>
      </c>
      <c r="G2989" s="1">
        <v>13.362</v>
      </c>
      <c r="H2989" s="1">
        <v>3.7610000000000001</v>
      </c>
    </row>
    <row r="2990" spans="1:8" x14ac:dyDescent="0.3">
      <c r="A2990">
        <f t="shared" si="122"/>
        <v>38</v>
      </c>
      <c r="B2990">
        <v>1741</v>
      </c>
      <c r="C2990" s="1">
        <v>21.310422035641508</v>
      </c>
      <c r="D2990" s="9">
        <v>17.844277777780817</v>
      </c>
      <c r="E2990" s="1">
        <v>5.4680200000000001</v>
      </c>
      <c r="F2990" s="1">
        <v>8.0105799999999991</v>
      </c>
      <c r="G2990" s="1">
        <v>13.490600000000001</v>
      </c>
      <c r="H2990" s="1">
        <v>2.6915</v>
      </c>
    </row>
    <row r="2991" spans="1:8" x14ac:dyDescent="0.3">
      <c r="A2991" t="e">
        <f t="shared" si="122"/>
        <v>#REF!</v>
      </c>
      <c r="B2991">
        <v>1791</v>
      </c>
      <c r="C2991" s="1">
        <v>20.97571953440367</v>
      </c>
      <c r="D2991" s="9">
        <v>17.891500000003127</v>
      </c>
      <c r="E2991" s="1">
        <v>5.9094300000000004</v>
      </c>
      <c r="F2991" s="1">
        <v>8.74559</v>
      </c>
      <c r="G2991" s="1">
        <v>13.614000000000001</v>
      </c>
      <c r="H2991" s="1">
        <v>1.57003</v>
      </c>
    </row>
    <row r="2992" spans="1:8" x14ac:dyDescent="0.3">
      <c r="A2992">
        <f t="shared" si="122"/>
        <v>29</v>
      </c>
      <c r="B2992">
        <v>1841</v>
      </c>
      <c r="C2992" s="1">
        <v>20.605979497036682</v>
      </c>
      <c r="D2992" s="9">
        <v>17.938722222225437</v>
      </c>
      <c r="E2992" s="1">
        <v>5.6357200000000001</v>
      </c>
      <c r="F2992" s="1">
        <v>9.0014299999999992</v>
      </c>
      <c r="G2992" s="1">
        <v>13.5556</v>
      </c>
      <c r="H2992" s="1">
        <v>0.42768499999999998</v>
      </c>
    </row>
    <row r="2993" spans="1:8" x14ac:dyDescent="0.3">
      <c r="A2993" t="e">
        <f t="shared" si="122"/>
        <v>#REF!</v>
      </c>
      <c r="B2993">
        <v>1891</v>
      </c>
      <c r="C2993" s="1">
        <v>20.241803839589739</v>
      </c>
      <c r="D2993" s="9">
        <v>17.985944444447746</v>
      </c>
      <c r="E2993" s="1">
        <v>4.8348599999999999</v>
      </c>
      <c r="F2993" s="1">
        <v>8.99681</v>
      </c>
      <c r="G2993" s="1">
        <v>13.4428</v>
      </c>
      <c r="H2993" s="1">
        <v>-0.77012400000000003</v>
      </c>
    </row>
    <row r="2994" spans="1:8" x14ac:dyDescent="0.3">
      <c r="A2994">
        <f t="shared" si="122"/>
        <v>20</v>
      </c>
      <c r="B2994">
        <v>1941</v>
      </c>
      <c r="C2994" s="1">
        <v>19.84615374185994</v>
      </c>
      <c r="D2994" s="9">
        <v>18.033166666670056</v>
      </c>
      <c r="E2994" s="1">
        <v>3.8968799999999999</v>
      </c>
      <c r="F2994" s="1">
        <v>9.0506799999999998</v>
      </c>
      <c r="G2994" s="1">
        <v>13.480399999999999</v>
      </c>
      <c r="H2994" s="1">
        <v>-2.0635300000000001</v>
      </c>
    </row>
    <row r="2995" spans="1:8" x14ac:dyDescent="0.3">
      <c r="A2995" t="e">
        <f t="shared" si="122"/>
        <v>#REF!</v>
      </c>
      <c r="B2995">
        <v>1991</v>
      </c>
      <c r="C2995" s="1">
        <v>19.569288034036369</v>
      </c>
      <c r="D2995" s="9">
        <v>18.080388888892365</v>
      </c>
      <c r="E2995" s="1">
        <v>3.1575600000000001</v>
      </c>
      <c r="F2995" s="1">
        <v>9.1001100000000008</v>
      </c>
      <c r="G2995" s="1">
        <v>13.601100000000001</v>
      </c>
      <c r="H2995" s="1">
        <v>-3.36463</v>
      </c>
    </row>
    <row r="2996" spans="1:8" x14ac:dyDescent="0.3">
      <c r="A2996">
        <f t="shared" si="122"/>
        <v>36</v>
      </c>
      <c r="B2996">
        <v>2041</v>
      </c>
      <c r="C2996" s="1">
        <v>19.36494581650178</v>
      </c>
      <c r="D2996" s="9">
        <v>18.127611111114675</v>
      </c>
      <c r="E2996" s="1">
        <v>2.86246</v>
      </c>
      <c r="F2996" s="1">
        <v>8.9700699999999998</v>
      </c>
      <c r="G2996" s="1">
        <v>13.663600000000001</v>
      </c>
      <c r="H2996" s="1">
        <v>-4.5420299999999996</v>
      </c>
    </row>
    <row r="2997" spans="1:8" x14ac:dyDescent="0.3">
      <c r="A2997" t="e">
        <f t="shared" si="122"/>
        <v>#REF!</v>
      </c>
      <c r="B2997">
        <v>2091</v>
      </c>
      <c r="C2997" s="1">
        <v>19.22</v>
      </c>
      <c r="D2997" s="9">
        <v>18.174833333336984</v>
      </c>
      <c r="E2997" s="1">
        <v>2.82131</v>
      </c>
      <c r="F2997" s="1">
        <v>8.7264199999999992</v>
      </c>
      <c r="G2997" s="1">
        <v>13.7331</v>
      </c>
      <c r="H2997" s="1">
        <v>-5.5057</v>
      </c>
    </row>
    <row r="2998" spans="1:8" x14ac:dyDescent="0.3">
      <c r="A2998">
        <f t="shared" si="122"/>
        <v>27</v>
      </c>
      <c r="B2998">
        <v>2141</v>
      </c>
      <c r="C2998" s="1">
        <v>19.190000000000001</v>
      </c>
      <c r="D2998" s="9">
        <v>18.222055555559294</v>
      </c>
      <c r="E2998" s="1">
        <v>2.7309800000000002</v>
      </c>
      <c r="F2998" s="1">
        <v>8.5216600000000007</v>
      </c>
      <c r="G2998" s="1">
        <v>13.917</v>
      </c>
      <c r="H2998" s="1">
        <v>-6.1706599999999998</v>
      </c>
    </row>
    <row r="2999" spans="1:8" x14ac:dyDescent="0.3">
      <c r="A2999" t="e">
        <f t="shared" si="122"/>
        <v>#REF!</v>
      </c>
      <c r="B2999">
        <v>2191</v>
      </c>
      <c r="C2999" s="1">
        <v>19.14</v>
      </c>
      <c r="D2999" s="9">
        <v>18.269277777781603</v>
      </c>
      <c r="E2999" s="1">
        <v>2.65151</v>
      </c>
      <c r="F2999" s="1">
        <v>8.4597499999999997</v>
      </c>
      <c r="G2999" s="1">
        <v>14.0776</v>
      </c>
      <c r="H2999" s="1">
        <v>-6.38253</v>
      </c>
    </row>
    <row r="3000" spans="1:8" x14ac:dyDescent="0.3">
      <c r="A3000">
        <f t="shared" si="122"/>
        <v>18</v>
      </c>
      <c r="B3000">
        <v>2241</v>
      </c>
      <c r="C3000" s="1">
        <v>19.282345274817182</v>
      </c>
      <c r="D3000" s="9">
        <v>18.316500000003913</v>
      </c>
      <c r="E3000" s="1">
        <v>2.7407300000000001</v>
      </c>
      <c r="F3000" s="1">
        <v>8.5875400000000006</v>
      </c>
      <c r="G3000" s="1">
        <v>14.0291</v>
      </c>
      <c r="H3000" s="1">
        <v>-6.0071899999999996</v>
      </c>
    </row>
    <row r="3001" spans="1:8" x14ac:dyDescent="0.3">
      <c r="A3001" t="e">
        <f t="shared" si="122"/>
        <v>#REF!</v>
      </c>
      <c r="B3001">
        <v>2291</v>
      </c>
      <c r="C3001" s="1">
        <v>19.512201336607109</v>
      </c>
      <c r="D3001" s="9">
        <v>18.363722222226222</v>
      </c>
      <c r="E3001" s="1">
        <v>2.8809100000000001</v>
      </c>
      <c r="F3001" s="1">
        <v>8.7114600000000006</v>
      </c>
      <c r="G3001" s="1">
        <v>13.888199999999999</v>
      </c>
      <c r="H3001" s="1">
        <v>-5.2061299999999999</v>
      </c>
    </row>
    <row r="3002" spans="1:8" x14ac:dyDescent="0.3">
      <c r="A3002">
        <f t="shared" si="122"/>
        <v>34</v>
      </c>
      <c r="B3002">
        <v>2341</v>
      </c>
      <c r="C3002" s="1">
        <v>19.892093638093701</v>
      </c>
      <c r="D3002" s="9">
        <v>18.410944444448532</v>
      </c>
      <c r="E3002" s="1">
        <v>2.8879100000000002</v>
      </c>
      <c r="F3002" s="1">
        <v>8.5915199999999992</v>
      </c>
      <c r="G3002" s="1">
        <v>13.8462</v>
      </c>
      <c r="H3002" s="1">
        <v>-4.2297500000000001</v>
      </c>
    </row>
    <row r="3003" spans="1:8" x14ac:dyDescent="0.3">
      <c r="A3003">
        <f t="shared" si="122"/>
        <v>0</v>
      </c>
      <c r="B3003">
        <v>2391</v>
      </c>
      <c r="C3003" s="1">
        <v>20.374358825877039</v>
      </c>
      <c r="D3003" s="9">
        <v>18.458166666670841</v>
      </c>
      <c r="E3003" s="1">
        <v>2.83256</v>
      </c>
      <c r="F3003" s="1">
        <v>8.2841500000000003</v>
      </c>
      <c r="G3003" s="1">
        <v>13.826700000000001</v>
      </c>
      <c r="H3003" s="1">
        <v>-3.1716299999999999</v>
      </c>
    </row>
    <row r="3004" spans="1:8" x14ac:dyDescent="0.3">
      <c r="A3004">
        <f t="shared" si="122"/>
        <v>25</v>
      </c>
      <c r="B3004">
        <v>2441</v>
      </c>
      <c r="C3004" s="1">
        <v>20.960490295199701</v>
      </c>
      <c r="D3004" s="9">
        <v>18.505388888893151</v>
      </c>
      <c r="E3004" s="1">
        <v>2.8368099999999998</v>
      </c>
      <c r="F3004" s="1">
        <v>7.9643300000000004</v>
      </c>
      <c r="G3004" s="1">
        <v>13.6974</v>
      </c>
      <c r="H3004" s="1">
        <v>-2.0596000000000001</v>
      </c>
    </row>
    <row r="3005" spans="1:8" x14ac:dyDescent="0.3">
      <c r="A3005" t="e">
        <f t="shared" si="122"/>
        <v>#REF!</v>
      </c>
      <c r="B3005">
        <v>2491</v>
      </c>
      <c r="C3005" s="1">
        <v>21.463285681346569</v>
      </c>
      <c r="D3005" s="9">
        <v>18.552611111115461</v>
      </c>
      <c r="E3005" s="1">
        <v>2.7246199999999998</v>
      </c>
      <c r="F3005" s="1">
        <v>7.8291000000000004</v>
      </c>
      <c r="G3005" s="1">
        <v>13.621499999999999</v>
      </c>
      <c r="H3005" s="1">
        <v>-0.88811600000000002</v>
      </c>
    </row>
    <row r="3006" spans="1:8" x14ac:dyDescent="0.3">
      <c r="A3006">
        <f t="shared" si="122"/>
        <v>41</v>
      </c>
      <c r="B3006">
        <v>2541</v>
      </c>
      <c r="C3006" s="1">
        <v>21.968172565252051</v>
      </c>
      <c r="D3006" s="9">
        <v>18.59983333333777</v>
      </c>
      <c r="E3006" s="1">
        <v>2.2619699999999998</v>
      </c>
      <c r="F3006" s="1">
        <v>8.0226900000000008</v>
      </c>
      <c r="G3006" s="1">
        <v>13.8179</v>
      </c>
      <c r="H3006" s="1">
        <v>0.35225499999999998</v>
      </c>
    </row>
    <row r="3007" spans="1:8" x14ac:dyDescent="0.3">
      <c r="A3007" t="e">
        <f t="shared" si="122"/>
        <v>#REF!</v>
      </c>
      <c r="B3007">
        <v>2591</v>
      </c>
      <c r="C3007" s="1">
        <v>22.347733441717779</v>
      </c>
      <c r="D3007" s="9">
        <v>18.64705555556008</v>
      </c>
      <c r="E3007" s="1">
        <v>1.5703800000000001</v>
      </c>
      <c r="F3007" s="1">
        <v>8.3066999999999993</v>
      </c>
      <c r="G3007" s="1">
        <v>14.1462</v>
      </c>
      <c r="H3007" s="1">
        <v>1.6163400000000001</v>
      </c>
    </row>
    <row r="3008" spans="1:8" x14ac:dyDescent="0.3">
      <c r="A3008">
        <f t="shared" si="122"/>
        <v>32</v>
      </c>
      <c r="B3008">
        <v>2641</v>
      </c>
      <c r="C3008" s="1">
        <v>22.646278976728041</v>
      </c>
      <c r="D3008" s="9">
        <v>18.694277777782389</v>
      </c>
      <c r="E3008" s="1">
        <v>0.91461000000000003</v>
      </c>
      <c r="F3008" s="1">
        <v>8.3485899999999997</v>
      </c>
      <c r="G3008" s="1">
        <v>14.346500000000001</v>
      </c>
      <c r="H3008" s="1">
        <v>2.8352900000000001</v>
      </c>
    </row>
    <row r="3009" spans="1:8" x14ac:dyDescent="0.3">
      <c r="A3009" t="e">
        <f t="shared" si="122"/>
        <v>#REF!</v>
      </c>
      <c r="B3009">
        <v>2691</v>
      </c>
      <c r="C3009" s="1">
        <v>23.192998893052419</v>
      </c>
      <c r="D3009" s="9">
        <v>18.741500000004699</v>
      </c>
      <c r="E3009" s="1">
        <v>0.600298</v>
      </c>
      <c r="F3009" s="1">
        <v>8.1475200000000001</v>
      </c>
      <c r="G3009" s="1">
        <v>14.2738</v>
      </c>
      <c r="H3009" s="1">
        <v>3.92299</v>
      </c>
    </row>
    <row r="3010" spans="1:8" x14ac:dyDescent="0.3">
      <c r="A3010">
        <f t="shared" si="122"/>
        <v>23</v>
      </c>
      <c r="B3010">
        <v>2741</v>
      </c>
      <c r="C3010" s="1">
        <v>23.585735482200771</v>
      </c>
      <c r="D3010" s="9">
        <v>18.788722222227008</v>
      </c>
      <c r="E3010" s="1">
        <v>0.88134500000000005</v>
      </c>
      <c r="F3010" s="1">
        <v>7.8598800000000004</v>
      </c>
      <c r="G3010" s="1">
        <v>13.873900000000001</v>
      </c>
      <c r="H3010" s="1">
        <v>4.79216</v>
      </c>
    </row>
    <row r="3011" spans="1:8" x14ac:dyDescent="0.3">
      <c r="A3011" t="e">
        <f t="shared" si="122"/>
        <v>#REF!</v>
      </c>
      <c r="B3011">
        <v>2791</v>
      </c>
      <c r="C3011" s="1">
        <v>23.949261393231801</v>
      </c>
      <c r="D3011" s="9">
        <v>18.835944444449318</v>
      </c>
      <c r="E3011" s="1">
        <v>1.59585</v>
      </c>
      <c r="F3011" s="1">
        <v>7.8261599999999998</v>
      </c>
      <c r="G3011" s="1">
        <v>13.382199999999999</v>
      </c>
      <c r="H3011" s="1">
        <v>5.3887999999999998</v>
      </c>
    </row>
    <row r="3012" spans="1:8" x14ac:dyDescent="0.3">
      <c r="A3012">
        <f t="shared" si="122"/>
        <v>39</v>
      </c>
      <c r="B3012">
        <v>2841</v>
      </c>
      <c r="C3012" s="1">
        <v>24.180500702143259</v>
      </c>
      <c r="D3012" s="9">
        <v>18.883166666671627</v>
      </c>
      <c r="E3012" s="1">
        <v>2.4249700000000001</v>
      </c>
      <c r="F3012" s="1">
        <v>8.3899500000000007</v>
      </c>
      <c r="G3012" s="1">
        <v>13.1265</v>
      </c>
      <c r="H3012" s="1">
        <v>5.7021100000000002</v>
      </c>
    </row>
    <row r="3013" spans="1:8" x14ac:dyDescent="0.3">
      <c r="A3013" t="e">
        <f t="shared" si="122"/>
        <v>#REF!</v>
      </c>
      <c r="B3013">
        <v>2891</v>
      </c>
      <c r="C3013" s="1">
        <v>24.33</v>
      </c>
      <c r="D3013" s="9">
        <v>18.930388888893937</v>
      </c>
      <c r="E3013" s="1">
        <v>3.0604300000000002</v>
      </c>
      <c r="F3013" s="1">
        <v>9.4782200000000003</v>
      </c>
      <c r="G3013" s="1">
        <v>13.3269</v>
      </c>
      <c r="H3013" s="1">
        <v>5.9082699999999999</v>
      </c>
    </row>
    <row r="3014" spans="1:8" x14ac:dyDescent="0.3">
      <c r="A3014">
        <f t="shared" si="122"/>
        <v>30</v>
      </c>
      <c r="B3014">
        <v>2941</v>
      </c>
      <c r="C3014" s="1">
        <v>24.194942236004849</v>
      </c>
      <c r="D3014" s="9">
        <v>18.977611111116246</v>
      </c>
      <c r="E3014" s="1">
        <v>3.2805499999999999</v>
      </c>
      <c r="F3014" s="1">
        <v>10.8439</v>
      </c>
      <c r="G3014" s="1">
        <v>14.11</v>
      </c>
      <c r="H3014" s="1">
        <v>6.2120800000000003</v>
      </c>
    </row>
    <row r="3015" spans="1:8" x14ac:dyDescent="0.3">
      <c r="A3015" t="e">
        <f t="shared" si="122"/>
        <v>#REF!</v>
      </c>
      <c r="B3015">
        <v>2991</v>
      </c>
      <c r="C3015" s="1">
        <v>24.02521121589869</v>
      </c>
      <c r="D3015" s="9">
        <v>19.024833333338556</v>
      </c>
      <c r="E3015" s="1">
        <v>3.37093</v>
      </c>
      <c r="F3015" s="1">
        <v>12.1472</v>
      </c>
      <c r="G3015" s="1">
        <v>15.278700000000001</v>
      </c>
      <c r="H3015" s="1">
        <v>6.5635399999999997</v>
      </c>
    </row>
    <row r="3016" spans="1:8" x14ac:dyDescent="0.3">
      <c r="A3016">
        <f t="shared" si="122"/>
        <v>21</v>
      </c>
      <c r="B3016">
        <v>3041</v>
      </c>
      <c r="C3016" s="1">
        <v>23.87702557039853</v>
      </c>
      <c r="D3016" s="9">
        <v>19.072055555560866</v>
      </c>
      <c r="E3016" s="1">
        <v>3.7528199999999998</v>
      </c>
      <c r="F3016" s="1">
        <v>13.0322</v>
      </c>
      <c r="G3016" s="1">
        <v>16.511800000000001</v>
      </c>
      <c r="H3016" s="1">
        <v>6.8542500000000004</v>
      </c>
    </row>
    <row r="3017" spans="1:8" x14ac:dyDescent="0.3">
      <c r="A3017" t="e">
        <f t="shared" si="122"/>
        <v>#REF!</v>
      </c>
      <c r="B3017">
        <v>3091</v>
      </c>
      <c r="C3017" s="1">
        <v>23.615113478383211</v>
      </c>
      <c r="D3017" s="9">
        <v>19.119277777783175</v>
      </c>
      <c r="E3017" s="1">
        <v>4.4946000000000002</v>
      </c>
      <c r="F3017" s="1">
        <v>13.2723</v>
      </c>
      <c r="G3017" s="1">
        <v>17.4815</v>
      </c>
      <c r="H3017" s="1">
        <v>7.2023099999999998</v>
      </c>
    </row>
    <row r="3018" spans="1:8" x14ac:dyDescent="0.3">
      <c r="A3018">
        <f t="shared" si="122"/>
        <v>37</v>
      </c>
      <c r="B3018">
        <v>3141</v>
      </c>
      <c r="C3018" s="1">
        <v>23.227992858901711</v>
      </c>
      <c r="D3018" s="9">
        <v>19.166500000005485</v>
      </c>
      <c r="E3018" s="1">
        <v>5.5066199999999998</v>
      </c>
      <c r="F3018" s="1">
        <v>12.766999999999999</v>
      </c>
      <c r="G3018" s="1">
        <v>17.922899999999998</v>
      </c>
      <c r="H3018" s="1">
        <v>7.7816000000000001</v>
      </c>
    </row>
    <row r="3019" spans="1:8" x14ac:dyDescent="0.3">
      <c r="A3019" t="e">
        <f t="shared" si="122"/>
        <v>#REF!</v>
      </c>
      <c r="B3019">
        <v>3191</v>
      </c>
      <c r="C3019" s="1">
        <v>22.847181878829272</v>
      </c>
      <c r="D3019" s="9">
        <v>19.213722222227794</v>
      </c>
      <c r="E3019" s="1">
        <v>6.5847899999999999</v>
      </c>
      <c r="F3019" s="1">
        <v>11.7742</v>
      </c>
      <c r="G3019" s="1">
        <v>17.8858</v>
      </c>
      <c r="H3019" s="1">
        <v>8.6286699999999996</v>
      </c>
    </row>
    <row r="3020" spans="1:8" x14ac:dyDescent="0.3">
      <c r="A3020">
        <f t="shared" si="122"/>
        <v>28</v>
      </c>
      <c r="B3020">
        <v>3241</v>
      </c>
      <c r="C3020" s="1">
        <v>22.500161851143069</v>
      </c>
      <c r="D3020" s="9">
        <v>19.260944444450104</v>
      </c>
      <c r="E3020" s="1">
        <v>7.5336400000000001</v>
      </c>
      <c r="F3020" s="1">
        <v>10.6585</v>
      </c>
      <c r="G3020" s="1">
        <v>17.536300000000001</v>
      </c>
      <c r="H3020" s="1">
        <v>9.7206799999999998</v>
      </c>
    </row>
    <row r="3021" spans="1:8" x14ac:dyDescent="0.3">
      <c r="A3021" t="e">
        <f t="shared" ref="A3021:A3027" si="123">A2971</f>
        <v>#REF!</v>
      </c>
      <c r="B3021">
        <v>3291</v>
      </c>
      <c r="C3021" s="1">
        <v>22.075352185397101</v>
      </c>
      <c r="D3021" s="9">
        <v>19.308166666672413</v>
      </c>
      <c r="E3021" s="1">
        <v>8.45383</v>
      </c>
      <c r="F3021" s="1">
        <v>9.8245799999999992</v>
      </c>
      <c r="G3021" s="1">
        <v>17.120899999999999</v>
      </c>
      <c r="H3021" s="1">
        <v>10.991199999999999</v>
      </c>
    </row>
    <row r="3022" spans="1:8" x14ac:dyDescent="0.3">
      <c r="A3022">
        <f t="shared" si="123"/>
        <v>19</v>
      </c>
      <c r="B3022">
        <v>3341</v>
      </c>
      <c r="C3022" s="1">
        <v>21.744197115878031</v>
      </c>
      <c r="D3022" s="9">
        <v>19.355388888894723</v>
      </c>
      <c r="E3022" s="1">
        <v>9.7914399999999997</v>
      </c>
      <c r="F3022" s="1">
        <v>10.312799999999999</v>
      </c>
      <c r="G3022" s="1">
        <v>17.1021</v>
      </c>
      <c r="H3022" s="1">
        <v>12.402100000000001</v>
      </c>
    </row>
    <row r="3023" spans="1:8" x14ac:dyDescent="0.3">
      <c r="A3023" t="e">
        <f t="shared" si="123"/>
        <v>#REF!</v>
      </c>
      <c r="B3023">
        <v>3391</v>
      </c>
      <c r="C3023" s="1">
        <v>21.44026991176694</v>
      </c>
      <c r="D3023" s="9">
        <v>19.402611111117032</v>
      </c>
      <c r="E3023" s="1">
        <v>11.5162</v>
      </c>
      <c r="F3023" s="1">
        <v>11.7662</v>
      </c>
      <c r="G3023" s="1">
        <v>17.3459</v>
      </c>
      <c r="H3023" s="1">
        <v>13.829499999999999</v>
      </c>
    </row>
    <row r="3024" spans="1:8" x14ac:dyDescent="0.3">
      <c r="A3024">
        <f t="shared" si="123"/>
        <v>35</v>
      </c>
      <c r="B3024">
        <v>3441</v>
      </c>
      <c r="C3024" s="1">
        <v>21.03455652482327</v>
      </c>
      <c r="D3024" s="9">
        <v>19.449833333339342</v>
      </c>
      <c r="E3024" s="1">
        <v>13.376899999999999</v>
      </c>
      <c r="F3024" s="1">
        <v>13.4964</v>
      </c>
      <c r="G3024" s="1">
        <v>17.731000000000002</v>
      </c>
      <c r="H3024" s="1">
        <v>15.2315</v>
      </c>
    </row>
    <row r="3025" spans="1:8" x14ac:dyDescent="0.3">
      <c r="A3025" t="e">
        <f t="shared" si="123"/>
        <v>#REF!</v>
      </c>
      <c r="B3025">
        <v>3491</v>
      </c>
      <c r="C3025" s="1">
        <v>20.5026127949392</v>
      </c>
      <c r="D3025" s="9">
        <v>19.497055555561651</v>
      </c>
      <c r="E3025" s="1">
        <v>15.302199999999999</v>
      </c>
      <c r="F3025" s="1">
        <v>15.355</v>
      </c>
      <c r="G3025" s="1">
        <v>18.232199999999999</v>
      </c>
      <c r="H3025" s="1">
        <v>16.616499999999998</v>
      </c>
    </row>
    <row r="3026" spans="1:8" x14ac:dyDescent="0.3">
      <c r="A3026">
        <f t="shared" si="123"/>
        <v>26</v>
      </c>
      <c r="B3026">
        <v>3541</v>
      </c>
      <c r="C3026" s="1">
        <v>20.116406548346891</v>
      </c>
      <c r="D3026" s="9">
        <v>19.544277777783961</v>
      </c>
      <c r="E3026" s="1">
        <v>17.2621</v>
      </c>
      <c r="F3026" s="1">
        <v>17.2803</v>
      </c>
      <c r="G3026" s="1">
        <v>18.820799999999998</v>
      </c>
      <c r="H3026" s="1">
        <v>17.989899999999999</v>
      </c>
    </row>
    <row r="3027" spans="1:8" x14ac:dyDescent="0.3">
      <c r="A3027" t="e">
        <f t="shared" si="123"/>
        <v>#REF!</v>
      </c>
      <c r="B3027">
        <v>3591</v>
      </c>
      <c r="C3027" s="1">
        <v>19.67464103218725</v>
      </c>
      <c r="D3027" s="9">
        <v>19.59150000000627</v>
      </c>
      <c r="E3027" s="1">
        <v>19.242100000000001</v>
      </c>
      <c r="F3027" s="1">
        <v>19.2438</v>
      </c>
      <c r="G3027" s="1">
        <v>19.476099999999999</v>
      </c>
      <c r="H3027" s="1">
        <v>19.355</v>
      </c>
    </row>
    <row r="3028" spans="1:8" x14ac:dyDescent="0.3">
      <c r="A3028">
        <v>42</v>
      </c>
      <c r="B3028">
        <v>42</v>
      </c>
      <c r="C3028" s="1">
        <v>16.189946663948909</v>
      </c>
      <c r="D3028" s="9">
        <v>16.239666666666739</v>
      </c>
      <c r="E3028" s="1">
        <v>14.646000000000001</v>
      </c>
      <c r="F3028" s="1">
        <v>14.5427</v>
      </c>
      <c r="G3028" s="1">
        <v>15.6959</v>
      </c>
      <c r="H3028" s="1">
        <v>14.633100000000001</v>
      </c>
    </row>
    <row r="3029" spans="1:8" x14ac:dyDescent="0.3">
      <c r="A3029" t="e">
        <f t="shared" ref="A3029:A3060" si="124">A2979</f>
        <v>#REF!</v>
      </c>
      <c r="B3029">
        <v>92</v>
      </c>
      <c r="C3029" s="1">
        <v>16.23</v>
      </c>
      <c r="D3029" s="9">
        <v>16.286888888889049</v>
      </c>
      <c r="E3029" s="1">
        <v>12.8184</v>
      </c>
      <c r="F3029" s="1">
        <v>12.598599999999999</v>
      </c>
      <c r="G3029" s="1">
        <v>15.1486</v>
      </c>
      <c r="H3029" s="1">
        <v>12.7592</v>
      </c>
    </row>
    <row r="3030" spans="1:8" x14ac:dyDescent="0.3">
      <c r="A3030">
        <f t="shared" si="124"/>
        <v>33</v>
      </c>
      <c r="B3030">
        <v>142</v>
      </c>
      <c r="C3030" s="1">
        <v>16.398966863465098</v>
      </c>
      <c r="D3030" s="9">
        <v>16.334111111111358</v>
      </c>
      <c r="E3030" s="1">
        <v>11.025399999999999</v>
      </c>
      <c r="F3030" s="1">
        <v>10.7064</v>
      </c>
      <c r="G3030" s="1">
        <v>14.671900000000001</v>
      </c>
      <c r="H3030" s="1">
        <v>10.8752</v>
      </c>
    </row>
    <row r="3031" spans="1:8" x14ac:dyDescent="0.3">
      <c r="A3031" t="e">
        <f t="shared" si="124"/>
        <v>#REF!</v>
      </c>
      <c r="B3031">
        <v>192</v>
      </c>
      <c r="C3031" s="1">
        <v>16.70588610941012</v>
      </c>
      <c r="D3031" s="9">
        <v>16.381333333333668</v>
      </c>
      <c r="E3031" s="1">
        <v>9.2856799999999993</v>
      </c>
      <c r="F3031" s="1">
        <v>8.9097100000000005</v>
      </c>
      <c r="G3031" s="1">
        <v>14.2834</v>
      </c>
      <c r="H3031" s="1">
        <v>8.9815900000000006</v>
      </c>
    </row>
    <row r="3032" spans="1:8" x14ac:dyDescent="0.3">
      <c r="A3032">
        <f t="shared" si="124"/>
        <v>24</v>
      </c>
      <c r="B3032">
        <v>242</v>
      </c>
      <c r="C3032" s="1">
        <v>16.87</v>
      </c>
      <c r="D3032" s="9">
        <v>16.428555555555977</v>
      </c>
      <c r="E3032" s="1">
        <v>7.6352500000000001</v>
      </c>
      <c r="F3032" s="1">
        <v>7.3086799999999998</v>
      </c>
      <c r="G3032" s="1">
        <v>13.9939</v>
      </c>
      <c r="H3032" s="1">
        <v>7.0859300000000003</v>
      </c>
    </row>
    <row r="3033" spans="1:8" x14ac:dyDescent="0.3">
      <c r="A3033" t="e">
        <f t="shared" si="124"/>
        <v>#REF!</v>
      </c>
      <c r="B3033">
        <v>292</v>
      </c>
      <c r="C3033" s="1">
        <v>17.058606944142952</v>
      </c>
      <c r="D3033" s="9">
        <v>16.475777777778287</v>
      </c>
      <c r="E3033" s="1">
        <v>6.1914300000000004</v>
      </c>
      <c r="F3033" s="1">
        <v>6.2511599999999996</v>
      </c>
      <c r="G3033" s="1">
        <v>13.8047</v>
      </c>
      <c r="H3033" s="1">
        <v>5.2898199999999997</v>
      </c>
    </row>
    <row r="3034" spans="1:8" x14ac:dyDescent="0.3">
      <c r="A3034">
        <f t="shared" si="124"/>
        <v>40</v>
      </c>
      <c r="B3034">
        <v>342</v>
      </c>
      <c r="C3034" s="1">
        <v>17.271629829737869</v>
      </c>
      <c r="D3034" s="9">
        <v>16.523000000000597</v>
      </c>
      <c r="E3034" s="1">
        <v>5.2494500000000004</v>
      </c>
      <c r="F3034" s="1">
        <v>6.3412600000000001</v>
      </c>
      <c r="G3034" s="1">
        <v>13.9506</v>
      </c>
      <c r="H3034" s="1">
        <v>4.0041500000000001</v>
      </c>
    </row>
    <row r="3035" spans="1:8" x14ac:dyDescent="0.3">
      <c r="A3035" t="e">
        <f t="shared" si="124"/>
        <v>#REF!</v>
      </c>
      <c r="B3035">
        <v>392</v>
      </c>
      <c r="C3035" s="1">
        <v>17.5</v>
      </c>
      <c r="D3035" s="9">
        <v>16.570222222222906</v>
      </c>
      <c r="E3035" s="1">
        <v>4.6092500000000003</v>
      </c>
      <c r="F3035" s="1">
        <v>6.6621199999999998</v>
      </c>
      <c r="G3035" s="1">
        <v>14.0745</v>
      </c>
      <c r="H3035" s="1">
        <v>3.1010800000000001</v>
      </c>
    </row>
    <row r="3036" spans="1:8" x14ac:dyDescent="0.3">
      <c r="A3036">
        <f t="shared" si="124"/>
        <v>31</v>
      </c>
      <c r="B3036">
        <v>442</v>
      </c>
      <c r="C3036" s="1">
        <v>17.77695914835386</v>
      </c>
      <c r="D3036" s="9">
        <v>16.617444444445216</v>
      </c>
      <c r="E3036" s="1">
        <v>4.1975800000000003</v>
      </c>
      <c r="F3036" s="1">
        <v>6.7185300000000003</v>
      </c>
      <c r="G3036" s="1">
        <v>13.9217</v>
      </c>
      <c r="H3036" s="1">
        <v>2.5462600000000002</v>
      </c>
    </row>
    <row r="3037" spans="1:8" x14ac:dyDescent="0.3">
      <c r="A3037" t="e">
        <f t="shared" si="124"/>
        <v>#REF!</v>
      </c>
      <c r="B3037">
        <v>492</v>
      </c>
      <c r="C3037" s="1">
        <v>17.95</v>
      </c>
      <c r="D3037" s="9">
        <v>16.664666666667525</v>
      </c>
      <c r="E3037" s="1">
        <v>3.7695799999999999</v>
      </c>
      <c r="F3037" s="1">
        <v>6.3829700000000003</v>
      </c>
      <c r="G3037" s="1">
        <v>13.5893</v>
      </c>
      <c r="H3037" s="1">
        <v>2.0979199999999998</v>
      </c>
    </row>
    <row r="3038" spans="1:8" x14ac:dyDescent="0.3">
      <c r="A3038">
        <f t="shared" si="124"/>
        <v>22</v>
      </c>
      <c r="B3038">
        <v>542</v>
      </c>
      <c r="C3038" s="1">
        <v>18.12350941692192</v>
      </c>
      <c r="D3038" s="9">
        <v>16.711888888889835</v>
      </c>
      <c r="E3038" s="1">
        <v>3.0448900000000001</v>
      </c>
      <c r="F3038" s="1">
        <v>5.6326999999999998</v>
      </c>
      <c r="G3038" s="1">
        <v>13.2561</v>
      </c>
      <c r="H3038" s="1">
        <v>1.46183</v>
      </c>
    </row>
    <row r="3039" spans="1:8" x14ac:dyDescent="0.3">
      <c r="A3039" t="e">
        <f t="shared" si="124"/>
        <v>#REF!</v>
      </c>
      <c r="B3039">
        <v>592</v>
      </c>
      <c r="C3039" s="1">
        <v>18.350000000000001</v>
      </c>
      <c r="D3039" s="9">
        <v>16.759111111112144</v>
      </c>
      <c r="E3039" s="1">
        <v>2.1285500000000002</v>
      </c>
      <c r="F3039" s="1">
        <v>4.6314599999999997</v>
      </c>
      <c r="G3039" s="1">
        <v>12.9047</v>
      </c>
      <c r="H3039" s="1">
        <v>0.72473900000000002</v>
      </c>
    </row>
    <row r="3040" spans="1:8" x14ac:dyDescent="0.3">
      <c r="A3040">
        <f t="shared" si="124"/>
        <v>38</v>
      </c>
      <c r="B3040">
        <v>642</v>
      </c>
      <c r="C3040" s="1">
        <v>18.495293406248859</v>
      </c>
      <c r="D3040" s="9">
        <v>16.806333333334454</v>
      </c>
      <c r="E3040" s="1">
        <v>1.2842100000000001</v>
      </c>
      <c r="F3040" s="1">
        <v>3.6222300000000001</v>
      </c>
      <c r="G3040" s="1">
        <v>12.475099999999999</v>
      </c>
      <c r="H3040" s="1">
        <v>0.13828799999999999</v>
      </c>
    </row>
    <row r="3041" spans="1:8" x14ac:dyDescent="0.3">
      <c r="A3041" t="e">
        <f t="shared" si="124"/>
        <v>#REF!</v>
      </c>
      <c r="B3041">
        <v>692</v>
      </c>
      <c r="C3041" s="1">
        <v>18.653945545320848</v>
      </c>
      <c r="D3041" s="9">
        <v>16.853555555556763</v>
      </c>
      <c r="E3041" s="1">
        <v>0.74316000000000004</v>
      </c>
      <c r="F3041" s="1">
        <v>2.8217599999999998</v>
      </c>
      <c r="G3041" s="1">
        <v>12.1548</v>
      </c>
      <c r="H3041" s="1">
        <v>-1.12782E-2</v>
      </c>
    </row>
    <row r="3042" spans="1:8" x14ac:dyDescent="0.3">
      <c r="A3042">
        <f t="shared" si="124"/>
        <v>29</v>
      </c>
      <c r="B3042">
        <v>742</v>
      </c>
      <c r="C3042" s="1">
        <v>18.788654299916629</v>
      </c>
      <c r="D3042" s="9">
        <v>16.900777777779073</v>
      </c>
      <c r="E3042" s="1">
        <v>0.66991299999999998</v>
      </c>
      <c r="F3042" s="1">
        <v>2.3824299999999998</v>
      </c>
      <c r="G3042" s="1">
        <v>12.1835</v>
      </c>
      <c r="H3042" s="1">
        <v>0.50529299999999999</v>
      </c>
    </row>
    <row r="3043" spans="1:8" x14ac:dyDescent="0.3">
      <c r="A3043" t="e">
        <f t="shared" si="124"/>
        <v>#REF!</v>
      </c>
      <c r="B3043">
        <v>792</v>
      </c>
      <c r="C3043" s="1">
        <v>19.10486110623355</v>
      </c>
      <c r="D3043" s="9">
        <v>16.948000000001382</v>
      </c>
      <c r="E3043" s="1">
        <v>0.90111799999999997</v>
      </c>
      <c r="F3043" s="1">
        <v>2.13028</v>
      </c>
      <c r="G3043" s="1">
        <v>12.5204</v>
      </c>
      <c r="H3043" s="1">
        <v>1.4846999999999999</v>
      </c>
    </row>
    <row r="3044" spans="1:8" x14ac:dyDescent="0.3">
      <c r="A3044">
        <f t="shared" si="124"/>
        <v>20</v>
      </c>
      <c r="B3044">
        <v>842</v>
      </c>
      <c r="C3044" s="1">
        <v>19.362832837912951</v>
      </c>
      <c r="D3044" s="9">
        <v>16.995222222223692</v>
      </c>
      <c r="E3044" s="1">
        <v>1.1845699999999999</v>
      </c>
      <c r="F3044" s="1">
        <v>1.8284100000000001</v>
      </c>
      <c r="G3044" s="1">
        <v>12.996600000000001</v>
      </c>
      <c r="H3044" s="1">
        <v>2.5553699999999999</v>
      </c>
    </row>
    <row r="3045" spans="1:8" x14ac:dyDescent="0.3">
      <c r="A3045" t="e">
        <f t="shared" si="124"/>
        <v>#REF!</v>
      </c>
      <c r="B3045">
        <v>892</v>
      </c>
      <c r="C3045" s="1">
        <v>19.65738158940453</v>
      </c>
      <c r="D3045" s="9">
        <v>17.042444444446001</v>
      </c>
      <c r="E3045" s="1">
        <v>1.50336</v>
      </c>
      <c r="F3045" s="1">
        <v>1.63242</v>
      </c>
      <c r="G3045" s="1">
        <v>13.323600000000001</v>
      </c>
      <c r="H3045" s="1">
        <v>3.3355700000000001</v>
      </c>
    </row>
    <row r="3046" spans="1:8" x14ac:dyDescent="0.3">
      <c r="A3046">
        <f t="shared" si="124"/>
        <v>36</v>
      </c>
      <c r="B3046">
        <v>942</v>
      </c>
      <c r="C3046" s="1">
        <v>19.930183234379541</v>
      </c>
      <c r="D3046" s="9">
        <v>17.089666666668311</v>
      </c>
      <c r="E3046" s="1">
        <v>1.90134</v>
      </c>
      <c r="F3046" s="1">
        <v>1.80043</v>
      </c>
      <c r="G3046" s="1">
        <v>13.237500000000001</v>
      </c>
      <c r="H3046" s="1">
        <v>3.5116700000000001</v>
      </c>
    </row>
    <row r="3047" spans="1:8" x14ac:dyDescent="0.3">
      <c r="A3047" t="e">
        <f t="shared" si="124"/>
        <v>#REF!</v>
      </c>
      <c r="B3047">
        <v>992</v>
      </c>
      <c r="C3047" s="1">
        <v>20.313172377725738</v>
      </c>
      <c r="D3047" s="9">
        <v>17.136888888890621</v>
      </c>
      <c r="E3047" s="1">
        <v>2.2354099999999999</v>
      </c>
      <c r="F3047" s="1">
        <v>2.28701</v>
      </c>
      <c r="G3047" s="1">
        <v>12.9184</v>
      </c>
      <c r="H3047" s="1">
        <v>3.2159900000000001</v>
      </c>
    </row>
    <row r="3048" spans="1:8" x14ac:dyDescent="0.3">
      <c r="A3048">
        <f t="shared" si="124"/>
        <v>27</v>
      </c>
      <c r="B3048">
        <v>1042</v>
      </c>
      <c r="C3048" s="1">
        <v>20.734263992690298</v>
      </c>
      <c r="D3048" s="9">
        <v>17.18411111111293</v>
      </c>
      <c r="E3048" s="1">
        <v>2.3351700000000002</v>
      </c>
      <c r="F3048" s="1">
        <v>2.91079</v>
      </c>
      <c r="G3048" s="1">
        <v>12.6867</v>
      </c>
      <c r="H3048" s="1">
        <v>2.76362</v>
      </c>
    </row>
    <row r="3049" spans="1:8" x14ac:dyDescent="0.3">
      <c r="A3049" t="e">
        <f t="shared" si="124"/>
        <v>#REF!</v>
      </c>
      <c r="B3049">
        <v>1092</v>
      </c>
      <c r="C3049" s="1">
        <v>21.136056182453189</v>
      </c>
      <c r="D3049" s="9">
        <v>17.23133333333524</v>
      </c>
      <c r="E3049" s="1">
        <v>2.30796</v>
      </c>
      <c r="F3049" s="1">
        <v>3.3710599999999999</v>
      </c>
      <c r="G3049" s="1">
        <v>12.6669</v>
      </c>
      <c r="H3049" s="1">
        <v>2.5440200000000002</v>
      </c>
    </row>
    <row r="3050" spans="1:8" x14ac:dyDescent="0.3">
      <c r="A3050">
        <f t="shared" si="124"/>
        <v>18</v>
      </c>
      <c r="B3050">
        <v>1142</v>
      </c>
      <c r="C3050" s="1">
        <v>21.471201377943309</v>
      </c>
      <c r="D3050" s="9">
        <v>17.278555555557549</v>
      </c>
      <c r="E3050" s="1">
        <v>2.3232699999999999</v>
      </c>
      <c r="F3050" s="1">
        <v>3.3986100000000001</v>
      </c>
      <c r="G3050" s="1">
        <v>12.872999999999999</v>
      </c>
      <c r="H3050" s="1">
        <v>2.8955700000000002</v>
      </c>
    </row>
    <row r="3051" spans="1:8" x14ac:dyDescent="0.3">
      <c r="A3051" t="e">
        <f t="shared" si="124"/>
        <v>#REF!</v>
      </c>
      <c r="B3051">
        <v>1192</v>
      </c>
      <c r="C3051" s="1">
        <v>21.867553599180571</v>
      </c>
      <c r="D3051" s="9">
        <v>17.325777777779859</v>
      </c>
      <c r="E3051" s="1">
        <v>2.27597</v>
      </c>
      <c r="F3051" s="1">
        <v>3.1999499999999999</v>
      </c>
      <c r="G3051" s="1">
        <v>13.0983</v>
      </c>
      <c r="H3051" s="1">
        <v>3.66865</v>
      </c>
    </row>
    <row r="3052" spans="1:8" x14ac:dyDescent="0.3">
      <c r="A3052">
        <f t="shared" si="124"/>
        <v>34</v>
      </c>
      <c r="B3052">
        <v>1242</v>
      </c>
      <c r="C3052" s="1">
        <v>22.30751189349764</v>
      </c>
      <c r="D3052" s="9">
        <v>17.373000000002168</v>
      </c>
      <c r="E3052" s="1">
        <v>2.01295</v>
      </c>
      <c r="F3052" s="1">
        <v>3.1216699999999999</v>
      </c>
      <c r="G3052" s="1">
        <v>13.11</v>
      </c>
      <c r="H3052" s="1">
        <v>4.5403799999999999</v>
      </c>
    </row>
    <row r="3053" spans="1:8" x14ac:dyDescent="0.3">
      <c r="A3053">
        <f t="shared" si="124"/>
        <v>0</v>
      </c>
      <c r="B3053">
        <v>1292</v>
      </c>
      <c r="C3053" s="1">
        <v>22.742347676727309</v>
      </c>
      <c r="D3053" s="9">
        <v>17.420222222224478</v>
      </c>
      <c r="E3053" s="1">
        <v>1.73298</v>
      </c>
      <c r="F3053" s="1">
        <v>3.2563599999999999</v>
      </c>
      <c r="G3053" s="1">
        <v>13.036</v>
      </c>
      <c r="H3053" s="1">
        <v>5.2625299999999999</v>
      </c>
    </row>
    <row r="3054" spans="1:8" x14ac:dyDescent="0.3">
      <c r="A3054">
        <f t="shared" si="124"/>
        <v>25</v>
      </c>
      <c r="B3054">
        <v>1342</v>
      </c>
      <c r="C3054" s="1">
        <v>23.045271350056961</v>
      </c>
      <c r="D3054" s="9">
        <v>17.467444444446787</v>
      </c>
      <c r="E3054" s="1">
        <v>1.72604</v>
      </c>
      <c r="F3054" s="1">
        <v>3.5832600000000001</v>
      </c>
      <c r="G3054" s="1">
        <v>13.0906</v>
      </c>
      <c r="H3054" s="1">
        <v>5.6634500000000001</v>
      </c>
    </row>
    <row r="3055" spans="1:8" x14ac:dyDescent="0.3">
      <c r="A3055" t="e">
        <f t="shared" si="124"/>
        <v>#REF!</v>
      </c>
      <c r="B3055">
        <v>1392</v>
      </c>
      <c r="C3055" s="1">
        <v>23.22465899767181</v>
      </c>
      <c r="D3055" s="9">
        <v>17.514666666669097</v>
      </c>
      <c r="E3055" s="1">
        <v>2.0188600000000001</v>
      </c>
      <c r="F3055" s="1">
        <v>3.9787699999999999</v>
      </c>
      <c r="G3055" s="1">
        <v>13.1761</v>
      </c>
      <c r="H3055" s="1">
        <v>5.8653199999999996</v>
      </c>
    </row>
    <row r="3056" spans="1:8" x14ac:dyDescent="0.3">
      <c r="A3056">
        <f t="shared" si="124"/>
        <v>41</v>
      </c>
      <c r="B3056">
        <v>1442</v>
      </c>
      <c r="C3056" s="1">
        <v>23.26</v>
      </c>
      <c r="D3056" s="9">
        <v>17.561888888891406</v>
      </c>
      <c r="E3056" s="1">
        <v>2.5141499999999999</v>
      </c>
      <c r="F3056" s="1">
        <v>4.30131</v>
      </c>
      <c r="G3056" s="1">
        <v>13.123200000000001</v>
      </c>
      <c r="H3056" s="1">
        <v>6.0554300000000003</v>
      </c>
    </row>
    <row r="3057" spans="1:8" x14ac:dyDescent="0.3">
      <c r="A3057" t="e">
        <f t="shared" si="124"/>
        <v>#REF!</v>
      </c>
      <c r="B3057">
        <v>1492</v>
      </c>
      <c r="C3057" s="1">
        <v>23.15087871421396</v>
      </c>
      <c r="D3057" s="9">
        <v>17.609111111113716</v>
      </c>
      <c r="E3057" s="1">
        <v>2.9682400000000002</v>
      </c>
      <c r="F3057" s="1">
        <v>4.5369200000000003</v>
      </c>
      <c r="G3057" s="1">
        <v>13.0534</v>
      </c>
      <c r="H3057" s="1">
        <v>6.1440900000000003</v>
      </c>
    </row>
    <row r="3058" spans="1:8" x14ac:dyDescent="0.3">
      <c r="A3058">
        <f t="shared" si="124"/>
        <v>32</v>
      </c>
      <c r="B3058">
        <v>1542</v>
      </c>
      <c r="C3058" s="1">
        <v>22.897911726819981</v>
      </c>
      <c r="D3058" s="9">
        <v>17.656333333336026</v>
      </c>
      <c r="E3058" s="1">
        <v>3.1598000000000002</v>
      </c>
      <c r="F3058" s="1">
        <v>4.7456199999999997</v>
      </c>
      <c r="G3058" s="1">
        <v>13.1501</v>
      </c>
      <c r="H3058" s="1">
        <v>5.9603200000000003</v>
      </c>
    </row>
    <row r="3059" spans="1:8" x14ac:dyDescent="0.3">
      <c r="A3059" t="e">
        <f t="shared" si="124"/>
        <v>#REF!</v>
      </c>
      <c r="B3059">
        <v>1592</v>
      </c>
      <c r="C3059" s="1">
        <v>22.552968863465789</v>
      </c>
      <c r="D3059" s="9">
        <v>17.703555555558335</v>
      </c>
      <c r="E3059" s="1">
        <v>3.3415400000000002</v>
      </c>
      <c r="F3059" s="1">
        <v>5.1444999999999999</v>
      </c>
      <c r="G3059" s="1">
        <v>13.306100000000001</v>
      </c>
      <c r="H3059" s="1">
        <v>5.4714200000000002</v>
      </c>
    </row>
    <row r="3060" spans="1:8" x14ac:dyDescent="0.3">
      <c r="A3060">
        <f t="shared" si="124"/>
        <v>23</v>
      </c>
      <c r="B3060">
        <v>1642</v>
      </c>
      <c r="C3060" s="1">
        <v>22.148198978053539</v>
      </c>
      <c r="D3060" s="9">
        <v>17.750777777780645</v>
      </c>
      <c r="E3060" s="1">
        <v>3.8727999999999998</v>
      </c>
      <c r="F3060" s="1">
        <v>5.9490800000000004</v>
      </c>
      <c r="G3060" s="1">
        <v>13.347899999999999</v>
      </c>
      <c r="H3060" s="1">
        <v>4.7050900000000002</v>
      </c>
    </row>
    <row r="3061" spans="1:8" x14ac:dyDescent="0.3">
      <c r="A3061" t="e">
        <f t="shared" ref="A3061:A3092" si="125">A3011</f>
        <v>#REF!</v>
      </c>
      <c r="B3061">
        <v>1692</v>
      </c>
      <c r="C3061" s="1">
        <v>21.767273039917459</v>
      </c>
      <c r="D3061" s="9">
        <v>17.798000000002954</v>
      </c>
      <c r="E3061" s="1">
        <v>4.6742499999999998</v>
      </c>
      <c r="F3061" s="1">
        <v>7.0063000000000004</v>
      </c>
      <c r="G3061" s="1">
        <v>13.363200000000001</v>
      </c>
      <c r="H3061" s="1">
        <v>3.7404000000000002</v>
      </c>
    </row>
    <row r="3062" spans="1:8" x14ac:dyDescent="0.3">
      <c r="A3062">
        <f t="shared" si="125"/>
        <v>39</v>
      </c>
      <c r="B3062">
        <v>1742</v>
      </c>
      <c r="C3062" s="1">
        <v>21.302598480640281</v>
      </c>
      <c r="D3062" s="9">
        <v>17.845222222225264</v>
      </c>
      <c r="E3062" s="1">
        <v>5.4818899999999999</v>
      </c>
      <c r="F3062" s="1">
        <v>8.0289699999999993</v>
      </c>
      <c r="G3062" s="1">
        <v>13.4938</v>
      </c>
      <c r="H3062" s="1">
        <v>2.6694399999999998</v>
      </c>
    </row>
    <row r="3063" spans="1:8" x14ac:dyDescent="0.3">
      <c r="A3063" t="e">
        <f t="shared" si="125"/>
        <v>#REF!</v>
      </c>
      <c r="B3063">
        <v>1792</v>
      </c>
      <c r="C3063" s="1">
        <v>20.967749266628399</v>
      </c>
      <c r="D3063" s="9">
        <v>17.892444444447573</v>
      </c>
      <c r="E3063" s="1">
        <v>5.9115500000000001</v>
      </c>
      <c r="F3063" s="1">
        <v>8.7555899999999998</v>
      </c>
      <c r="G3063" s="1">
        <v>13.6149</v>
      </c>
      <c r="H3063" s="1">
        <v>1.5473600000000001</v>
      </c>
    </row>
    <row r="3064" spans="1:8" x14ac:dyDescent="0.3">
      <c r="A3064">
        <f t="shared" si="125"/>
        <v>30</v>
      </c>
      <c r="B3064">
        <v>1842</v>
      </c>
      <c r="C3064" s="1">
        <v>20.597968525778239</v>
      </c>
      <c r="D3064" s="9">
        <v>17.939666666669883</v>
      </c>
      <c r="E3064" s="1">
        <v>5.6235400000000002</v>
      </c>
      <c r="F3064" s="1">
        <v>9.0026299999999999</v>
      </c>
      <c r="G3064" s="1">
        <v>13.553100000000001</v>
      </c>
      <c r="H3064" s="1">
        <v>0.40447300000000003</v>
      </c>
    </row>
    <row r="3065" spans="1:8" x14ac:dyDescent="0.3">
      <c r="A3065" t="e">
        <f t="shared" si="125"/>
        <v>#REF!</v>
      </c>
      <c r="B3065">
        <v>1892</v>
      </c>
      <c r="C3065" s="1">
        <v>20.230454974251739</v>
      </c>
      <c r="D3065" s="9">
        <v>17.986888888892192</v>
      </c>
      <c r="E3065" s="1">
        <v>4.8162099999999999</v>
      </c>
      <c r="F3065" s="1">
        <v>8.9966600000000003</v>
      </c>
      <c r="G3065" s="1">
        <v>13.441700000000001</v>
      </c>
      <c r="H3065" s="1">
        <v>-0.79505999999999999</v>
      </c>
    </row>
    <row r="3066" spans="1:8" x14ac:dyDescent="0.3">
      <c r="A3066">
        <f t="shared" si="125"/>
        <v>21</v>
      </c>
      <c r="B3066">
        <v>1942</v>
      </c>
      <c r="C3066" s="1">
        <v>19.84204519402617</v>
      </c>
      <c r="D3066" s="9">
        <v>18.034111111114502</v>
      </c>
      <c r="E3066" s="1">
        <v>3.8791000000000002</v>
      </c>
      <c r="F3066" s="1">
        <v>9.0524199999999997</v>
      </c>
      <c r="G3066" s="1">
        <v>13.4826</v>
      </c>
      <c r="H3066" s="1">
        <v>-2.0899399999999999</v>
      </c>
    </row>
    <row r="3067" spans="1:8" x14ac:dyDescent="0.3">
      <c r="A3067" t="e">
        <f t="shared" si="125"/>
        <v>#REF!</v>
      </c>
      <c r="B3067">
        <v>1992</v>
      </c>
      <c r="C3067" s="1">
        <v>19.56516141279004</v>
      </c>
      <c r="D3067" s="9">
        <v>18.081333333336811</v>
      </c>
      <c r="E3067" s="1">
        <v>3.1469499999999999</v>
      </c>
      <c r="F3067" s="1">
        <v>9.0995899999999992</v>
      </c>
      <c r="G3067" s="1">
        <v>13.603199999999999</v>
      </c>
      <c r="H3067" s="1">
        <v>-3.38978</v>
      </c>
    </row>
    <row r="3068" spans="1:8" x14ac:dyDescent="0.3">
      <c r="A3068">
        <f t="shared" si="125"/>
        <v>37</v>
      </c>
      <c r="B3068">
        <v>2042</v>
      </c>
      <c r="C3068" s="1">
        <v>19.368977326786169</v>
      </c>
      <c r="D3068" s="9">
        <v>18.128555555559121</v>
      </c>
      <c r="E3068" s="1">
        <v>2.8603499999999999</v>
      </c>
      <c r="F3068" s="1">
        <v>8.9657800000000005</v>
      </c>
      <c r="G3068" s="1">
        <v>13.664400000000001</v>
      </c>
      <c r="H3068" s="1">
        <v>-4.56365</v>
      </c>
    </row>
    <row r="3069" spans="1:8" x14ac:dyDescent="0.3">
      <c r="A3069" t="e">
        <f t="shared" si="125"/>
        <v>#REF!</v>
      </c>
      <c r="B3069">
        <v>2092</v>
      </c>
      <c r="C3069" s="1">
        <v>19.22</v>
      </c>
      <c r="D3069" s="9">
        <v>18.17577777778143</v>
      </c>
      <c r="E3069" s="1">
        <v>2.8206000000000002</v>
      </c>
      <c r="F3069" s="1">
        <v>8.7214899999999993</v>
      </c>
      <c r="G3069" s="1">
        <v>13.7355</v>
      </c>
      <c r="H3069" s="1">
        <v>-5.5222800000000003</v>
      </c>
    </row>
    <row r="3070" spans="1:8" x14ac:dyDescent="0.3">
      <c r="A3070">
        <f t="shared" si="125"/>
        <v>28</v>
      </c>
      <c r="B3070">
        <v>2142</v>
      </c>
      <c r="C3070" s="1">
        <v>19.190199457042489</v>
      </c>
      <c r="D3070" s="9">
        <v>18.22300000000374</v>
      </c>
      <c r="E3070" s="1">
        <v>2.7286100000000002</v>
      </c>
      <c r="F3070" s="1">
        <v>8.5187399999999993</v>
      </c>
      <c r="G3070" s="1">
        <v>13.9213</v>
      </c>
      <c r="H3070" s="1">
        <v>-6.1799499999999998</v>
      </c>
    </row>
    <row r="3071" spans="1:8" x14ac:dyDescent="0.3">
      <c r="A3071" t="e">
        <f t="shared" si="125"/>
        <v>#REF!</v>
      </c>
      <c r="B3071">
        <v>2192</v>
      </c>
      <c r="C3071" s="1">
        <v>19.14</v>
      </c>
      <c r="D3071" s="9">
        <v>18.27022222222605</v>
      </c>
      <c r="E3071" s="1">
        <v>2.6514099999999998</v>
      </c>
      <c r="F3071" s="1">
        <v>8.4605499999999996</v>
      </c>
      <c r="G3071" s="1">
        <v>14.078900000000001</v>
      </c>
      <c r="H3071" s="1">
        <v>-6.3808999999999996</v>
      </c>
    </row>
    <row r="3072" spans="1:8" x14ac:dyDescent="0.3">
      <c r="A3072">
        <f t="shared" si="125"/>
        <v>19</v>
      </c>
      <c r="B3072">
        <v>2242</v>
      </c>
      <c r="C3072" s="1">
        <v>19.286289830147449</v>
      </c>
      <c r="D3072" s="9">
        <v>18.317444444448359</v>
      </c>
      <c r="E3072" s="1">
        <v>2.7437800000000001</v>
      </c>
      <c r="F3072" s="1">
        <v>8.5910200000000003</v>
      </c>
      <c r="G3072" s="1">
        <v>14.026400000000001</v>
      </c>
      <c r="H3072" s="1">
        <v>-5.9944300000000004</v>
      </c>
    </row>
    <row r="3073" spans="1:8" x14ac:dyDescent="0.3">
      <c r="A3073" t="e">
        <f t="shared" si="125"/>
        <v>#REF!</v>
      </c>
      <c r="B3073">
        <v>2292</v>
      </c>
      <c r="C3073" s="1">
        <v>19.516266443356809</v>
      </c>
      <c r="D3073" s="9">
        <v>18.364666666670669</v>
      </c>
      <c r="E3073" s="1">
        <v>2.8826900000000002</v>
      </c>
      <c r="F3073" s="1">
        <v>8.7119300000000006</v>
      </c>
      <c r="G3073" s="1">
        <v>13.886100000000001</v>
      </c>
      <c r="H3073" s="1">
        <v>-5.1876600000000002</v>
      </c>
    </row>
    <row r="3074" spans="1:8" x14ac:dyDescent="0.3">
      <c r="A3074">
        <f t="shared" si="125"/>
        <v>35</v>
      </c>
      <c r="B3074">
        <v>2342</v>
      </c>
      <c r="C3074" s="1">
        <v>19.90290358095271</v>
      </c>
      <c r="D3074" s="9">
        <v>18.411888888892978</v>
      </c>
      <c r="E3074" s="1">
        <v>2.8868499999999999</v>
      </c>
      <c r="F3074" s="1">
        <v>8.5866399999999992</v>
      </c>
      <c r="G3074" s="1">
        <v>13.8462</v>
      </c>
      <c r="H3074" s="1">
        <v>-4.2092799999999997</v>
      </c>
    </row>
    <row r="3075" spans="1:8" x14ac:dyDescent="0.3">
      <c r="A3075" t="e">
        <f t="shared" si="125"/>
        <v>#REF!</v>
      </c>
      <c r="B3075">
        <v>2392</v>
      </c>
      <c r="C3075" s="1">
        <v>20.38108977187099</v>
      </c>
      <c r="D3075" s="9">
        <v>18.459111111115288</v>
      </c>
      <c r="E3075" s="1">
        <v>2.8319800000000002</v>
      </c>
      <c r="F3075" s="1">
        <v>8.2772699999999997</v>
      </c>
      <c r="G3075" s="1">
        <v>13.8253</v>
      </c>
      <c r="H3075" s="1">
        <v>-3.1498599999999999</v>
      </c>
    </row>
    <row r="3076" spans="1:8" x14ac:dyDescent="0.3">
      <c r="A3076">
        <f t="shared" si="125"/>
        <v>26</v>
      </c>
      <c r="B3076">
        <v>2442</v>
      </c>
      <c r="C3076" s="1">
        <v>20.96817878821663</v>
      </c>
      <c r="D3076" s="9">
        <v>18.506333333337597</v>
      </c>
      <c r="E3076" s="1">
        <v>2.8366799999999999</v>
      </c>
      <c r="F3076" s="1">
        <v>7.95913</v>
      </c>
      <c r="G3076" s="1">
        <v>13.6944</v>
      </c>
      <c r="H3076" s="1">
        <v>-2.03681</v>
      </c>
    </row>
    <row r="3077" spans="1:8" x14ac:dyDescent="0.3">
      <c r="A3077" t="e">
        <f t="shared" si="125"/>
        <v>#REF!</v>
      </c>
      <c r="B3077">
        <v>2492</v>
      </c>
      <c r="C3077" s="1">
        <v>21.47462539263752</v>
      </c>
      <c r="D3077" s="9">
        <v>18.553555555559907</v>
      </c>
      <c r="E3077" s="1">
        <v>2.7191900000000002</v>
      </c>
      <c r="F3077" s="1">
        <v>7.8296900000000003</v>
      </c>
      <c r="G3077" s="1">
        <v>13.622400000000001</v>
      </c>
      <c r="H3077" s="1">
        <v>-0.86395500000000003</v>
      </c>
    </row>
    <row r="3078" spans="1:8" x14ac:dyDescent="0.3">
      <c r="A3078">
        <f t="shared" si="125"/>
        <v>42</v>
      </c>
      <c r="B3078">
        <v>2542</v>
      </c>
      <c r="C3078" s="1">
        <v>21.976336582048969</v>
      </c>
      <c r="D3078" s="9">
        <v>18.600777777782216</v>
      </c>
      <c r="E3078" s="1">
        <v>2.24953</v>
      </c>
      <c r="F3078" s="1">
        <v>8.0287699999999997</v>
      </c>
      <c r="G3078" s="1">
        <v>13.8241</v>
      </c>
      <c r="H3078" s="1">
        <v>0.37752400000000003</v>
      </c>
    </row>
    <row r="3079" spans="1:8" x14ac:dyDescent="0.3">
      <c r="A3079" t="e">
        <f t="shared" si="125"/>
        <v>#REF!</v>
      </c>
      <c r="B3079">
        <v>2592</v>
      </c>
      <c r="C3079" s="1">
        <v>22.352959161118971</v>
      </c>
      <c r="D3079" s="9">
        <v>18.648000000004526</v>
      </c>
      <c r="E3079" s="1">
        <v>1.5559799999999999</v>
      </c>
      <c r="F3079" s="1">
        <v>8.3106500000000008</v>
      </c>
      <c r="G3079" s="1">
        <v>14.152200000000001</v>
      </c>
      <c r="H3079" s="1">
        <v>1.64141</v>
      </c>
    </row>
    <row r="3080" spans="1:8" x14ac:dyDescent="0.3">
      <c r="A3080">
        <f t="shared" si="125"/>
        <v>33</v>
      </c>
      <c r="B3080">
        <v>2642</v>
      </c>
      <c r="C3080" s="1">
        <v>22.65010651397148</v>
      </c>
      <c r="D3080" s="9">
        <v>18.695222222226835</v>
      </c>
      <c r="E3080" s="1">
        <v>0.90390700000000002</v>
      </c>
      <c r="F3080" s="1">
        <v>8.3465299999999996</v>
      </c>
      <c r="G3080" s="1">
        <v>14.348000000000001</v>
      </c>
      <c r="H3080" s="1">
        <v>2.8586399999999998</v>
      </c>
    </row>
    <row r="3081" spans="1:8" x14ac:dyDescent="0.3">
      <c r="A3081" t="e">
        <f t="shared" si="125"/>
        <v>#REF!</v>
      </c>
      <c r="B3081">
        <v>2692</v>
      </c>
      <c r="C3081" s="1">
        <v>23.196738580863279</v>
      </c>
      <c r="D3081" s="9">
        <v>18.742444444449145</v>
      </c>
      <c r="E3081" s="1">
        <v>0.59970000000000001</v>
      </c>
      <c r="F3081" s="1">
        <v>8.1418900000000001</v>
      </c>
      <c r="G3081" s="1">
        <v>14.268800000000001</v>
      </c>
      <c r="H3081" s="1">
        <v>3.9427699999999999</v>
      </c>
    </row>
    <row r="3082" spans="1:8" x14ac:dyDescent="0.3">
      <c r="A3082">
        <f t="shared" si="125"/>
        <v>24</v>
      </c>
      <c r="B3082">
        <v>2742</v>
      </c>
      <c r="C3082" s="1">
        <v>23.593463367889889</v>
      </c>
      <c r="D3082" s="9">
        <v>18.789666666671454</v>
      </c>
      <c r="E3082" s="1">
        <v>0.89245399999999997</v>
      </c>
      <c r="F3082" s="1">
        <v>7.8553499999999996</v>
      </c>
      <c r="G3082" s="1">
        <v>13.863799999999999</v>
      </c>
      <c r="H3082" s="1">
        <v>4.8068999999999997</v>
      </c>
    </row>
    <row r="3083" spans="1:8" x14ac:dyDescent="0.3">
      <c r="A3083" t="e">
        <f t="shared" si="125"/>
        <v>#REF!</v>
      </c>
      <c r="B3083">
        <v>2792</v>
      </c>
      <c r="C3083" s="1">
        <v>23.95364329916768</v>
      </c>
      <c r="D3083" s="9">
        <v>18.836888888893764</v>
      </c>
      <c r="E3083" s="1">
        <v>1.61236</v>
      </c>
      <c r="F3083" s="1">
        <v>7.8308999999999997</v>
      </c>
      <c r="G3083" s="1">
        <v>13.373900000000001</v>
      </c>
      <c r="H3083" s="1">
        <v>5.3976699999999997</v>
      </c>
    </row>
    <row r="3084" spans="1:8" x14ac:dyDescent="0.3">
      <c r="A3084">
        <f t="shared" si="125"/>
        <v>40</v>
      </c>
      <c r="B3084">
        <v>2842</v>
      </c>
      <c r="C3084" s="1">
        <v>24.184501518309752</v>
      </c>
      <c r="D3084" s="9">
        <v>18.884111111116074</v>
      </c>
      <c r="E3084" s="1">
        <v>2.4405899999999998</v>
      </c>
      <c r="F3084" s="1">
        <v>8.4073399999999996</v>
      </c>
      <c r="G3084" s="1">
        <v>13.125500000000001</v>
      </c>
      <c r="H3084" s="1">
        <v>5.7064599999999999</v>
      </c>
    </row>
    <row r="3085" spans="1:8" x14ac:dyDescent="0.3">
      <c r="A3085" t="e">
        <f t="shared" si="125"/>
        <v>#REF!</v>
      </c>
      <c r="B3085">
        <v>2892</v>
      </c>
      <c r="C3085" s="1">
        <v>24.33</v>
      </c>
      <c r="D3085" s="9">
        <v>18.931333333338383</v>
      </c>
      <c r="E3085" s="1">
        <v>3.06907</v>
      </c>
      <c r="F3085" s="1">
        <v>9.5037500000000001</v>
      </c>
      <c r="G3085" s="1">
        <v>13.3368</v>
      </c>
      <c r="H3085" s="1">
        <v>5.9129899999999997</v>
      </c>
    </row>
    <row r="3086" spans="1:8" x14ac:dyDescent="0.3">
      <c r="A3086">
        <f t="shared" si="125"/>
        <v>31</v>
      </c>
      <c r="B3086">
        <v>2942</v>
      </c>
      <c r="C3086" s="1">
        <v>24.186908300661958</v>
      </c>
      <c r="D3086" s="9">
        <v>18.978555555560693</v>
      </c>
      <c r="E3086" s="1">
        <v>3.2820399999999998</v>
      </c>
      <c r="F3086" s="1">
        <v>10.8718</v>
      </c>
      <c r="G3086" s="1">
        <v>14.130599999999999</v>
      </c>
      <c r="H3086" s="1">
        <v>6.2191299999999998</v>
      </c>
    </row>
    <row r="3087" spans="1:8" x14ac:dyDescent="0.3">
      <c r="A3087" t="e">
        <f t="shared" si="125"/>
        <v>#REF!</v>
      </c>
      <c r="B3087">
        <v>2992</v>
      </c>
      <c r="C3087" s="1">
        <v>24.021132113953769</v>
      </c>
      <c r="D3087" s="9">
        <v>19.025777777783002</v>
      </c>
      <c r="E3087" s="1">
        <v>3.3746999999999998</v>
      </c>
      <c r="F3087" s="1">
        <v>12.17</v>
      </c>
      <c r="G3087" s="1">
        <v>15.303800000000001</v>
      </c>
      <c r="H3087" s="1">
        <v>6.5700500000000002</v>
      </c>
    </row>
    <row r="3088" spans="1:8" x14ac:dyDescent="0.3">
      <c r="A3088">
        <f t="shared" si="125"/>
        <v>22</v>
      </c>
      <c r="B3088">
        <v>3042</v>
      </c>
      <c r="C3088" s="1">
        <v>23.872761705375439</v>
      </c>
      <c r="D3088" s="9">
        <v>19.073000000005312</v>
      </c>
      <c r="E3088" s="1">
        <v>3.7643499999999999</v>
      </c>
      <c r="F3088" s="1">
        <v>13.043900000000001</v>
      </c>
      <c r="G3088" s="1">
        <v>16.5349</v>
      </c>
      <c r="H3088" s="1">
        <v>6.8599800000000002</v>
      </c>
    </row>
    <row r="3089" spans="1:8" x14ac:dyDescent="0.3">
      <c r="A3089" t="e">
        <f t="shared" si="125"/>
        <v>#REF!</v>
      </c>
      <c r="B3089">
        <v>3092</v>
      </c>
      <c r="C3089" s="1">
        <v>23.606594090731232</v>
      </c>
      <c r="D3089" s="9">
        <v>19.120222222227621</v>
      </c>
      <c r="E3089" s="1">
        <v>4.5126299999999997</v>
      </c>
      <c r="F3089" s="1">
        <v>13.269399999999999</v>
      </c>
      <c r="G3089" s="1">
        <v>17.495999999999999</v>
      </c>
      <c r="H3089" s="1">
        <v>7.2112100000000003</v>
      </c>
    </row>
    <row r="3090" spans="1:8" x14ac:dyDescent="0.3">
      <c r="A3090">
        <f t="shared" si="125"/>
        <v>38</v>
      </c>
      <c r="B3090">
        <v>3142</v>
      </c>
      <c r="C3090" s="1">
        <v>23.219784506307452</v>
      </c>
      <c r="D3090" s="9">
        <v>19.167444444449931</v>
      </c>
      <c r="E3090" s="1">
        <v>5.52834</v>
      </c>
      <c r="F3090" s="1">
        <v>12.7506</v>
      </c>
      <c r="G3090" s="1">
        <v>17.926300000000001</v>
      </c>
      <c r="H3090" s="1">
        <v>7.79596</v>
      </c>
    </row>
    <row r="3091" spans="1:8" x14ac:dyDescent="0.3">
      <c r="A3091" t="e">
        <f t="shared" si="125"/>
        <v>#REF!</v>
      </c>
      <c r="B3091">
        <v>3192</v>
      </c>
      <c r="C3091" s="1">
        <v>22.83899632878077</v>
      </c>
      <c r="D3091" s="9">
        <v>19.21466666667224</v>
      </c>
      <c r="E3091" s="1">
        <v>6.60541</v>
      </c>
      <c r="F3091" s="1">
        <v>11.752000000000001</v>
      </c>
      <c r="G3091" s="1">
        <v>17.8812</v>
      </c>
      <c r="H3091" s="1">
        <v>8.6482399999999995</v>
      </c>
    </row>
    <row r="3092" spans="1:8" x14ac:dyDescent="0.3">
      <c r="A3092">
        <f t="shared" si="125"/>
        <v>29</v>
      </c>
      <c r="B3092">
        <v>3242</v>
      </c>
      <c r="C3092" s="1">
        <v>22.491779753335329</v>
      </c>
      <c r="D3092" s="9">
        <v>19.26188888889455</v>
      </c>
      <c r="E3092" s="1">
        <v>7.5514599999999996</v>
      </c>
      <c r="F3092" s="1">
        <v>10.6373</v>
      </c>
      <c r="G3092" s="1">
        <v>17.5276</v>
      </c>
      <c r="H3092" s="1">
        <v>9.7445500000000003</v>
      </c>
    </row>
    <row r="3093" spans="1:8" x14ac:dyDescent="0.3">
      <c r="A3093" t="e">
        <f t="shared" ref="A3093:A3099" si="126">A3043</f>
        <v>#REF!</v>
      </c>
      <c r="B3093">
        <v>3292</v>
      </c>
      <c r="C3093" s="1">
        <v>22.071085081779032</v>
      </c>
      <c r="D3093" s="9">
        <v>19.309111111116859</v>
      </c>
      <c r="E3093" s="1">
        <v>8.4743999999999993</v>
      </c>
      <c r="F3093" s="1">
        <v>9.8163499999999999</v>
      </c>
      <c r="G3093" s="1">
        <v>17.114699999999999</v>
      </c>
      <c r="H3093" s="1">
        <v>11.0181</v>
      </c>
    </row>
    <row r="3094" spans="1:8" x14ac:dyDescent="0.3">
      <c r="A3094">
        <f t="shared" si="126"/>
        <v>20</v>
      </c>
      <c r="B3094">
        <v>3342</v>
      </c>
      <c r="C3094" s="1">
        <v>21.737823202814099</v>
      </c>
      <c r="D3094" s="9">
        <v>19.356333333339169</v>
      </c>
      <c r="E3094" s="1">
        <v>9.82376</v>
      </c>
      <c r="F3094" s="1">
        <v>10.337400000000001</v>
      </c>
      <c r="G3094" s="1">
        <v>17.105699999999999</v>
      </c>
      <c r="H3094" s="1">
        <v>12.430899999999999</v>
      </c>
    </row>
    <row r="3095" spans="1:8" x14ac:dyDescent="0.3">
      <c r="A3095" t="e">
        <f t="shared" si="126"/>
        <v>#REF!</v>
      </c>
      <c r="B3095">
        <v>3392</v>
      </c>
      <c r="C3095" s="1">
        <v>21.432053114470229</v>
      </c>
      <c r="D3095" s="9">
        <v>19.403555555561478</v>
      </c>
      <c r="E3095" s="1">
        <v>11.5524</v>
      </c>
      <c r="F3095" s="1">
        <v>11.7989</v>
      </c>
      <c r="G3095" s="1">
        <v>17.3522</v>
      </c>
      <c r="H3095" s="1">
        <v>13.857699999999999</v>
      </c>
    </row>
    <row r="3096" spans="1:8" x14ac:dyDescent="0.3">
      <c r="A3096">
        <f t="shared" si="126"/>
        <v>36</v>
      </c>
      <c r="B3096">
        <v>3442</v>
      </c>
      <c r="C3096" s="1">
        <v>21.026111791381279</v>
      </c>
      <c r="D3096" s="9">
        <v>19.450777777783788</v>
      </c>
      <c r="E3096" s="1">
        <v>13.414899999999999</v>
      </c>
      <c r="F3096" s="1">
        <v>13.5326</v>
      </c>
      <c r="G3096" s="1">
        <v>17.739899999999999</v>
      </c>
      <c r="H3096" s="1">
        <v>15.2593</v>
      </c>
    </row>
    <row r="3097" spans="1:8" x14ac:dyDescent="0.3">
      <c r="A3097" t="e">
        <f t="shared" si="126"/>
        <v>#REF!</v>
      </c>
      <c r="B3097">
        <v>3492</v>
      </c>
      <c r="C3097" s="1">
        <v>20.48985043424916</v>
      </c>
      <c r="D3097" s="9">
        <v>19.498000000006098</v>
      </c>
      <c r="E3097" s="1">
        <v>15.341200000000001</v>
      </c>
      <c r="F3097" s="1">
        <v>15.392899999999999</v>
      </c>
      <c r="G3097" s="1">
        <v>18.243200000000002</v>
      </c>
      <c r="H3097" s="1">
        <v>16.643999999999998</v>
      </c>
    </row>
    <row r="3098" spans="1:8" x14ac:dyDescent="0.3">
      <c r="A3098">
        <f t="shared" si="126"/>
        <v>27</v>
      </c>
      <c r="B3098">
        <v>3542</v>
      </c>
      <c r="C3098" s="1">
        <v>20.108687161542289</v>
      </c>
      <c r="D3098" s="9">
        <v>19.545222222228407</v>
      </c>
      <c r="E3098" s="1">
        <v>17.301500000000001</v>
      </c>
      <c r="F3098" s="1">
        <v>17.319299999999998</v>
      </c>
      <c r="G3098" s="1">
        <v>18.833300000000001</v>
      </c>
      <c r="H3098" s="1">
        <v>18.017299999999999</v>
      </c>
    </row>
    <row r="3099" spans="1:8" x14ac:dyDescent="0.3">
      <c r="A3099" t="e">
        <f t="shared" si="126"/>
        <v>#REF!</v>
      </c>
      <c r="B3099">
        <v>3592</v>
      </c>
      <c r="C3099" s="1">
        <v>19.667023498694501</v>
      </c>
      <c r="D3099" s="9">
        <v>19.592444444450717</v>
      </c>
      <c r="E3099" s="1">
        <v>19.2818</v>
      </c>
      <c r="F3099" s="1">
        <v>19.2834</v>
      </c>
      <c r="G3099" s="1">
        <v>19.489799999999999</v>
      </c>
      <c r="H3099" s="1">
        <v>19.382200000000001</v>
      </c>
    </row>
    <row r="3100" spans="1:8" x14ac:dyDescent="0.3">
      <c r="A3100">
        <v>43</v>
      </c>
      <c r="B3100">
        <v>43</v>
      </c>
      <c r="C3100" s="1">
        <v>16.190000000000001</v>
      </c>
      <c r="D3100" s="9">
        <v>16.240611111111185</v>
      </c>
      <c r="E3100" s="1">
        <v>14.6092</v>
      </c>
      <c r="F3100" s="1">
        <v>14.503500000000001</v>
      </c>
      <c r="G3100" s="1">
        <v>15.6844</v>
      </c>
      <c r="H3100" s="1">
        <v>14.595700000000001</v>
      </c>
    </row>
    <row r="3101" spans="1:8" x14ac:dyDescent="0.3">
      <c r="A3101" t="e">
        <f t="shared" ref="A3101:A3132" si="127">A3051</f>
        <v>#REF!</v>
      </c>
      <c r="B3101">
        <v>93</v>
      </c>
      <c r="C3101" s="1">
        <v>16.23</v>
      </c>
      <c r="D3101" s="9">
        <v>16.287833333333495</v>
      </c>
      <c r="E3101" s="1">
        <v>12.7822</v>
      </c>
      <c r="F3101" s="1">
        <v>12.5601</v>
      </c>
      <c r="G3101" s="1">
        <v>15.138299999999999</v>
      </c>
      <c r="H3101" s="1">
        <v>12.7216</v>
      </c>
    </row>
    <row r="3102" spans="1:8" x14ac:dyDescent="0.3">
      <c r="A3102">
        <f t="shared" si="127"/>
        <v>34</v>
      </c>
      <c r="B3102">
        <v>143</v>
      </c>
      <c r="C3102" s="1">
        <v>16.402657131144821</v>
      </c>
      <c r="D3102" s="9">
        <v>16.335055555555805</v>
      </c>
      <c r="E3102" s="1">
        <v>10.99</v>
      </c>
      <c r="F3102" s="1">
        <v>10.6693</v>
      </c>
      <c r="G3102" s="1">
        <v>14.6632</v>
      </c>
      <c r="H3102" s="1">
        <v>10.837400000000001</v>
      </c>
    </row>
    <row r="3103" spans="1:8" x14ac:dyDescent="0.3">
      <c r="A3103">
        <f t="shared" si="127"/>
        <v>0</v>
      </c>
      <c r="B3103">
        <v>193</v>
      </c>
      <c r="C3103" s="1">
        <v>16.70968956218455</v>
      </c>
      <c r="D3103" s="9">
        <v>16.382277777778114</v>
      </c>
      <c r="E3103" s="1">
        <v>9.2516400000000001</v>
      </c>
      <c r="F3103" s="1">
        <v>8.8752800000000001</v>
      </c>
      <c r="G3103" s="1">
        <v>14.2767</v>
      </c>
      <c r="H3103" s="1">
        <v>8.9436400000000003</v>
      </c>
    </row>
    <row r="3104" spans="1:8" x14ac:dyDescent="0.3">
      <c r="A3104">
        <f t="shared" si="127"/>
        <v>25</v>
      </c>
      <c r="B3104">
        <v>243</v>
      </c>
      <c r="C3104" s="1">
        <v>16.87</v>
      </c>
      <c r="D3104" s="9">
        <v>16.429500000000424</v>
      </c>
      <c r="E3104" s="1">
        <v>7.6035399999999997</v>
      </c>
      <c r="F3104" s="1">
        <v>7.2799500000000004</v>
      </c>
      <c r="G3104" s="1">
        <v>13.989000000000001</v>
      </c>
      <c r="H3104" s="1">
        <v>7.0481600000000002</v>
      </c>
    </row>
    <row r="3105" spans="1:8" x14ac:dyDescent="0.3">
      <c r="A3105" t="e">
        <f t="shared" si="127"/>
        <v>#REF!</v>
      </c>
      <c r="B3105">
        <v>293</v>
      </c>
      <c r="C3105" s="1">
        <v>17.062418451940609</v>
      </c>
      <c r="D3105" s="9">
        <v>16.476722222222733</v>
      </c>
      <c r="E3105" s="1">
        <v>6.1679300000000001</v>
      </c>
      <c r="F3105" s="1">
        <v>6.2433699999999996</v>
      </c>
      <c r="G3105" s="1">
        <v>13.804399999999999</v>
      </c>
      <c r="H3105" s="1">
        <v>5.2588800000000004</v>
      </c>
    </row>
    <row r="3106" spans="1:8" x14ac:dyDescent="0.3">
      <c r="A3106">
        <f t="shared" si="127"/>
        <v>41</v>
      </c>
      <c r="B3106">
        <v>343</v>
      </c>
      <c r="C3106" s="1">
        <v>17.275522425242709</v>
      </c>
      <c r="D3106" s="9">
        <v>16.523944444445043</v>
      </c>
      <c r="E3106" s="1">
        <v>5.2341100000000003</v>
      </c>
      <c r="F3106" s="1">
        <v>6.3479200000000002</v>
      </c>
      <c r="G3106" s="1">
        <v>13.954599999999999</v>
      </c>
      <c r="H3106" s="1">
        <v>3.98264</v>
      </c>
    </row>
    <row r="3107" spans="1:8" x14ac:dyDescent="0.3">
      <c r="A3107" t="e">
        <f t="shared" si="127"/>
        <v>#REF!</v>
      </c>
      <c r="B3107">
        <v>393</v>
      </c>
      <c r="C3107" s="1">
        <v>17.5</v>
      </c>
      <c r="D3107" s="9">
        <v>16.571166666667352</v>
      </c>
      <c r="E3107" s="1">
        <v>4.5991099999999996</v>
      </c>
      <c r="F3107" s="1">
        <v>6.6667500000000004</v>
      </c>
      <c r="G3107" s="1">
        <v>14.0745</v>
      </c>
      <c r="H3107" s="1">
        <v>3.0868000000000002</v>
      </c>
    </row>
    <row r="3108" spans="1:8" x14ac:dyDescent="0.3">
      <c r="A3108">
        <f t="shared" si="127"/>
        <v>32</v>
      </c>
      <c r="B3108">
        <v>443</v>
      </c>
      <c r="C3108" s="1">
        <v>17.78196925332378</v>
      </c>
      <c r="D3108" s="9">
        <v>16.618388888889662</v>
      </c>
      <c r="E3108" s="1">
        <v>4.1902799999999996</v>
      </c>
      <c r="F3108" s="1">
        <v>6.7158300000000004</v>
      </c>
      <c r="G3108" s="1">
        <v>13.9162</v>
      </c>
      <c r="H3108" s="1">
        <v>2.5373899999999998</v>
      </c>
    </row>
    <row r="3109" spans="1:8" x14ac:dyDescent="0.3">
      <c r="A3109" t="e">
        <f t="shared" si="127"/>
        <v>#REF!</v>
      </c>
      <c r="B3109">
        <v>493</v>
      </c>
      <c r="C3109" s="1">
        <v>17.95</v>
      </c>
      <c r="D3109" s="9">
        <v>16.665611111111971</v>
      </c>
      <c r="E3109" s="1">
        <v>3.7585299999999999</v>
      </c>
      <c r="F3109" s="1">
        <v>6.3719099999999997</v>
      </c>
      <c r="G3109" s="1">
        <v>13.5822</v>
      </c>
      <c r="H3109" s="1">
        <v>2.0876299999999999</v>
      </c>
    </row>
    <row r="3110" spans="1:8" x14ac:dyDescent="0.3">
      <c r="A3110">
        <f t="shared" si="127"/>
        <v>23</v>
      </c>
      <c r="B3110">
        <v>543</v>
      </c>
      <c r="C3110" s="1">
        <v>18.127769503742488</v>
      </c>
      <c r="D3110" s="9">
        <v>16.712833333334281</v>
      </c>
      <c r="E3110" s="1">
        <v>3.0275599999999998</v>
      </c>
      <c r="F3110" s="1">
        <v>5.6143299999999998</v>
      </c>
      <c r="G3110" s="1">
        <v>13.249599999999999</v>
      </c>
      <c r="H3110" s="1">
        <v>1.4472700000000001</v>
      </c>
    </row>
    <row r="3111" spans="1:8" x14ac:dyDescent="0.3">
      <c r="A3111" t="e">
        <f t="shared" si="127"/>
        <v>#REF!</v>
      </c>
      <c r="B3111">
        <v>593</v>
      </c>
      <c r="C3111" s="1">
        <v>18.353565587315579</v>
      </c>
      <c r="D3111" s="9">
        <v>16.76005555555659</v>
      </c>
      <c r="E3111" s="1">
        <v>2.1101100000000002</v>
      </c>
      <c r="F3111" s="1">
        <v>4.6105600000000004</v>
      </c>
      <c r="G3111" s="1">
        <v>12.896800000000001</v>
      </c>
      <c r="H3111" s="1">
        <v>0.71065100000000003</v>
      </c>
    </row>
    <row r="3112" spans="1:8" x14ac:dyDescent="0.3">
      <c r="A3112">
        <f t="shared" si="127"/>
        <v>39</v>
      </c>
      <c r="B3112">
        <v>643</v>
      </c>
      <c r="C3112" s="1">
        <v>18.49936538250109</v>
      </c>
      <c r="D3112" s="9">
        <v>16.8072777777789</v>
      </c>
      <c r="E3112" s="1">
        <v>1.26969</v>
      </c>
      <c r="F3112" s="1">
        <v>3.6034899999999999</v>
      </c>
      <c r="G3112" s="1">
        <v>12.466699999999999</v>
      </c>
      <c r="H3112" s="1">
        <v>0.130021</v>
      </c>
    </row>
    <row r="3113" spans="1:8" x14ac:dyDescent="0.3">
      <c r="A3113" t="e">
        <f t="shared" si="127"/>
        <v>#REF!</v>
      </c>
      <c r="B3113">
        <v>693</v>
      </c>
      <c r="C3113" s="1">
        <v>18.657815813917491</v>
      </c>
      <c r="D3113" s="9">
        <v>16.85450000000121</v>
      </c>
      <c r="E3113" s="1">
        <v>0.73692100000000005</v>
      </c>
      <c r="F3113" s="1">
        <v>2.8092899999999998</v>
      </c>
      <c r="G3113" s="1">
        <v>12.1515</v>
      </c>
      <c r="H3113" s="1">
        <v>-7.7643399999999998E-3</v>
      </c>
    </row>
    <row r="3114" spans="1:8" x14ac:dyDescent="0.3">
      <c r="A3114">
        <f t="shared" si="127"/>
        <v>30</v>
      </c>
      <c r="B3114">
        <v>743</v>
      </c>
      <c r="C3114" s="1">
        <v>18.79258460341596</v>
      </c>
      <c r="D3114" s="9">
        <v>16.901722222223519</v>
      </c>
      <c r="E3114" s="1">
        <v>0.67251799999999995</v>
      </c>
      <c r="F3114" s="1">
        <v>2.3765499999999999</v>
      </c>
      <c r="G3114" s="1">
        <v>12.1877</v>
      </c>
      <c r="H3114" s="1">
        <v>0.52157600000000004</v>
      </c>
    </row>
    <row r="3115" spans="1:8" x14ac:dyDescent="0.3">
      <c r="A3115" t="e">
        <f t="shared" si="127"/>
        <v>#REF!</v>
      </c>
      <c r="B3115">
        <v>793</v>
      </c>
      <c r="C3115" s="1">
        <v>19.116567281240869</v>
      </c>
      <c r="D3115" s="9">
        <v>16.948944444445829</v>
      </c>
      <c r="E3115" s="1">
        <v>0.90685800000000005</v>
      </c>
      <c r="F3115" s="1">
        <v>2.1250900000000001</v>
      </c>
      <c r="G3115" s="1">
        <v>12.529199999999999</v>
      </c>
      <c r="H3115" s="1">
        <v>1.50647</v>
      </c>
    </row>
    <row r="3116" spans="1:8" x14ac:dyDescent="0.3">
      <c r="A3116">
        <f t="shared" si="127"/>
        <v>21</v>
      </c>
      <c r="B3116">
        <v>843</v>
      </c>
      <c r="C3116" s="1">
        <v>19.36686064589929</v>
      </c>
      <c r="D3116" s="9">
        <v>16.996166666668138</v>
      </c>
      <c r="E3116" s="1">
        <v>1.1903600000000001</v>
      </c>
      <c r="F3116" s="1">
        <v>1.82243</v>
      </c>
      <c r="G3116" s="1">
        <v>13.005699999999999</v>
      </c>
      <c r="H3116" s="1">
        <v>2.5750999999999999</v>
      </c>
    </row>
    <row r="3117" spans="1:8" x14ac:dyDescent="0.3">
      <c r="A3117" t="e">
        <f t="shared" si="127"/>
        <v>#REF!</v>
      </c>
      <c r="B3117">
        <v>893</v>
      </c>
      <c r="C3117" s="1">
        <v>19.663089938446291</v>
      </c>
      <c r="D3117" s="9">
        <v>17.043388888890448</v>
      </c>
      <c r="E3117" s="1">
        <v>1.5105999999999999</v>
      </c>
      <c r="F3117" s="1">
        <v>1.6316900000000001</v>
      </c>
      <c r="G3117" s="1">
        <v>13.3263</v>
      </c>
      <c r="H3117" s="1">
        <v>3.3455699999999999</v>
      </c>
    </row>
    <row r="3118" spans="1:8" x14ac:dyDescent="0.3">
      <c r="A3118">
        <f t="shared" si="127"/>
        <v>37</v>
      </c>
      <c r="B3118">
        <v>943</v>
      </c>
      <c r="C3118" s="1">
        <v>19.934520142771031</v>
      </c>
      <c r="D3118" s="9">
        <v>17.090611111112757</v>
      </c>
      <c r="E3118" s="1">
        <v>1.9093599999999999</v>
      </c>
      <c r="F3118" s="1">
        <v>1.80758</v>
      </c>
      <c r="G3118" s="1">
        <v>13.232200000000001</v>
      </c>
      <c r="H3118" s="1">
        <v>3.5093700000000001</v>
      </c>
    </row>
    <row r="3119" spans="1:8" x14ac:dyDescent="0.3">
      <c r="A3119" t="e">
        <f t="shared" si="127"/>
        <v>#REF!</v>
      </c>
      <c r="B3119">
        <v>993</v>
      </c>
      <c r="C3119" s="1">
        <v>20.317720002728581</v>
      </c>
      <c r="D3119" s="9">
        <v>17.137833333335067</v>
      </c>
      <c r="E3119" s="1">
        <v>2.23996</v>
      </c>
      <c r="F3119" s="1">
        <v>2.29888</v>
      </c>
      <c r="G3119" s="1">
        <v>12.912100000000001</v>
      </c>
      <c r="H3119" s="1">
        <v>3.2073399999999999</v>
      </c>
    </row>
    <row r="3120" spans="1:8" x14ac:dyDescent="0.3">
      <c r="A3120">
        <f t="shared" si="127"/>
        <v>28</v>
      </c>
      <c r="B3120">
        <v>1043</v>
      </c>
      <c r="C3120" s="1">
        <v>20.738949698943379</v>
      </c>
      <c r="D3120" s="9">
        <v>17.185055555557376</v>
      </c>
      <c r="E3120" s="1">
        <v>2.3351600000000001</v>
      </c>
      <c r="F3120" s="1">
        <v>2.9227500000000002</v>
      </c>
      <c r="G3120" s="1">
        <v>12.683999999999999</v>
      </c>
      <c r="H3120" s="1">
        <v>2.7555499999999999</v>
      </c>
    </row>
    <row r="3121" spans="1:8" x14ac:dyDescent="0.3">
      <c r="A3121" t="e">
        <f t="shared" si="127"/>
        <v>#REF!</v>
      </c>
      <c r="B3121">
        <v>1093</v>
      </c>
      <c r="C3121" s="1">
        <v>21.140638967247959</v>
      </c>
      <c r="D3121" s="9">
        <v>17.232277777779686</v>
      </c>
      <c r="E3121" s="1">
        <v>2.3075800000000002</v>
      </c>
      <c r="F3121" s="1">
        <v>3.37622</v>
      </c>
      <c r="G3121" s="1">
        <v>12.669</v>
      </c>
      <c r="H3121" s="1">
        <v>2.54487</v>
      </c>
    </row>
    <row r="3122" spans="1:8" x14ac:dyDescent="0.3">
      <c r="A3122">
        <f t="shared" si="127"/>
        <v>19</v>
      </c>
      <c r="B3122">
        <v>1143</v>
      </c>
      <c r="C3122" s="1">
        <v>21.479933591515788</v>
      </c>
      <c r="D3122" s="9">
        <v>17.279500000001995</v>
      </c>
      <c r="E3122" s="1">
        <v>2.3236400000000001</v>
      </c>
      <c r="F3122" s="1">
        <v>3.3955600000000001</v>
      </c>
      <c r="G3122" s="1">
        <v>12.878299999999999</v>
      </c>
      <c r="H3122" s="1">
        <v>2.90801</v>
      </c>
    </row>
    <row r="3123" spans="1:8" x14ac:dyDescent="0.3">
      <c r="A3123" t="e">
        <f t="shared" si="127"/>
        <v>#REF!</v>
      </c>
      <c r="B3123">
        <v>1193</v>
      </c>
      <c r="C3123" s="1">
        <v>21.876389983913459</v>
      </c>
      <c r="D3123" s="9">
        <v>17.326722222224305</v>
      </c>
      <c r="E3123" s="1">
        <v>2.2729400000000002</v>
      </c>
      <c r="F3123" s="1">
        <v>3.1963400000000002</v>
      </c>
      <c r="G3123" s="1">
        <v>13.101000000000001</v>
      </c>
      <c r="H3123" s="1">
        <v>3.6861100000000002</v>
      </c>
    </row>
    <row r="3124" spans="1:8" x14ac:dyDescent="0.3">
      <c r="A3124">
        <f t="shared" si="127"/>
        <v>35</v>
      </c>
      <c r="B3124">
        <v>1243</v>
      </c>
      <c r="C3124" s="1">
        <v>22.313160306285191</v>
      </c>
      <c r="D3124" s="9">
        <v>17.373944444446614</v>
      </c>
      <c r="E3124" s="1">
        <v>2.0064099999999998</v>
      </c>
      <c r="F3124" s="1">
        <v>3.12229</v>
      </c>
      <c r="G3124" s="1">
        <v>13.108499999999999</v>
      </c>
      <c r="H3124" s="1">
        <v>4.5570199999999996</v>
      </c>
    </row>
    <row r="3125" spans="1:8" x14ac:dyDescent="0.3">
      <c r="A3125" t="e">
        <f t="shared" si="127"/>
        <v>#REF!</v>
      </c>
      <c r="B3125">
        <v>1293</v>
      </c>
      <c r="C3125" s="1">
        <v>22.750848588159968</v>
      </c>
      <c r="D3125" s="9">
        <v>17.421166666668924</v>
      </c>
      <c r="E3125" s="1">
        <v>1.72949</v>
      </c>
      <c r="F3125" s="1">
        <v>3.26119</v>
      </c>
      <c r="G3125" s="1">
        <v>13.035399999999999</v>
      </c>
      <c r="H3125" s="1">
        <v>5.2739399999999996</v>
      </c>
    </row>
    <row r="3126" spans="1:8" x14ac:dyDescent="0.3">
      <c r="A3126">
        <f t="shared" si="127"/>
        <v>26</v>
      </c>
      <c r="B3126">
        <v>1343</v>
      </c>
      <c r="C3126" s="1">
        <v>23.049428697336811</v>
      </c>
      <c r="D3126" s="9">
        <v>17.468388888891234</v>
      </c>
      <c r="E3126" s="1">
        <v>1.7292099999999999</v>
      </c>
      <c r="F3126" s="1">
        <v>3.59104</v>
      </c>
      <c r="G3126" s="1">
        <v>13.0928</v>
      </c>
      <c r="H3126" s="1">
        <v>5.66866</v>
      </c>
    </row>
    <row r="3127" spans="1:8" x14ac:dyDescent="0.3">
      <c r="A3127" t="e">
        <f t="shared" si="127"/>
        <v>#REF!</v>
      </c>
      <c r="B3127">
        <v>1393</v>
      </c>
      <c r="C3127" s="1">
        <v>23.228823911603872</v>
      </c>
      <c r="D3127" s="9">
        <v>17.515611111113543</v>
      </c>
      <c r="E3127" s="1">
        <v>2.0272700000000001</v>
      </c>
      <c r="F3127" s="1">
        <v>3.9862700000000002</v>
      </c>
      <c r="G3127" s="1">
        <v>13.176600000000001</v>
      </c>
      <c r="H3127" s="1">
        <v>5.8689299999999998</v>
      </c>
    </row>
    <row r="3128" spans="1:8" x14ac:dyDescent="0.3">
      <c r="A3128">
        <f t="shared" si="127"/>
        <v>42</v>
      </c>
      <c r="B3128">
        <v>1443</v>
      </c>
      <c r="C3128" s="1">
        <v>23.26</v>
      </c>
      <c r="D3128" s="9">
        <v>17.562833333335853</v>
      </c>
      <c r="E3128" s="1">
        <v>2.5246300000000002</v>
      </c>
      <c r="F3128" s="1">
        <v>4.3067599999999997</v>
      </c>
      <c r="G3128" s="1">
        <v>13.1212</v>
      </c>
      <c r="H3128" s="1">
        <v>6.05884</v>
      </c>
    </row>
    <row r="3129" spans="1:8" x14ac:dyDescent="0.3">
      <c r="A3129" t="e">
        <f t="shared" si="127"/>
        <v>#REF!</v>
      </c>
      <c r="B3129">
        <v>1493</v>
      </c>
      <c r="C3129" s="1">
        <v>23.146860998617939</v>
      </c>
      <c r="D3129" s="9">
        <v>17.610055555558162</v>
      </c>
      <c r="E3129" s="1">
        <v>2.97485</v>
      </c>
      <c r="F3129" s="1">
        <v>4.5409800000000002</v>
      </c>
      <c r="G3129" s="1">
        <v>13.0534</v>
      </c>
      <c r="H3129" s="1">
        <v>6.1435000000000004</v>
      </c>
    </row>
    <row r="3130" spans="1:8" x14ac:dyDescent="0.3">
      <c r="A3130">
        <f t="shared" si="127"/>
        <v>33</v>
      </c>
      <c r="B3130">
        <v>1543</v>
      </c>
      <c r="C3130" s="1">
        <v>22.89380943199625</v>
      </c>
      <c r="D3130" s="9">
        <v>17.657277777780472</v>
      </c>
      <c r="E3130" s="1">
        <v>3.1621000000000001</v>
      </c>
      <c r="F3130" s="1">
        <v>4.7508100000000004</v>
      </c>
      <c r="G3130" s="1">
        <v>13.1533</v>
      </c>
      <c r="H3130" s="1">
        <v>5.9534700000000003</v>
      </c>
    </row>
    <row r="3131" spans="1:8" x14ac:dyDescent="0.3">
      <c r="A3131" t="e">
        <f t="shared" si="127"/>
        <v>#REF!</v>
      </c>
      <c r="B3131">
        <v>1593</v>
      </c>
      <c r="C3131" s="1">
        <v>22.54783173928158</v>
      </c>
      <c r="D3131" s="9">
        <v>17.704500000002781</v>
      </c>
      <c r="E3131" s="1">
        <v>3.3480400000000001</v>
      </c>
      <c r="F3131" s="1">
        <v>5.1563100000000004</v>
      </c>
      <c r="G3131" s="1">
        <v>13.308299999999999</v>
      </c>
      <c r="H3131" s="1">
        <v>5.4586699999999997</v>
      </c>
    </row>
    <row r="3132" spans="1:8" x14ac:dyDescent="0.3">
      <c r="A3132">
        <f t="shared" si="127"/>
        <v>24</v>
      </c>
      <c r="B3132">
        <v>1643</v>
      </c>
      <c r="C3132" s="1">
        <v>22.137535695189811</v>
      </c>
      <c r="D3132" s="9">
        <v>17.751722222225091</v>
      </c>
      <c r="E3132" s="1">
        <v>3.8869899999999999</v>
      </c>
      <c r="F3132" s="1">
        <v>5.9687200000000002</v>
      </c>
      <c r="G3132" s="1">
        <v>13.347799999999999</v>
      </c>
      <c r="H3132" s="1">
        <v>4.6874099999999999</v>
      </c>
    </row>
    <row r="3133" spans="1:8" x14ac:dyDescent="0.3">
      <c r="A3133" t="e">
        <f t="shared" ref="A3133:A3164" si="128">A3083</f>
        <v>#REF!</v>
      </c>
      <c r="B3133">
        <v>1693</v>
      </c>
      <c r="C3133" s="1">
        <v>21.75927555983645</v>
      </c>
      <c r="D3133" s="9">
        <v>17.7989444444474</v>
      </c>
      <c r="E3133" s="1">
        <v>4.6913600000000004</v>
      </c>
      <c r="F3133" s="1">
        <v>7.0280199999999997</v>
      </c>
      <c r="G3133" s="1">
        <v>13.3645</v>
      </c>
      <c r="H3133" s="1">
        <v>3.7197499999999999</v>
      </c>
    </row>
    <row r="3134" spans="1:8" x14ac:dyDescent="0.3">
      <c r="A3134">
        <f t="shared" si="128"/>
        <v>40</v>
      </c>
      <c r="B3134">
        <v>1743</v>
      </c>
      <c r="C3134" s="1">
        <v>21.29477479521503</v>
      </c>
      <c r="D3134" s="9">
        <v>17.84616666666971</v>
      </c>
      <c r="E3134" s="1">
        <v>5.4956199999999997</v>
      </c>
      <c r="F3134" s="1">
        <v>8.0472400000000004</v>
      </c>
      <c r="G3134" s="1">
        <v>13.4971</v>
      </c>
      <c r="H3134" s="1">
        <v>2.6473599999999999</v>
      </c>
    </row>
    <row r="3135" spans="1:8" x14ac:dyDescent="0.3">
      <c r="A3135" t="e">
        <f t="shared" si="128"/>
        <v>#REF!</v>
      </c>
      <c r="B3135">
        <v>1793</v>
      </c>
      <c r="C3135" s="1">
        <v>20.959777836234931</v>
      </c>
      <c r="D3135" s="9">
        <v>17.893388888892019</v>
      </c>
      <c r="E3135" s="1">
        <v>5.9133399999999998</v>
      </c>
      <c r="F3135" s="1">
        <v>8.7653800000000004</v>
      </c>
      <c r="G3135" s="1">
        <v>13.6157</v>
      </c>
      <c r="H3135" s="1">
        <v>1.52468</v>
      </c>
    </row>
    <row r="3136" spans="1:8" x14ac:dyDescent="0.3">
      <c r="A3136">
        <f t="shared" si="128"/>
        <v>31</v>
      </c>
      <c r="B3136">
        <v>1843</v>
      </c>
      <c r="C3136" s="1">
        <v>20.589951658289031</v>
      </c>
      <c r="D3136" s="9">
        <v>17.940611111114329</v>
      </c>
      <c r="E3136" s="1">
        <v>5.6111599999999999</v>
      </c>
      <c r="F3136" s="1">
        <v>9.0037299999999991</v>
      </c>
      <c r="G3136" s="1">
        <v>13.5505</v>
      </c>
      <c r="H3136" s="1">
        <v>0.38123800000000002</v>
      </c>
    </row>
    <row r="3137" spans="1:8" x14ac:dyDescent="0.3">
      <c r="A3137" t="e">
        <f t="shared" si="128"/>
        <v>#REF!</v>
      </c>
      <c r="B3137">
        <v>1893</v>
      </c>
      <c r="C3137" s="1">
        <v>20.21820362558244</v>
      </c>
      <c r="D3137" s="9">
        <v>17.987833333336638</v>
      </c>
      <c r="E3137" s="1">
        <v>4.7975000000000003</v>
      </c>
      <c r="F3137" s="1">
        <v>8.9965600000000006</v>
      </c>
      <c r="G3137" s="1">
        <v>13.4406</v>
      </c>
      <c r="H3137" s="1">
        <v>-0.82004299999999997</v>
      </c>
    </row>
    <row r="3138" spans="1:8" x14ac:dyDescent="0.3">
      <c r="A3138">
        <f t="shared" si="128"/>
        <v>22</v>
      </c>
      <c r="B3138">
        <v>1943</v>
      </c>
      <c r="C3138" s="1">
        <v>19.83793631552129</v>
      </c>
      <c r="D3138" s="9">
        <v>18.035055555558948</v>
      </c>
      <c r="E3138" s="1">
        <v>3.8614000000000002</v>
      </c>
      <c r="F3138" s="1">
        <v>9.0541599999999995</v>
      </c>
      <c r="G3138" s="1">
        <v>13.4848</v>
      </c>
      <c r="H3138" s="1">
        <v>-2.1163400000000001</v>
      </c>
    </row>
    <row r="3139" spans="1:8" x14ac:dyDescent="0.3">
      <c r="A3139" t="e">
        <f t="shared" si="128"/>
        <v>#REF!</v>
      </c>
      <c r="B3139">
        <v>1993</v>
      </c>
      <c r="C3139" s="1">
        <v>19.561034791543719</v>
      </c>
      <c r="D3139" s="9">
        <v>18.082277777781258</v>
      </c>
      <c r="E3139" s="1">
        <v>3.1365599999999998</v>
      </c>
      <c r="F3139" s="1">
        <v>9.0989799999999992</v>
      </c>
      <c r="G3139" s="1">
        <v>13.6052</v>
      </c>
      <c r="H3139" s="1">
        <v>-3.4148800000000001</v>
      </c>
    </row>
    <row r="3140" spans="1:8" x14ac:dyDescent="0.3">
      <c r="A3140">
        <f t="shared" si="128"/>
        <v>38</v>
      </c>
      <c r="B3140">
        <v>2043</v>
      </c>
      <c r="C3140" s="1">
        <v>19.37</v>
      </c>
      <c r="D3140" s="9">
        <v>18.129500000003567</v>
      </c>
      <c r="E3140" s="1">
        <v>2.85833</v>
      </c>
      <c r="F3140" s="1">
        <v>8.9614399999999996</v>
      </c>
      <c r="G3140" s="1">
        <v>13.6653</v>
      </c>
      <c r="H3140" s="1">
        <v>-4.5851800000000003</v>
      </c>
    </row>
    <row r="3141" spans="1:8" x14ac:dyDescent="0.3">
      <c r="A3141" t="e">
        <f t="shared" si="128"/>
        <v>#REF!</v>
      </c>
      <c r="B3141">
        <v>2093</v>
      </c>
      <c r="C3141" s="1">
        <v>19.216070145396049</v>
      </c>
      <c r="D3141" s="9">
        <v>18.176722222225877</v>
      </c>
      <c r="E3141" s="1">
        <v>2.8198500000000002</v>
      </c>
      <c r="F3141" s="1">
        <v>8.7165800000000004</v>
      </c>
      <c r="G3141" s="1">
        <v>13.738099999999999</v>
      </c>
      <c r="H3141" s="1">
        <v>-5.5387500000000003</v>
      </c>
    </row>
    <row r="3142" spans="1:8" x14ac:dyDescent="0.3">
      <c r="A3142">
        <f t="shared" si="128"/>
        <v>29</v>
      </c>
      <c r="B3142">
        <v>2143</v>
      </c>
      <c r="C3142" s="1">
        <v>19.194191791759831</v>
      </c>
      <c r="D3142" s="9">
        <v>18.223944444448186</v>
      </c>
      <c r="E3142" s="1">
        <v>2.7262499999999998</v>
      </c>
      <c r="F3142" s="1">
        <v>8.5158699999999996</v>
      </c>
      <c r="G3142" s="1">
        <v>13.9255</v>
      </c>
      <c r="H3142" s="1">
        <v>-6.1890499999999999</v>
      </c>
    </row>
    <row r="3143" spans="1:8" x14ac:dyDescent="0.3">
      <c r="A3143" t="e">
        <f t="shared" si="128"/>
        <v>#REF!</v>
      </c>
      <c r="B3143">
        <v>2193</v>
      </c>
      <c r="C3143" s="1">
        <v>19.143934829279079</v>
      </c>
      <c r="D3143" s="9">
        <v>18.271166666670496</v>
      </c>
      <c r="E3143" s="1">
        <v>2.6514000000000002</v>
      </c>
      <c r="F3143" s="1">
        <v>8.4614399999999996</v>
      </c>
      <c r="G3143" s="1">
        <v>14.0802</v>
      </c>
      <c r="H3143" s="1">
        <v>-6.3790199999999997</v>
      </c>
    </row>
    <row r="3144" spans="1:8" x14ac:dyDescent="0.3">
      <c r="A3144">
        <f t="shared" si="128"/>
        <v>20</v>
      </c>
      <c r="B3144">
        <v>2243</v>
      </c>
      <c r="C3144" s="1">
        <v>19.29023436606386</v>
      </c>
      <c r="D3144" s="9">
        <v>18.318388888892805</v>
      </c>
      <c r="E3144" s="1">
        <v>2.7468499999999998</v>
      </c>
      <c r="F3144" s="1">
        <v>8.5944800000000008</v>
      </c>
      <c r="G3144" s="1">
        <v>14.0237</v>
      </c>
      <c r="H3144" s="1">
        <v>-5.98149</v>
      </c>
    </row>
    <row r="3145" spans="1:8" x14ac:dyDescent="0.3">
      <c r="A3145" t="e">
        <f t="shared" si="128"/>
        <v>#REF!</v>
      </c>
      <c r="B3145">
        <v>2293</v>
      </c>
      <c r="C3145" s="1">
        <v>19.520662612673011</v>
      </c>
      <c r="D3145" s="9">
        <v>18.365611111115115</v>
      </c>
      <c r="E3145" s="1">
        <v>2.8843999999999999</v>
      </c>
      <c r="F3145" s="1">
        <v>8.7122799999999998</v>
      </c>
      <c r="G3145" s="1">
        <v>13.884</v>
      </c>
      <c r="H3145" s="1">
        <v>-5.16913</v>
      </c>
    </row>
    <row r="3146" spans="1:8" x14ac:dyDescent="0.3">
      <c r="A3146">
        <f t="shared" si="128"/>
        <v>36</v>
      </c>
      <c r="B3146">
        <v>2343</v>
      </c>
      <c r="C3146" s="1">
        <v>19.911058790908591</v>
      </c>
      <c r="D3146" s="9">
        <v>18.412833333337424</v>
      </c>
      <c r="E3146" s="1">
        <v>2.8857599999999999</v>
      </c>
      <c r="F3146" s="1">
        <v>8.58169</v>
      </c>
      <c r="G3146" s="1">
        <v>13.8462</v>
      </c>
      <c r="H3146" s="1">
        <v>-4.1887800000000004</v>
      </c>
    </row>
    <row r="3147" spans="1:8" x14ac:dyDescent="0.3">
      <c r="A3147" t="e">
        <f t="shared" si="128"/>
        <v>#REF!</v>
      </c>
      <c r="B3147">
        <v>2393</v>
      </c>
      <c r="C3147" s="1">
        <v>20.384994084965669</v>
      </c>
      <c r="D3147" s="9">
        <v>18.460055555559734</v>
      </c>
      <c r="E3147" s="1">
        <v>2.8314499999999998</v>
      </c>
      <c r="F3147" s="1">
        <v>8.2703799999999994</v>
      </c>
      <c r="G3147" s="1">
        <v>13.8239</v>
      </c>
      <c r="H3147" s="1">
        <v>-3.1280800000000002</v>
      </c>
    </row>
    <row r="3148" spans="1:8" x14ac:dyDescent="0.3">
      <c r="A3148">
        <f t="shared" si="128"/>
        <v>27</v>
      </c>
      <c r="B3148">
        <v>2443</v>
      </c>
      <c r="C3148" s="1">
        <v>20.975867281233551</v>
      </c>
      <c r="D3148" s="9">
        <v>18.507277777782043</v>
      </c>
      <c r="E3148" s="1">
        <v>2.83649</v>
      </c>
      <c r="F3148" s="1">
        <v>7.9540100000000002</v>
      </c>
      <c r="G3148" s="1">
        <v>13.6915</v>
      </c>
      <c r="H3148" s="1">
        <v>-2.0139999999999998</v>
      </c>
    </row>
    <row r="3149" spans="1:8" x14ac:dyDescent="0.3">
      <c r="A3149" t="e">
        <f t="shared" si="128"/>
        <v>#REF!</v>
      </c>
      <c r="B3149">
        <v>2493</v>
      </c>
      <c r="C3149" s="1">
        <v>21.485965103928471</v>
      </c>
      <c r="D3149" s="9">
        <v>18.554500000004353</v>
      </c>
      <c r="E3149" s="1">
        <v>2.7135899999999999</v>
      </c>
      <c r="F3149" s="1">
        <v>7.8304400000000003</v>
      </c>
      <c r="G3149" s="1">
        <v>13.6235</v>
      </c>
      <c r="H3149" s="1">
        <v>-0.83976200000000001</v>
      </c>
    </row>
    <row r="3150" spans="1:8" x14ac:dyDescent="0.3">
      <c r="A3150">
        <f t="shared" si="128"/>
        <v>43</v>
      </c>
      <c r="B3150">
        <v>2543</v>
      </c>
      <c r="C3150" s="1">
        <v>21.98389173466305</v>
      </c>
      <c r="D3150" s="9">
        <v>18.601722222226662</v>
      </c>
      <c r="E3150" s="1">
        <v>2.23699</v>
      </c>
      <c r="F3150" s="1">
        <v>8.0348799999999994</v>
      </c>
      <c r="G3150" s="1">
        <v>13.830399999999999</v>
      </c>
      <c r="H3150" s="1">
        <v>0.40280199999999999</v>
      </c>
    </row>
    <row r="3151" spans="1:8" x14ac:dyDescent="0.3">
      <c r="A3151" t="e">
        <f t="shared" si="128"/>
        <v>#REF!</v>
      </c>
      <c r="B3151">
        <v>2593</v>
      </c>
      <c r="C3151" s="1">
        <v>22.360451846384979</v>
      </c>
      <c r="D3151" s="9">
        <v>18.648944444448972</v>
      </c>
      <c r="E3151" s="1">
        <v>1.5416000000000001</v>
      </c>
      <c r="F3151" s="1">
        <v>8.3144899999999993</v>
      </c>
      <c r="G3151" s="1">
        <v>14.158099999999999</v>
      </c>
      <c r="H3151" s="1">
        <v>1.6664600000000001</v>
      </c>
    </row>
    <row r="3152" spans="1:8" x14ac:dyDescent="0.3">
      <c r="A3152">
        <f t="shared" si="128"/>
        <v>34</v>
      </c>
      <c r="B3152">
        <v>2643</v>
      </c>
      <c r="C3152" s="1">
        <v>22.65766069634455</v>
      </c>
      <c r="D3152" s="9">
        <v>18.696166666671282</v>
      </c>
      <c r="E3152" s="1">
        <v>0.89334400000000003</v>
      </c>
      <c r="F3152" s="1">
        <v>8.3443699999999996</v>
      </c>
      <c r="G3152" s="1">
        <v>14.349500000000001</v>
      </c>
      <c r="H3152" s="1">
        <v>2.8819400000000002</v>
      </c>
    </row>
    <row r="3153" spans="1:8" x14ac:dyDescent="0.3">
      <c r="A3153">
        <f t="shared" si="128"/>
        <v>0</v>
      </c>
      <c r="B3153">
        <v>2693</v>
      </c>
      <c r="C3153" s="1">
        <v>23.2</v>
      </c>
      <c r="D3153" s="9">
        <v>18.743388888893591</v>
      </c>
      <c r="E3153" s="1">
        <v>0.59936999999999996</v>
      </c>
      <c r="F3153" s="1">
        <v>8.1362100000000002</v>
      </c>
      <c r="G3153" s="1">
        <v>14.2637</v>
      </c>
      <c r="H3153" s="1">
        <v>3.96245</v>
      </c>
    </row>
    <row r="3154" spans="1:8" x14ac:dyDescent="0.3">
      <c r="A3154">
        <f t="shared" si="128"/>
        <v>25</v>
      </c>
      <c r="B3154">
        <v>2743</v>
      </c>
      <c r="C3154" s="1">
        <v>23.60179073441606</v>
      </c>
      <c r="D3154" s="9">
        <v>18.790611111115901</v>
      </c>
      <c r="E3154" s="1">
        <v>0.90373300000000001</v>
      </c>
      <c r="F3154" s="1">
        <v>7.8509200000000003</v>
      </c>
      <c r="G3154" s="1">
        <v>13.8537</v>
      </c>
      <c r="H3154" s="1">
        <v>4.8215399999999997</v>
      </c>
    </row>
    <row r="3155" spans="1:8" x14ac:dyDescent="0.3">
      <c r="A3155" t="e">
        <f t="shared" si="128"/>
        <v>#REF!</v>
      </c>
      <c r="B3155">
        <v>2793</v>
      </c>
      <c r="C3155" s="1">
        <v>23.957656494554112</v>
      </c>
      <c r="D3155" s="9">
        <v>18.83783333333821</v>
      </c>
      <c r="E3155" s="1">
        <v>1.6289199999999999</v>
      </c>
      <c r="F3155" s="1">
        <v>7.8359100000000002</v>
      </c>
      <c r="G3155" s="1">
        <v>13.365600000000001</v>
      </c>
      <c r="H3155" s="1">
        <v>5.4064100000000002</v>
      </c>
    </row>
    <row r="3156" spans="1:8" x14ac:dyDescent="0.3">
      <c r="A3156">
        <f t="shared" si="128"/>
        <v>41</v>
      </c>
      <c r="B3156">
        <v>2843</v>
      </c>
      <c r="C3156" s="1">
        <v>24.188502334476251</v>
      </c>
      <c r="D3156" s="9">
        <v>18.88505555556052</v>
      </c>
      <c r="E3156" s="1">
        <v>2.4561299999999999</v>
      </c>
      <c r="F3156" s="1">
        <v>8.4249500000000008</v>
      </c>
      <c r="G3156" s="1">
        <v>13.124599999999999</v>
      </c>
      <c r="H3156" s="1">
        <v>5.7107700000000001</v>
      </c>
    </row>
    <row r="3157" spans="1:8" x14ac:dyDescent="0.3">
      <c r="A3157" t="e">
        <f t="shared" si="128"/>
        <v>#REF!</v>
      </c>
      <c r="B3157">
        <v>2893</v>
      </c>
      <c r="C3157" s="1">
        <v>24.33</v>
      </c>
      <c r="D3157" s="9">
        <v>18.932277777782829</v>
      </c>
      <c r="E3157" s="1">
        <v>3.0775100000000002</v>
      </c>
      <c r="F3157" s="1">
        <v>9.5293799999999997</v>
      </c>
      <c r="G3157" s="1">
        <v>13.347</v>
      </c>
      <c r="H3157" s="1">
        <v>5.9177799999999996</v>
      </c>
    </row>
    <row r="3158" spans="1:8" x14ac:dyDescent="0.3">
      <c r="A3158">
        <f t="shared" si="128"/>
        <v>32</v>
      </c>
      <c r="B3158">
        <v>2943</v>
      </c>
      <c r="C3158" s="1">
        <v>24.179436755040079</v>
      </c>
      <c r="D3158" s="9">
        <v>18.979500000005139</v>
      </c>
      <c r="E3158" s="1">
        <v>3.28348</v>
      </c>
      <c r="F3158" s="1">
        <v>10.899699999999999</v>
      </c>
      <c r="G3158" s="1">
        <v>14.151400000000001</v>
      </c>
      <c r="H3158" s="1">
        <v>6.2262000000000004</v>
      </c>
    </row>
    <row r="3159" spans="1:8" x14ac:dyDescent="0.3">
      <c r="A3159" t="e">
        <f t="shared" si="128"/>
        <v>#REF!</v>
      </c>
      <c r="B3159">
        <v>2993</v>
      </c>
      <c r="C3159" s="1">
        <v>24.017051340132952</v>
      </c>
      <c r="D3159" s="9">
        <v>19.026722222227448</v>
      </c>
      <c r="E3159" s="1">
        <v>3.3786100000000001</v>
      </c>
      <c r="F3159" s="1">
        <v>12.1927</v>
      </c>
      <c r="G3159" s="1">
        <v>15.328900000000001</v>
      </c>
      <c r="H3159" s="1">
        <v>6.5765200000000004</v>
      </c>
    </row>
    <row r="3160" spans="1:8" x14ac:dyDescent="0.3">
      <c r="A3160">
        <f t="shared" si="128"/>
        <v>23</v>
      </c>
      <c r="B3160">
        <v>3043</v>
      </c>
      <c r="C3160" s="1">
        <v>23.87</v>
      </c>
      <c r="D3160" s="9">
        <v>19.073944444449758</v>
      </c>
      <c r="E3160" s="1">
        <v>3.77603</v>
      </c>
      <c r="F3160" s="1">
        <v>13.055300000000001</v>
      </c>
      <c r="G3160" s="1">
        <v>16.5579</v>
      </c>
      <c r="H3160" s="1">
        <v>6.8657300000000001</v>
      </c>
    </row>
    <row r="3161" spans="1:8" x14ac:dyDescent="0.3">
      <c r="A3161" t="e">
        <f t="shared" si="128"/>
        <v>#REF!</v>
      </c>
      <c r="B3161">
        <v>3093</v>
      </c>
      <c r="C3161" s="1">
        <v>23.598089098300669</v>
      </c>
      <c r="D3161" s="9">
        <v>19.121166666672067</v>
      </c>
      <c r="E3161" s="1">
        <v>4.53078</v>
      </c>
      <c r="F3161" s="1">
        <v>13.2662</v>
      </c>
      <c r="G3161" s="1">
        <v>17.510200000000001</v>
      </c>
      <c r="H3161" s="1">
        <v>7.2202200000000003</v>
      </c>
    </row>
    <row r="3162" spans="1:8" x14ac:dyDescent="0.3">
      <c r="A3162">
        <f t="shared" si="128"/>
        <v>39</v>
      </c>
      <c r="B3162">
        <v>3143</v>
      </c>
      <c r="C3162" s="1">
        <v>23.211568963321671</v>
      </c>
      <c r="D3162" s="9">
        <v>19.168388888894377</v>
      </c>
      <c r="E3162" s="1">
        <v>5.5500800000000003</v>
      </c>
      <c r="F3162" s="1">
        <v>12.7341</v>
      </c>
      <c r="G3162" s="1">
        <v>17.929500000000001</v>
      </c>
      <c r="H3162" s="1">
        <v>7.8104300000000002</v>
      </c>
    </row>
    <row r="3163" spans="1:8" x14ac:dyDescent="0.3">
      <c r="A3163" t="e">
        <f t="shared" si="128"/>
        <v>#REF!</v>
      </c>
      <c r="B3163">
        <v>3193</v>
      </c>
      <c r="C3163" s="1">
        <v>22.830810778732271</v>
      </c>
      <c r="D3163" s="9">
        <v>19.215611111116687</v>
      </c>
      <c r="E3163" s="1">
        <v>6.6259699999999997</v>
      </c>
      <c r="F3163" s="1">
        <v>11.729699999999999</v>
      </c>
      <c r="G3163" s="1">
        <v>17.8766</v>
      </c>
      <c r="H3163" s="1">
        <v>8.6679200000000005</v>
      </c>
    </row>
    <row r="3164" spans="1:8" x14ac:dyDescent="0.3">
      <c r="A3164">
        <f t="shared" si="128"/>
        <v>30</v>
      </c>
      <c r="B3164">
        <v>3243</v>
      </c>
      <c r="C3164" s="1">
        <v>22.48323577534461</v>
      </c>
      <c r="D3164" s="9">
        <v>19.262833333338996</v>
      </c>
      <c r="E3164" s="1">
        <v>7.5692700000000004</v>
      </c>
      <c r="F3164" s="1">
        <v>10.616199999999999</v>
      </c>
      <c r="G3164" s="1">
        <v>17.518899999999999</v>
      </c>
      <c r="H3164" s="1">
        <v>9.7684999999999995</v>
      </c>
    </row>
    <row r="3165" spans="1:8" x14ac:dyDescent="0.3">
      <c r="A3165" t="e">
        <f t="shared" ref="A3165:A3171" si="129">A3115</f>
        <v>#REF!</v>
      </c>
      <c r="B3165">
        <v>3293</v>
      </c>
      <c r="C3165" s="1">
        <v>22.063649532471491</v>
      </c>
      <c r="D3165" s="9">
        <v>19.310055555561306</v>
      </c>
      <c r="E3165" s="1">
        <v>8.4951600000000003</v>
      </c>
      <c r="F3165" s="1">
        <v>9.8087199999999992</v>
      </c>
      <c r="G3165" s="1">
        <v>17.108799999999999</v>
      </c>
      <c r="H3165" s="1">
        <v>11.045</v>
      </c>
    </row>
    <row r="3166" spans="1:8" x14ac:dyDescent="0.3">
      <c r="A3166">
        <f t="shared" si="129"/>
        <v>21</v>
      </c>
      <c r="B3166">
        <v>3343</v>
      </c>
      <c r="C3166" s="1">
        <v>21.733549022708701</v>
      </c>
      <c r="D3166" s="9">
        <v>19.357277777783615</v>
      </c>
      <c r="E3166" s="1">
        <v>9.8561899999999998</v>
      </c>
      <c r="F3166" s="1">
        <v>10.3622</v>
      </c>
      <c r="G3166" s="1">
        <v>17.109400000000001</v>
      </c>
      <c r="H3166" s="1">
        <v>12.4598</v>
      </c>
    </row>
    <row r="3167" spans="1:8" x14ac:dyDescent="0.3">
      <c r="A3167" t="e">
        <f t="shared" si="129"/>
        <v>#REF!</v>
      </c>
      <c r="B3167">
        <v>3393</v>
      </c>
      <c r="C3167" s="1">
        <v>21.423565663166979</v>
      </c>
      <c r="D3167" s="9">
        <v>19.404500000005925</v>
      </c>
      <c r="E3167" s="1">
        <v>11.588699999999999</v>
      </c>
      <c r="F3167" s="1">
        <v>11.8316</v>
      </c>
      <c r="G3167" s="1">
        <v>17.358599999999999</v>
      </c>
      <c r="H3167" s="1">
        <v>13.885999999999999</v>
      </c>
    </row>
    <row r="3168" spans="1:8" x14ac:dyDescent="0.3">
      <c r="A3168">
        <f t="shared" si="129"/>
        <v>37</v>
      </c>
      <c r="B3168">
        <v>3443</v>
      </c>
      <c r="C3168" s="1">
        <v>21.015354027134819</v>
      </c>
      <c r="D3168" s="9">
        <v>19.451722222228234</v>
      </c>
      <c r="E3168" s="1">
        <v>13.4529</v>
      </c>
      <c r="F3168" s="1">
        <v>13.5688</v>
      </c>
      <c r="G3168" s="1">
        <v>17.748999999999999</v>
      </c>
      <c r="H3168" s="1">
        <v>15.287100000000001</v>
      </c>
    </row>
    <row r="3169" spans="1:8" x14ac:dyDescent="0.3">
      <c r="A3169" t="e">
        <f t="shared" si="129"/>
        <v>#REF!</v>
      </c>
      <c r="B3169">
        <v>3493</v>
      </c>
      <c r="C3169" s="1">
        <v>20.47774311497108</v>
      </c>
      <c r="D3169" s="9">
        <v>19.498944444450544</v>
      </c>
      <c r="E3169" s="1">
        <v>15.380100000000001</v>
      </c>
      <c r="F3169" s="1">
        <v>15.430899999999999</v>
      </c>
      <c r="G3169" s="1">
        <v>18.254200000000001</v>
      </c>
      <c r="H3169" s="1">
        <v>16.671600000000002</v>
      </c>
    </row>
    <row r="3170" spans="1:8" x14ac:dyDescent="0.3">
      <c r="A3170">
        <f t="shared" si="129"/>
        <v>28</v>
      </c>
      <c r="B3170">
        <v>3543</v>
      </c>
      <c r="C3170" s="1">
        <v>20.100945455812269</v>
      </c>
      <c r="D3170" s="9">
        <v>19.546166666672853</v>
      </c>
      <c r="E3170" s="1">
        <v>17.341000000000001</v>
      </c>
      <c r="F3170" s="1">
        <v>17.3583</v>
      </c>
      <c r="G3170" s="1">
        <v>18.845800000000001</v>
      </c>
      <c r="H3170" s="1">
        <v>18.044599999999999</v>
      </c>
    </row>
    <row r="3171" spans="1:8" x14ac:dyDescent="0.3">
      <c r="A3171" t="e">
        <f t="shared" si="129"/>
        <v>#REF!</v>
      </c>
      <c r="B3171">
        <v>3593</v>
      </c>
      <c r="C3171" s="1">
        <v>19.659411352754439</v>
      </c>
      <c r="D3171" s="9">
        <v>19.593388888895163</v>
      </c>
      <c r="E3171" s="1">
        <v>19.3216</v>
      </c>
      <c r="F3171" s="1">
        <v>19.322900000000001</v>
      </c>
      <c r="G3171" s="1">
        <v>19.503499999999999</v>
      </c>
      <c r="H3171" s="1">
        <v>19.409500000000001</v>
      </c>
    </row>
    <row r="3172" spans="1:8" x14ac:dyDescent="0.3">
      <c r="A3172">
        <v>44</v>
      </c>
      <c r="B3172">
        <v>44</v>
      </c>
      <c r="C3172" s="1">
        <v>16.190000000000001</v>
      </c>
      <c r="D3172" s="9">
        <v>16.241555555555632</v>
      </c>
      <c r="E3172" s="1">
        <v>14.5724</v>
      </c>
      <c r="F3172" s="1">
        <v>14.4643</v>
      </c>
      <c r="G3172" s="1">
        <v>15.6729</v>
      </c>
      <c r="H3172" s="1">
        <v>14.558299999999999</v>
      </c>
    </row>
    <row r="3173" spans="1:8" x14ac:dyDescent="0.3">
      <c r="A3173" t="e">
        <f t="shared" ref="A3173:A3204" si="130">A3123</f>
        <v>#REF!</v>
      </c>
      <c r="B3173">
        <v>94</v>
      </c>
      <c r="C3173" s="1">
        <v>16.23</v>
      </c>
      <c r="D3173" s="9">
        <v>16.288777777777941</v>
      </c>
      <c r="E3173" s="1">
        <v>12.745900000000001</v>
      </c>
      <c r="F3173" s="1">
        <v>12.521699999999999</v>
      </c>
      <c r="G3173" s="1">
        <v>15.1281</v>
      </c>
      <c r="H3173" s="1">
        <v>12.683999999999999</v>
      </c>
    </row>
    <row r="3174" spans="1:8" x14ac:dyDescent="0.3">
      <c r="A3174">
        <f t="shared" si="130"/>
        <v>35</v>
      </c>
      <c r="B3174">
        <v>144</v>
      </c>
      <c r="C3174" s="1">
        <v>16.406350206996901</v>
      </c>
      <c r="D3174" s="9">
        <v>16.336000000000251</v>
      </c>
      <c r="E3174" s="1">
        <v>10.954599999999999</v>
      </c>
      <c r="F3174" s="1">
        <v>10.632300000000001</v>
      </c>
      <c r="G3174" s="1">
        <v>14.6546</v>
      </c>
      <c r="H3174" s="1">
        <v>10.7996</v>
      </c>
    </row>
    <row r="3175" spans="1:8" x14ac:dyDescent="0.3">
      <c r="A3175" t="e">
        <f t="shared" si="130"/>
        <v>#REF!</v>
      </c>
      <c r="B3175">
        <v>194</v>
      </c>
      <c r="C3175" s="1">
        <v>16.716971155305909</v>
      </c>
      <c r="D3175" s="9">
        <v>16.38322222222256</v>
      </c>
      <c r="E3175" s="1">
        <v>9.2176299999999998</v>
      </c>
      <c r="F3175" s="1">
        <v>8.8409200000000006</v>
      </c>
      <c r="G3175" s="1">
        <v>14.2699</v>
      </c>
      <c r="H3175" s="1">
        <v>8.9056999999999995</v>
      </c>
    </row>
    <row r="3176" spans="1:8" x14ac:dyDescent="0.3">
      <c r="A3176">
        <f t="shared" si="130"/>
        <v>26</v>
      </c>
      <c r="B3176">
        <v>244</v>
      </c>
      <c r="C3176" s="1">
        <v>16.87</v>
      </c>
      <c r="D3176" s="9">
        <v>16.43044444444487</v>
      </c>
      <c r="E3176" s="1">
        <v>7.5719000000000003</v>
      </c>
      <c r="F3176" s="1">
        <v>7.2513899999999998</v>
      </c>
      <c r="G3176" s="1">
        <v>13.9841</v>
      </c>
      <c r="H3176" s="1">
        <v>7.0103999999999997</v>
      </c>
    </row>
    <row r="3177" spans="1:8" x14ac:dyDescent="0.3">
      <c r="A3177" t="e">
        <f t="shared" si="130"/>
        <v>#REF!</v>
      </c>
      <c r="B3177">
        <v>294</v>
      </c>
      <c r="C3177" s="1">
        <v>17.066231781816519</v>
      </c>
      <c r="D3177" s="9">
        <v>16.477666666667179</v>
      </c>
      <c r="E3177" s="1">
        <v>6.1446899999999998</v>
      </c>
      <c r="F3177" s="1">
        <v>6.2361700000000004</v>
      </c>
      <c r="G3177" s="1">
        <v>13.8043</v>
      </c>
      <c r="H3177" s="1">
        <v>5.2282200000000003</v>
      </c>
    </row>
    <row r="3178" spans="1:8" x14ac:dyDescent="0.3">
      <c r="A3178">
        <f t="shared" si="130"/>
        <v>42</v>
      </c>
      <c r="B3178">
        <v>344</v>
      </c>
      <c r="C3178" s="1">
        <v>17.279415020747539</v>
      </c>
      <c r="D3178" s="9">
        <v>16.524888888889489</v>
      </c>
      <c r="E3178" s="1">
        <v>5.2188800000000004</v>
      </c>
      <c r="F3178" s="1">
        <v>6.3546399999999998</v>
      </c>
      <c r="G3178" s="1">
        <v>13.958600000000001</v>
      </c>
      <c r="H3178" s="1">
        <v>3.9612799999999999</v>
      </c>
    </row>
    <row r="3179" spans="1:8" x14ac:dyDescent="0.3">
      <c r="A3179" t="e">
        <f t="shared" si="130"/>
        <v>#REF!</v>
      </c>
      <c r="B3179">
        <v>394</v>
      </c>
      <c r="C3179" s="1">
        <v>17.5</v>
      </c>
      <c r="D3179" s="9">
        <v>16.572111111111798</v>
      </c>
      <c r="E3179" s="1">
        <v>4.58908</v>
      </c>
      <c r="F3179" s="1">
        <v>6.6712499999999997</v>
      </c>
      <c r="G3179" s="1">
        <v>14.074299999999999</v>
      </c>
      <c r="H3179" s="1">
        <v>3.0726800000000001</v>
      </c>
    </row>
    <row r="3180" spans="1:8" x14ac:dyDescent="0.3">
      <c r="A3180">
        <f t="shared" si="130"/>
        <v>33</v>
      </c>
      <c r="B3180">
        <v>444</v>
      </c>
      <c r="C3180" s="1">
        <v>17.790024447514369</v>
      </c>
      <c r="D3180" s="9">
        <v>16.619333333334108</v>
      </c>
      <c r="E3180" s="1">
        <v>4.1829700000000001</v>
      </c>
      <c r="F3180" s="1">
        <v>6.7129700000000003</v>
      </c>
      <c r="G3180" s="1">
        <v>13.910500000000001</v>
      </c>
      <c r="H3180" s="1">
        <v>2.5285600000000001</v>
      </c>
    </row>
    <row r="3181" spans="1:8" x14ac:dyDescent="0.3">
      <c r="A3181" t="e">
        <f t="shared" si="130"/>
        <v>#REF!</v>
      </c>
      <c r="B3181">
        <v>494</v>
      </c>
      <c r="C3181" s="1">
        <v>17.950857972423211</v>
      </c>
      <c r="D3181" s="9">
        <v>16.666555555556418</v>
      </c>
      <c r="E3181" s="1">
        <v>3.7473399999999999</v>
      </c>
      <c r="F3181" s="1">
        <v>6.3606699999999998</v>
      </c>
      <c r="G3181" s="1">
        <v>13.575200000000001</v>
      </c>
      <c r="H3181" s="1">
        <v>2.0772400000000002</v>
      </c>
    </row>
    <row r="3182" spans="1:8" x14ac:dyDescent="0.3">
      <c r="A3182">
        <f t="shared" si="130"/>
        <v>24</v>
      </c>
      <c r="B3182">
        <v>544</v>
      </c>
      <c r="C3182" s="1">
        <v>18.132030022966759</v>
      </c>
      <c r="D3182" s="9">
        <v>16.713777777778727</v>
      </c>
      <c r="E3182" s="1">
        <v>3.0101599999999999</v>
      </c>
      <c r="F3182" s="1">
        <v>5.5958600000000001</v>
      </c>
      <c r="G3182" s="1">
        <v>13.2431</v>
      </c>
      <c r="H3182" s="1">
        <v>1.43268</v>
      </c>
    </row>
    <row r="3183" spans="1:8" x14ac:dyDescent="0.3">
      <c r="A3183" t="e">
        <f t="shared" si="130"/>
        <v>#REF!</v>
      </c>
      <c r="B3183">
        <v>594</v>
      </c>
      <c r="C3183" s="1">
        <v>18.362039948136921</v>
      </c>
      <c r="D3183" s="9">
        <v>16.761000000001037</v>
      </c>
      <c r="E3183" s="1">
        <v>2.0916999999999999</v>
      </c>
      <c r="F3183" s="1">
        <v>4.5896699999999999</v>
      </c>
      <c r="G3183" s="1">
        <v>12.8889</v>
      </c>
      <c r="H3183" s="1">
        <v>0.69662400000000002</v>
      </c>
    </row>
    <row r="3184" spans="1:8" x14ac:dyDescent="0.3">
      <c r="A3184">
        <f t="shared" si="130"/>
        <v>40</v>
      </c>
      <c r="B3184">
        <v>644</v>
      </c>
      <c r="C3184" s="1">
        <v>18.5</v>
      </c>
      <c r="D3184" s="9">
        <v>16.808222222223346</v>
      </c>
      <c r="E3184" s="1">
        <v>1.2553000000000001</v>
      </c>
      <c r="F3184" s="1">
        <v>3.5848399999999998</v>
      </c>
      <c r="G3184" s="1">
        <v>12.458299999999999</v>
      </c>
      <c r="H3184" s="1">
        <v>0.121931</v>
      </c>
    </row>
    <row r="3185" spans="1:8" x14ac:dyDescent="0.3">
      <c r="A3185" t="e">
        <f t="shared" si="130"/>
        <v>#REF!</v>
      </c>
      <c r="B3185">
        <v>694</v>
      </c>
      <c r="C3185" s="1">
        <v>18.663373091917052</v>
      </c>
      <c r="D3185" s="9">
        <v>16.855444444445656</v>
      </c>
      <c r="E3185" s="1">
        <v>0.73089199999999999</v>
      </c>
      <c r="F3185" s="1">
        <v>2.79698</v>
      </c>
      <c r="G3185" s="1">
        <v>12.148300000000001</v>
      </c>
      <c r="H3185" s="1">
        <v>-3.9540699999999996E-3</v>
      </c>
    </row>
    <row r="3186" spans="1:8" x14ac:dyDescent="0.3">
      <c r="A3186">
        <f t="shared" si="130"/>
        <v>31</v>
      </c>
      <c r="B3186">
        <v>744</v>
      </c>
      <c r="C3186" s="1">
        <v>18.79651370667673</v>
      </c>
      <c r="D3186" s="9">
        <v>16.902666666667965</v>
      </c>
      <c r="E3186" s="1">
        <v>0.67524300000000004</v>
      </c>
      <c r="F3186" s="1">
        <v>2.3707400000000001</v>
      </c>
      <c r="G3186" s="1">
        <v>12.1921</v>
      </c>
      <c r="H3186" s="1">
        <v>0.53804200000000002</v>
      </c>
    </row>
    <row r="3187" spans="1:8" x14ac:dyDescent="0.3">
      <c r="A3187" t="e">
        <f t="shared" si="130"/>
        <v>#REF!</v>
      </c>
      <c r="B3187">
        <v>794</v>
      </c>
      <c r="C3187" s="1">
        <v>19.125514733708659</v>
      </c>
      <c r="D3187" s="9">
        <v>16.949888888890275</v>
      </c>
      <c r="E3187" s="1">
        <v>0.91259999999999997</v>
      </c>
      <c r="F3187" s="1">
        <v>2.11985</v>
      </c>
      <c r="G3187" s="1">
        <v>12.5381</v>
      </c>
      <c r="H3187" s="1">
        <v>1.52827</v>
      </c>
    </row>
    <row r="3188" spans="1:8" x14ac:dyDescent="0.3">
      <c r="A3188">
        <f t="shared" si="130"/>
        <v>22</v>
      </c>
      <c r="B3188">
        <v>844</v>
      </c>
      <c r="C3188" s="1">
        <v>19.371777430389091</v>
      </c>
      <c r="D3188" s="9">
        <v>16.997111111112584</v>
      </c>
      <c r="E3188" s="1">
        <v>1.1961599999999999</v>
      </c>
      <c r="F3188" s="1">
        <v>1.8165</v>
      </c>
      <c r="G3188" s="1">
        <v>13.014799999999999</v>
      </c>
      <c r="H3188" s="1">
        <v>2.5947200000000001</v>
      </c>
    </row>
    <row r="3189" spans="1:8" x14ac:dyDescent="0.3">
      <c r="A3189" t="e">
        <f t="shared" si="130"/>
        <v>#REF!</v>
      </c>
      <c r="B3189">
        <v>894</v>
      </c>
      <c r="C3189" s="1">
        <v>19.671424904043722</v>
      </c>
      <c r="D3189" s="9">
        <v>17.044333333334894</v>
      </c>
      <c r="E3189" s="1">
        <v>1.51789</v>
      </c>
      <c r="F3189" s="1">
        <v>1.63113</v>
      </c>
      <c r="G3189" s="1">
        <v>13.328900000000001</v>
      </c>
      <c r="H3189" s="1">
        <v>3.3552900000000001</v>
      </c>
    </row>
    <row r="3190" spans="1:8" x14ac:dyDescent="0.3">
      <c r="A3190">
        <f t="shared" si="130"/>
        <v>38</v>
      </c>
      <c r="B3190">
        <v>944</v>
      </c>
      <c r="C3190" s="1">
        <v>19.938857051162511</v>
      </c>
      <c r="D3190" s="9">
        <v>17.091555555557203</v>
      </c>
      <c r="E3190" s="1">
        <v>1.91736</v>
      </c>
      <c r="F3190" s="1">
        <v>1.8148500000000001</v>
      </c>
      <c r="G3190" s="1">
        <v>13.226800000000001</v>
      </c>
      <c r="H3190" s="1">
        <v>3.5068899999999998</v>
      </c>
    </row>
    <row r="3191" spans="1:8" x14ac:dyDescent="0.3">
      <c r="A3191" t="e">
        <f t="shared" si="130"/>
        <v>#REF!</v>
      </c>
      <c r="B3191">
        <v>994</v>
      </c>
      <c r="C3191" s="1">
        <v>20.324557431737698</v>
      </c>
      <c r="D3191" s="9">
        <v>17.138777777779513</v>
      </c>
      <c r="E3191" s="1">
        <v>2.2444000000000002</v>
      </c>
      <c r="F3191" s="1">
        <v>2.31081</v>
      </c>
      <c r="G3191" s="1">
        <v>12.905799999999999</v>
      </c>
      <c r="H3191" s="1">
        <v>3.1986300000000001</v>
      </c>
    </row>
    <row r="3192" spans="1:8" x14ac:dyDescent="0.3">
      <c r="A3192">
        <f t="shared" si="130"/>
        <v>29</v>
      </c>
      <c r="B3192">
        <v>1044</v>
      </c>
      <c r="C3192" s="1">
        <v>20.747266758455339</v>
      </c>
      <c r="D3192" s="9">
        <v>17.186000000001822</v>
      </c>
      <c r="E3192" s="1">
        <v>2.3351000000000002</v>
      </c>
      <c r="F3192" s="1">
        <v>2.93465</v>
      </c>
      <c r="G3192" s="1">
        <v>12.6815</v>
      </c>
      <c r="H3192" s="1">
        <v>2.7475900000000002</v>
      </c>
    </row>
    <row r="3193" spans="1:8" x14ac:dyDescent="0.3">
      <c r="A3193" t="e">
        <f t="shared" si="130"/>
        <v>#REF!</v>
      </c>
      <c r="B3193">
        <v>1094</v>
      </c>
      <c r="C3193" s="1">
        <v>21.145218392804811</v>
      </c>
      <c r="D3193" s="9">
        <v>17.233222222224132</v>
      </c>
      <c r="E3193" s="1">
        <v>2.3072499999999998</v>
      </c>
      <c r="F3193" s="1">
        <v>3.3811800000000001</v>
      </c>
      <c r="G3193" s="1">
        <v>12.671200000000001</v>
      </c>
      <c r="H3193" s="1">
        <v>2.5459800000000001</v>
      </c>
    </row>
    <row r="3194" spans="1:8" x14ac:dyDescent="0.3">
      <c r="A3194">
        <f t="shared" si="130"/>
        <v>20</v>
      </c>
      <c r="B3194">
        <v>1144</v>
      </c>
      <c r="C3194" s="1">
        <v>21.488665805088271</v>
      </c>
      <c r="D3194" s="9">
        <v>17.280444444446442</v>
      </c>
      <c r="E3194" s="1">
        <v>2.3239800000000002</v>
      </c>
      <c r="F3194" s="1">
        <v>3.3924300000000001</v>
      </c>
      <c r="G3194" s="1">
        <v>12.883599999999999</v>
      </c>
      <c r="H3194" s="1">
        <v>2.92062</v>
      </c>
    </row>
    <row r="3195" spans="1:8" x14ac:dyDescent="0.3">
      <c r="A3195" t="e">
        <f t="shared" si="130"/>
        <v>#REF!</v>
      </c>
      <c r="B3195">
        <v>1194</v>
      </c>
      <c r="C3195" s="1">
        <v>21.8852287471937</v>
      </c>
      <c r="D3195" s="9">
        <v>17.327666666668751</v>
      </c>
      <c r="E3195" s="1">
        <v>2.2698</v>
      </c>
      <c r="F3195" s="1">
        <v>3.19279</v>
      </c>
      <c r="G3195" s="1">
        <v>13.1036</v>
      </c>
      <c r="H3195" s="1">
        <v>3.7035999999999998</v>
      </c>
    </row>
    <row r="3196" spans="1:8" x14ac:dyDescent="0.3">
      <c r="A3196">
        <f t="shared" si="130"/>
        <v>36</v>
      </c>
      <c r="B3196">
        <v>1244</v>
      </c>
      <c r="C3196" s="1">
        <v>22.31756601961424</v>
      </c>
      <c r="D3196" s="9">
        <v>17.374888888891061</v>
      </c>
      <c r="E3196" s="1">
        <v>1.99986</v>
      </c>
      <c r="F3196" s="1">
        <v>3.1229900000000002</v>
      </c>
      <c r="G3196" s="1">
        <v>13.1069</v>
      </c>
      <c r="H3196" s="1">
        <v>4.5735999999999999</v>
      </c>
    </row>
    <row r="3197" spans="1:8" x14ac:dyDescent="0.3">
      <c r="A3197" t="e">
        <f t="shared" si="130"/>
        <v>#REF!</v>
      </c>
      <c r="B3197">
        <v>1294</v>
      </c>
      <c r="C3197" s="1">
        <v>22.759329381283742</v>
      </c>
      <c r="D3197" s="9">
        <v>17.42211111111337</v>
      </c>
      <c r="E3197" s="1">
        <v>1.7261299999999999</v>
      </c>
      <c r="F3197" s="1">
        <v>3.2661199999999999</v>
      </c>
      <c r="G3197" s="1">
        <v>13.035</v>
      </c>
      <c r="H3197" s="1">
        <v>5.2851999999999997</v>
      </c>
    </row>
    <row r="3198" spans="1:8" x14ac:dyDescent="0.3">
      <c r="A3198">
        <f t="shared" si="130"/>
        <v>27</v>
      </c>
      <c r="B3198">
        <v>1344</v>
      </c>
      <c r="C3198" s="1">
        <v>23.053595521541951</v>
      </c>
      <c r="D3198" s="9">
        <v>17.46933333333568</v>
      </c>
      <c r="E3198" s="1">
        <v>1.7324900000000001</v>
      </c>
      <c r="F3198" s="1">
        <v>3.5988500000000001</v>
      </c>
      <c r="G3198" s="1">
        <v>13.094900000000001</v>
      </c>
      <c r="H3198" s="1">
        <v>5.6738</v>
      </c>
    </row>
    <row r="3199" spans="1:8" x14ac:dyDescent="0.3">
      <c r="A3199" t="e">
        <f t="shared" si="130"/>
        <v>#REF!</v>
      </c>
      <c r="B3199">
        <v>1394</v>
      </c>
      <c r="C3199" s="1">
        <v>23.23</v>
      </c>
      <c r="D3199" s="9">
        <v>17.516555555557989</v>
      </c>
      <c r="E3199" s="1">
        <v>2.0357699999999999</v>
      </c>
      <c r="F3199" s="1">
        <v>3.9937200000000002</v>
      </c>
      <c r="G3199" s="1">
        <v>13.177099999999999</v>
      </c>
      <c r="H3199" s="1">
        <v>5.8725500000000004</v>
      </c>
    </row>
    <row r="3200" spans="1:8" x14ac:dyDescent="0.3">
      <c r="A3200">
        <f t="shared" si="130"/>
        <v>43</v>
      </c>
      <c r="B3200">
        <v>1444</v>
      </c>
      <c r="C3200" s="1">
        <v>23.26</v>
      </c>
      <c r="D3200" s="9">
        <v>17.563777777780299</v>
      </c>
      <c r="E3200" s="1">
        <v>2.5350899999999998</v>
      </c>
      <c r="F3200" s="1">
        <v>4.3121799999999997</v>
      </c>
      <c r="G3200" s="1">
        <v>13.119199999999999</v>
      </c>
      <c r="H3200" s="1">
        <v>6.0622100000000003</v>
      </c>
    </row>
    <row r="3201" spans="1:8" x14ac:dyDescent="0.3">
      <c r="A3201" t="e">
        <f t="shared" si="130"/>
        <v>#REF!</v>
      </c>
      <c r="B3201">
        <v>1494</v>
      </c>
      <c r="C3201" s="1">
        <v>23.142843385401601</v>
      </c>
      <c r="D3201" s="9">
        <v>17.611000000002608</v>
      </c>
      <c r="E3201" s="1">
        <v>2.9813200000000002</v>
      </c>
      <c r="F3201" s="1">
        <v>4.5450200000000001</v>
      </c>
      <c r="G3201" s="1">
        <v>13.0535</v>
      </c>
      <c r="H3201" s="1">
        <v>6.1427800000000001</v>
      </c>
    </row>
    <row r="3202" spans="1:8" x14ac:dyDescent="0.3">
      <c r="A3202">
        <f t="shared" si="130"/>
        <v>34</v>
      </c>
      <c r="B3202">
        <v>1544</v>
      </c>
      <c r="C3202" s="1">
        <v>22.889707105932551</v>
      </c>
      <c r="D3202" s="9">
        <v>17.658222222224918</v>
      </c>
      <c r="E3202" s="1">
        <v>3.16439</v>
      </c>
      <c r="F3202" s="1">
        <v>4.7560900000000004</v>
      </c>
      <c r="G3202" s="1">
        <v>13.156599999999999</v>
      </c>
      <c r="H3202" s="1">
        <v>5.9465000000000003</v>
      </c>
    </row>
    <row r="3203" spans="1:8" x14ac:dyDescent="0.3">
      <c r="A3203">
        <f t="shared" si="130"/>
        <v>0</v>
      </c>
      <c r="B3203">
        <v>1594</v>
      </c>
      <c r="C3203" s="1">
        <v>22.53974694596932</v>
      </c>
      <c r="D3203" s="9">
        <v>17.705444444447227</v>
      </c>
      <c r="E3203" s="1">
        <v>3.3547099999999999</v>
      </c>
      <c r="F3203" s="1">
        <v>5.16831</v>
      </c>
      <c r="G3203" s="1">
        <v>13.310499999999999</v>
      </c>
      <c r="H3203" s="1">
        <v>5.4457899999999997</v>
      </c>
    </row>
    <row r="3204" spans="1:8" x14ac:dyDescent="0.3">
      <c r="A3204">
        <f t="shared" si="130"/>
        <v>25</v>
      </c>
      <c r="B3204">
        <v>1644</v>
      </c>
      <c r="C3204" s="1">
        <v>22.129614432540539</v>
      </c>
      <c r="D3204" s="9">
        <v>17.752666666669537</v>
      </c>
      <c r="E3204" s="1">
        <v>3.9012899999999999</v>
      </c>
      <c r="F3204" s="1">
        <v>5.9884599999999999</v>
      </c>
      <c r="G3204" s="1">
        <v>13.3477</v>
      </c>
      <c r="H3204" s="1">
        <v>4.6696600000000004</v>
      </c>
    </row>
    <row r="3205" spans="1:8" x14ac:dyDescent="0.3">
      <c r="A3205" t="e">
        <f t="shared" ref="A3205:A3236" si="131">A3155</f>
        <v>#REF!</v>
      </c>
      <c r="B3205">
        <v>1694</v>
      </c>
      <c r="C3205" s="1">
        <v>21.75128217835632</v>
      </c>
      <c r="D3205" s="9">
        <v>17.799888888891847</v>
      </c>
      <c r="E3205" s="1">
        <v>4.7084799999999998</v>
      </c>
      <c r="F3205" s="1">
        <v>7.0497300000000003</v>
      </c>
      <c r="G3205" s="1">
        <v>13.3659</v>
      </c>
      <c r="H3205" s="1">
        <v>3.6990699999999999</v>
      </c>
    </row>
    <row r="3206" spans="1:8" x14ac:dyDescent="0.3">
      <c r="A3206">
        <f t="shared" si="131"/>
        <v>41</v>
      </c>
      <c r="B3206">
        <v>1744</v>
      </c>
      <c r="C3206" s="1">
        <v>21.288473620304721</v>
      </c>
      <c r="D3206" s="9">
        <v>17.847111111114156</v>
      </c>
      <c r="E3206" s="1">
        <v>5.5091900000000003</v>
      </c>
      <c r="F3206" s="1">
        <v>8.0653900000000007</v>
      </c>
      <c r="G3206" s="1">
        <v>13.500299999999999</v>
      </c>
      <c r="H3206" s="1">
        <v>2.6252599999999999</v>
      </c>
    </row>
    <row r="3207" spans="1:8" x14ac:dyDescent="0.3">
      <c r="A3207" t="e">
        <f t="shared" si="131"/>
        <v>#REF!</v>
      </c>
      <c r="B3207">
        <v>1794</v>
      </c>
      <c r="C3207" s="1">
        <v>20.951806405841459</v>
      </c>
      <c r="D3207" s="9">
        <v>17.894333333336466</v>
      </c>
      <c r="E3207" s="1">
        <v>5.9148100000000001</v>
      </c>
      <c r="F3207" s="1">
        <v>8.7749400000000009</v>
      </c>
      <c r="G3207" s="1">
        <v>13.616400000000001</v>
      </c>
      <c r="H3207" s="1">
        <v>1.502</v>
      </c>
    </row>
    <row r="3208" spans="1:8" x14ac:dyDescent="0.3">
      <c r="A3208">
        <f t="shared" si="131"/>
        <v>32</v>
      </c>
      <c r="B3208">
        <v>1844</v>
      </c>
      <c r="C3208" s="1">
        <v>20.581934790799838</v>
      </c>
      <c r="D3208" s="9">
        <v>17.941555555558775</v>
      </c>
      <c r="E3208" s="1">
        <v>5.5985699999999996</v>
      </c>
      <c r="F3208" s="1">
        <v>9.0047300000000003</v>
      </c>
      <c r="G3208" s="1">
        <v>13.5479</v>
      </c>
      <c r="H3208" s="1">
        <v>0.35798000000000002</v>
      </c>
    </row>
    <row r="3209" spans="1:8" x14ac:dyDescent="0.3">
      <c r="A3209" t="e">
        <f t="shared" si="131"/>
        <v>#REF!</v>
      </c>
      <c r="B3209">
        <v>1894</v>
      </c>
      <c r="C3209" s="1">
        <v>20.207297511737849</v>
      </c>
      <c r="D3209" s="9">
        <v>17.988777777781085</v>
      </c>
      <c r="E3209" s="1">
        <v>4.7787499999999996</v>
      </c>
      <c r="F3209" s="1">
        <v>8.9965200000000003</v>
      </c>
      <c r="G3209" s="1">
        <v>13.4397</v>
      </c>
      <c r="H3209" s="1">
        <v>-0.84507299999999996</v>
      </c>
    </row>
    <row r="3210" spans="1:8" x14ac:dyDescent="0.3">
      <c r="A3210">
        <f t="shared" si="131"/>
        <v>23</v>
      </c>
      <c r="B3210">
        <v>1944</v>
      </c>
      <c r="C3210" s="1">
        <v>19.833827109255569</v>
      </c>
      <c r="D3210" s="9">
        <v>18.036000000003394</v>
      </c>
      <c r="E3210" s="1">
        <v>3.8437899999999998</v>
      </c>
      <c r="F3210" s="1">
        <v>9.0558899999999998</v>
      </c>
      <c r="G3210" s="1">
        <v>13.487</v>
      </c>
      <c r="H3210" s="1">
        <v>-2.1427499999999999</v>
      </c>
    </row>
    <row r="3211" spans="1:8" x14ac:dyDescent="0.3">
      <c r="A3211" t="e">
        <f t="shared" si="131"/>
        <v>#REF!</v>
      </c>
      <c r="B3211">
        <v>1994</v>
      </c>
      <c r="C3211" s="1">
        <v>19.553827242880729</v>
      </c>
      <c r="D3211" s="9">
        <v>18.083222222225704</v>
      </c>
      <c r="E3211" s="1">
        <v>3.1263800000000002</v>
      </c>
      <c r="F3211" s="1">
        <v>9.0982800000000008</v>
      </c>
      <c r="G3211" s="1">
        <v>13.607200000000001</v>
      </c>
      <c r="H3211" s="1">
        <v>-3.4399299999999999</v>
      </c>
    </row>
    <row r="3212" spans="1:8" x14ac:dyDescent="0.3">
      <c r="A3212">
        <f t="shared" si="131"/>
        <v>39</v>
      </c>
      <c r="B3212">
        <v>2044</v>
      </c>
      <c r="C3212" s="1">
        <v>19.37</v>
      </c>
      <c r="D3212" s="9">
        <v>18.130444444448013</v>
      </c>
      <c r="E3212" s="1">
        <v>2.85642</v>
      </c>
      <c r="F3212" s="1">
        <v>8.9570600000000002</v>
      </c>
      <c r="G3212" s="1">
        <v>13.6661</v>
      </c>
      <c r="H3212" s="1">
        <v>-4.6066200000000004</v>
      </c>
    </row>
    <row r="3213" spans="1:8" x14ac:dyDescent="0.3">
      <c r="A3213" t="e">
        <f t="shared" si="131"/>
        <v>#REF!</v>
      </c>
      <c r="B3213">
        <v>2094</v>
      </c>
      <c r="C3213" s="1">
        <v>19.212069153149979</v>
      </c>
      <c r="D3213" s="9">
        <v>18.177666666670323</v>
      </c>
      <c r="E3213" s="1">
        <v>2.8190499999999998</v>
      </c>
      <c r="F3213" s="1">
        <v>8.7116799999999994</v>
      </c>
      <c r="G3213" s="1">
        <v>13.7407</v>
      </c>
      <c r="H3213" s="1">
        <v>-5.5551000000000004</v>
      </c>
    </row>
    <row r="3214" spans="1:8" x14ac:dyDescent="0.3">
      <c r="A3214">
        <f t="shared" si="131"/>
        <v>30</v>
      </c>
      <c r="B3214">
        <v>2144</v>
      </c>
      <c r="C3214" s="1">
        <v>19.19818412647717</v>
      </c>
      <c r="D3214" s="9">
        <v>18.224888888892632</v>
      </c>
      <c r="E3214" s="1">
        <v>2.7239</v>
      </c>
      <c r="F3214" s="1">
        <v>8.5130700000000008</v>
      </c>
      <c r="G3214" s="1">
        <v>13.9297</v>
      </c>
      <c r="H3214" s="1">
        <v>-6.1979600000000001</v>
      </c>
    </row>
    <row r="3215" spans="1:8" x14ac:dyDescent="0.3">
      <c r="A3215" t="e">
        <f t="shared" si="131"/>
        <v>#REF!</v>
      </c>
      <c r="B3215">
        <v>2194</v>
      </c>
      <c r="C3215" s="1">
        <v>19.147881221487321</v>
      </c>
      <c r="D3215" s="9">
        <v>18.272111111114942</v>
      </c>
      <c r="E3215" s="1">
        <v>2.6514799999999998</v>
      </c>
      <c r="F3215" s="1">
        <v>8.4624299999999995</v>
      </c>
      <c r="G3215" s="1">
        <v>14.0814</v>
      </c>
      <c r="H3215" s="1">
        <v>-6.3768799999999999</v>
      </c>
    </row>
    <row r="3216" spans="1:8" x14ac:dyDescent="0.3">
      <c r="A3216">
        <f t="shared" si="131"/>
        <v>21</v>
      </c>
      <c r="B3216">
        <v>2244</v>
      </c>
      <c r="C3216" s="1">
        <v>19.294178594671351</v>
      </c>
      <c r="D3216" s="9">
        <v>18.319333333337251</v>
      </c>
      <c r="E3216" s="1">
        <v>2.7499400000000001</v>
      </c>
      <c r="F3216" s="1">
        <v>8.5979399999999995</v>
      </c>
      <c r="G3216" s="1">
        <v>14.020899999999999</v>
      </c>
      <c r="H3216" s="1">
        <v>-5.9683900000000003</v>
      </c>
    </row>
    <row r="3217" spans="1:8" x14ac:dyDescent="0.3">
      <c r="A3217" t="e">
        <f t="shared" si="131"/>
        <v>#REF!</v>
      </c>
      <c r="B3217">
        <v>2294</v>
      </c>
      <c r="C3217" s="1">
        <v>19.52878684848708</v>
      </c>
      <c r="D3217" s="9">
        <v>18.366555555559561</v>
      </c>
      <c r="E3217" s="1">
        <v>2.8860399999999999</v>
      </c>
      <c r="F3217" s="1">
        <v>8.71251</v>
      </c>
      <c r="G3217" s="1">
        <v>13.8819</v>
      </c>
      <c r="H3217" s="1">
        <v>-5.15055</v>
      </c>
    </row>
    <row r="3218" spans="1:8" x14ac:dyDescent="0.3">
      <c r="A3218">
        <f t="shared" si="131"/>
        <v>37</v>
      </c>
      <c r="B3218">
        <v>2344</v>
      </c>
      <c r="C3218" s="1">
        <v>19.919214000864471</v>
      </c>
      <c r="D3218" s="9">
        <v>18.413777777781871</v>
      </c>
      <c r="E3218" s="1">
        <v>2.8846599999999998</v>
      </c>
      <c r="F3218" s="1">
        <v>8.5766600000000004</v>
      </c>
      <c r="G3218" s="1">
        <v>13.8462</v>
      </c>
      <c r="H3218" s="1">
        <v>-4.1682399999999999</v>
      </c>
    </row>
    <row r="3219" spans="1:8" x14ac:dyDescent="0.3">
      <c r="A3219" t="e">
        <f t="shared" si="131"/>
        <v>#REF!</v>
      </c>
      <c r="B3219">
        <v>2394</v>
      </c>
      <c r="C3219" s="1">
        <v>20.388898398060341</v>
      </c>
      <c r="D3219" s="9">
        <v>18.46100000000418</v>
      </c>
      <c r="E3219" s="1">
        <v>2.8309600000000001</v>
      </c>
      <c r="F3219" s="1">
        <v>8.2634899999999991</v>
      </c>
      <c r="G3219" s="1">
        <v>13.8223</v>
      </c>
      <c r="H3219" s="1">
        <v>-3.1062699999999999</v>
      </c>
    </row>
    <row r="3220" spans="1:8" x14ac:dyDescent="0.3">
      <c r="A3220">
        <f t="shared" si="131"/>
        <v>28</v>
      </c>
      <c r="B3220">
        <v>2444</v>
      </c>
      <c r="C3220" s="1">
        <v>20.98532269387913</v>
      </c>
      <c r="D3220" s="9">
        <v>18.50822222222649</v>
      </c>
      <c r="E3220" s="1">
        <v>2.8362599999999998</v>
      </c>
      <c r="F3220" s="1">
        <v>7.9489599999999996</v>
      </c>
      <c r="G3220" s="1">
        <v>13.688599999999999</v>
      </c>
      <c r="H3220" s="1">
        <v>-1.9911700000000001</v>
      </c>
    </row>
    <row r="3221" spans="1:8" x14ac:dyDescent="0.3">
      <c r="A3221" t="e">
        <f t="shared" si="131"/>
        <v>#REF!</v>
      </c>
      <c r="B3221">
        <v>2494</v>
      </c>
      <c r="C3221" s="1">
        <v>21.497309069866851</v>
      </c>
      <c r="D3221" s="9">
        <v>18.555444444448799</v>
      </c>
      <c r="E3221" s="1">
        <v>2.70783</v>
      </c>
      <c r="F3221" s="1">
        <v>7.83134</v>
      </c>
      <c r="G3221" s="1">
        <v>13.624700000000001</v>
      </c>
      <c r="H3221" s="1">
        <v>-0.81553799999999999</v>
      </c>
    </row>
    <row r="3222" spans="1:8" x14ac:dyDescent="0.3">
      <c r="A3222">
        <f t="shared" si="131"/>
        <v>44</v>
      </c>
      <c r="B3222">
        <v>2544</v>
      </c>
      <c r="C3222" s="1">
        <v>21.9921701423645</v>
      </c>
      <c r="D3222" s="9">
        <v>18.602666666671109</v>
      </c>
      <c r="E3222" s="1">
        <v>2.22437</v>
      </c>
      <c r="F3222" s="1">
        <v>8.0410199999999996</v>
      </c>
      <c r="G3222" s="1">
        <v>13.8367</v>
      </c>
      <c r="H3222" s="1">
        <v>0.42808800000000002</v>
      </c>
    </row>
    <row r="3223" spans="1:8" x14ac:dyDescent="0.3">
      <c r="A3223" t="e">
        <f t="shared" si="131"/>
        <v>#REF!</v>
      </c>
      <c r="B3223">
        <v>2594</v>
      </c>
      <c r="C3223" s="1">
        <v>22.367944531650991</v>
      </c>
      <c r="D3223" s="9">
        <v>18.649888888893418</v>
      </c>
      <c r="E3223" s="1">
        <v>1.5272399999999999</v>
      </c>
      <c r="F3223" s="1">
        <v>8.3181899999999995</v>
      </c>
      <c r="G3223" s="1">
        <v>14.164</v>
      </c>
      <c r="H3223" s="1">
        <v>1.6914899999999999</v>
      </c>
    </row>
    <row r="3224" spans="1:8" x14ac:dyDescent="0.3">
      <c r="A3224">
        <f t="shared" si="131"/>
        <v>35</v>
      </c>
      <c r="B3224">
        <v>2644</v>
      </c>
      <c r="C3224" s="1">
        <v>22.66521487871762</v>
      </c>
      <c r="D3224" s="9">
        <v>18.697111111115728</v>
      </c>
      <c r="E3224" s="1">
        <v>0.88292300000000001</v>
      </c>
      <c r="F3224" s="1">
        <v>8.3421199999999995</v>
      </c>
      <c r="G3224" s="1">
        <v>14.3508</v>
      </c>
      <c r="H3224" s="1">
        <v>2.9051800000000001</v>
      </c>
    </row>
    <row r="3225" spans="1:8" x14ac:dyDescent="0.3">
      <c r="A3225" t="e">
        <f t="shared" si="131"/>
        <v>#REF!</v>
      </c>
      <c r="B3225">
        <v>2694</v>
      </c>
      <c r="C3225" s="1">
        <v>23.2</v>
      </c>
      <c r="D3225" s="9">
        <v>18.744333333338037</v>
      </c>
      <c r="E3225" s="1">
        <v>0.59931100000000004</v>
      </c>
      <c r="F3225" s="1">
        <v>8.13049</v>
      </c>
      <c r="G3225" s="1">
        <v>14.2585</v>
      </c>
      <c r="H3225" s="1">
        <v>3.9820500000000001</v>
      </c>
    </row>
    <row r="3226" spans="1:8" x14ac:dyDescent="0.3">
      <c r="A3226">
        <f t="shared" si="131"/>
        <v>26</v>
      </c>
      <c r="B3226">
        <v>2744</v>
      </c>
      <c r="C3226" s="1">
        <v>23.613407564880031</v>
      </c>
      <c r="D3226" s="9">
        <v>18.791555555560347</v>
      </c>
      <c r="E3226" s="1">
        <v>0.91518100000000002</v>
      </c>
      <c r="F3226" s="1">
        <v>7.8466100000000001</v>
      </c>
      <c r="G3226" s="1">
        <v>13.843500000000001</v>
      </c>
      <c r="H3226" s="1">
        <v>4.8360599999999998</v>
      </c>
    </row>
    <row r="3227" spans="1:8" x14ac:dyDescent="0.3">
      <c r="A3227" t="e">
        <f t="shared" si="131"/>
        <v>#REF!</v>
      </c>
      <c r="B3227">
        <v>2794</v>
      </c>
      <c r="C3227" s="1">
        <v>23.963343579852559</v>
      </c>
      <c r="D3227" s="9">
        <v>18.838777777782656</v>
      </c>
      <c r="E3227" s="1">
        <v>1.64551</v>
      </c>
      <c r="F3227" s="1">
        <v>7.8411900000000001</v>
      </c>
      <c r="G3227" s="1">
        <v>13.3574</v>
      </c>
      <c r="H3227" s="1">
        <v>5.4150299999999998</v>
      </c>
    </row>
    <row r="3228" spans="1:8" x14ac:dyDescent="0.3">
      <c r="A3228">
        <f t="shared" si="131"/>
        <v>42</v>
      </c>
      <c r="B3228">
        <v>2844</v>
      </c>
      <c r="C3228" s="1">
        <v>24.192504683822019</v>
      </c>
      <c r="D3228" s="9">
        <v>18.886000000004966</v>
      </c>
      <c r="E3228" s="1">
        <v>2.47159</v>
      </c>
      <c r="F3228" s="1">
        <v>8.4427599999999998</v>
      </c>
      <c r="G3228" s="1">
        <v>13.123900000000001</v>
      </c>
      <c r="H3228" s="1">
        <v>5.7150400000000001</v>
      </c>
    </row>
    <row r="3229" spans="1:8" x14ac:dyDescent="0.3">
      <c r="A3229" t="e">
        <f t="shared" si="131"/>
        <v>#REF!</v>
      </c>
      <c r="B3229">
        <v>2894</v>
      </c>
      <c r="C3229" s="1">
        <v>24.33</v>
      </c>
      <c r="D3229" s="9">
        <v>18.933222222227275</v>
      </c>
      <c r="E3229" s="1">
        <v>3.08575</v>
      </c>
      <c r="F3229" s="1">
        <v>9.5551300000000001</v>
      </c>
      <c r="G3229" s="1">
        <v>13.3574</v>
      </c>
      <c r="H3229" s="1">
        <v>5.9226200000000002</v>
      </c>
    </row>
    <row r="3230" spans="1:8" x14ac:dyDescent="0.3">
      <c r="A3230">
        <f t="shared" si="131"/>
        <v>33</v>
      </c>
      <c r="B3230">
        <v>2944</v>
      </c>
      <c r="C3230" s="1">
        <v>24.17541673534198</v>
      </c>
      <c r="D3230" s="9">
        <v>18.980444444449585</v>
      </c>
      <c r="E3230" s="1">
        <v>3.2848700000000002</v>
      </c>
      <c r="F3230" s="1">
        <v>10.9276</v>
      </c>
      <c r="G3230" s="1">
        <v>14.1724</v>
      </c>
      <c r="H3230" s="1">
        <v>6.2332799999999997</v>
      </c>
    </row>
    <row r="3231" spans="1:8" x14ac:dyDescent="0.3">
      <c r="A3231" t="e">
        <f t="shared" si="131"/>
        <v>#REF!</v>
      </c>
      <c r="B3231">
        <v>2994</v>
      </c>
      <c r="C3231" s="1">
        <v>24.012969924044832</v>
      </c>
      <c r="D3231" s="9">
        <v>19.027666666671895</v>
      </c>
      <c r="E3231" s="1">
        <v>3.3826700000000001</v>
      </c>
      <c r="F3231" s="1">
        <v>12.215199999999999</v>
      </c>
      <c r="G3231" s="1">
        <v>15.354100000000001</v>
      </c>
      <c r="H3231" s="1">
        <v>6.5829500000000003</v>
      </c>
    </row>
    <row r="3232" spans="1:8" x14ac:dyDescent="0.3">
      <c r="A3232">
        <f t="shared" si="131"/>
        <v>24</v>
      </c>
      <c r="B3232">
        <v>3044</v>
      </c>
      <c r="C3232" s="1">
        <v>23.87</v>
      </c>
      <c r="D3232" s="9">
        <v>19.074888888894204</v>
      </c>
      <c r="E3232" s="1">
        <v>3.7878500000000002</v>
      </c>
      <c r="F3232" s="1">
        <v>13.0665</v>
      </c>
      <c r="G3232" s="1">
        <v>16.5807</v>
      </c>
      <c r="H3232" s="1">
        <v>6.8715200000000003</v>
      </c>
    </row>
    <row r="3233" spans="1:8" x14ac:dyDescent="0.3">
      <c r="A3233" t="e">
        <f t="shared" si="131"/>
        <v>#REF!</v>
      </c>
      <c r="B3233">
        <v>3094</v>
      </c>
      <c r="C3233" s="1">
        <v>23.58958438688563</v>
      </c>
      <c r="D3233" s="9">
        <v>19.122111111116514</v>
      </c>
      <c r="E3233" s="1">
        <v>4.5490399999999998</v>
      </c>
      <c r="F3233" s="1">
        <v>13.262600000000001</v>
      </c>
      <c r="G3233" s="1">
        <v>17.5243</v>
      </c>
      <c r="H3233" s="1">
        <v>7.2293399999999997</v>
      </c>
    </row>
    <row r="3234" spans="1:8" x14ac:dyDescent="0.3">
      <c r="A3234">
        <f t="shared" si="131"/>
        <v>40</v>
      </c>
      <c r="B3234">
        <v>3144</v>
      </c>
      <c r="C3234" s="1">
        <v>23.203353420335901</v>
      </c>
      <c r="D3234" s="9">
        <v>19.169333333338823</v>
      </c>
      <c r="E3234" s="1">
        <v>5.5718399999999999</v>
      </c>
      <c r="F3234" s="1">
        <v>12.7174</v>
      </c>
      <c r="G3234" s="1">
        <v>17.932600000000001</v>
      </c>
      <c r="H3234" s="1">
        <v>7.8250099999999998</v>
      </c>
    </row>
    <row r="3235" spans="1:8" x14ac:dyDescent="0.3">
      <c r="A3235" t="e">
        <f t="shared" si="131"/>
        <v>#REF!</v>
      </c>
      <c r="B3235">
        <v>3194</v>
      </c>
      <c r="C3235" s="1">
        <v>22.822616586149351</v>
      </c>
      <c r="D3235" s="9">
        <v>19.216555555561133</v>
      </c>
      <c r="E3235" s="1">
        <v>6.6464600000000003</v>
      </c>
      <c r="F3235" s="1">
        <v>11.7073</v>
      </c>
      <c r="G3235" s="1">
        <v>17.8718</v>
      </c>
      <c r="H3235" s="1">
        <v>8.6876999999999995</v>
      </c>
    </row>
    <row r="3236" spans="1:8" x14ac:dyDescent="0.3">
      <c r="A3236">
        <f t="shared" si="131"/>
        <v>31</v>
      </c>
      <c r="B3236">
        <v>3244</v>
      </c>
      <c r="C3236" s="1">
        <v>22.474677654940191</v>
      </c>
      <c r="D3236" s="9">
        <v>19.263777777783442</v>
      </c>
      <c r="E3236" s="1">
        <v>7.5870699999999998</v>
      </c>
      <c r="F3236" s="1">
        <v>10.5952</v>
      </c>
      <c r="G3236" s="1">
        <v>17.510200000000001</v>
      </c>
      <c r="H3236" s="1">
        <v>9.79251</v>
      </c>
    </row>
    <row r="3237" spans="1:8" x14ac:dyDescent="0.3">
      <c r="A3237" t="e">
        <f t="shared" ref="A3237:A3243" si="132">A3187</f>
        <v>#REF!</v>
      </c>
      <c r="B3237">
        <v>3294</v>
      </c>
      <c r="C3237" s="1">
        <v>22.055133530904541</v>
      </c>
      <c r="D3237" s="9">
        <v>19.311000000005752</v>
      </c>
      <c r="E3237" s="1">
        <v>8.5161200000000008</v>
      </c>
      <c r="F3237" s="1">
        <v>9.8017199999999995</v>
      </c>
      <c r="G3237" s="1">
        <v>17.103100000000001</v>
      </c>
      <c r="H3237" s="1">
        <v>11.071999999999999</v>
      </c>
    </row>
    <row r="3238" spans="1:8" x14ac:dyDescent="0.3">
      <c r="A3238">
        <f t="shared" si="132"/>
        <v>22</v>
      </c>
      <c r="B3238">
        <v>3344</v>
      </c>
      <c r="C3238" s="1">
        <v>21.72855196900122</v>
      </c>
      <c r="D3238" s="9">
        <v>19.358222222228061</v>
      </c>
      <c r="E3238" s="1">
        <v>9.8887400000000003</v>
      </c>
      <c r="F3238" s="1">
        <v>10.3872</v>
      </c>
      <c r="G3238" s="1">
        <v>17.113099999999999</v>
      </c>
      <c r="H3238" s="1">
        <v>12.4886</v>
      </c>
    </row>
    <row r="3239" spans="1:8" x14ac:dyDescent="0.3">
      <c r="A3239" t="e">
        <f t="shared" si="132"/>
        <v>#REF!</v>
      </c>
      <c r="B3239">
        <v>3394</v>
      </c>
      <c r="C3239" s="1">
        <v>21.415073570639681</v>
      </c>
      <c r="D3239" s="9">
        <v>19.405444444450371</v>
      </c>
      <c r="E3239" s="1">
        <v>11.625</v>
      </c>
      <c r="F3239" s="1">
        <v>11.8644</v>
      </c>
      <c r="G3239" s="1">
        <v>17.365100000000002</v>
      </c>
      <c r="H3239" s="1">
        <v>13.914199999999999</v>
      </c>
    </row>
    <row r="3240" spans="1:8" x14ac:dyDescent="0.3">
      <c r="A3240">
        <f t="shared" si="132"/>
        <v>38</v>
      </c>
      <c r="B3240">
        <v>3444</v>
      </c>
      <c r="C3240" s="1">
        <v>20.998536634587438</v>
      </c>
      <c r="D3240" s="9">
        <v>19.45266666667268</v>
      </c>
      <c r="E3240" s="1">
        <v>13.491</v>
      </c>
      <c r="F3240" s="1">
        <v>13.6051</v>
      </c>
      <c r="G3240" s="1">
        <v>17.758099999999999</v>
      </c>
      <c r="H3240" s="1">
        <v>15.315</v>
      </c>
    </row>
    <row r="3241" spans="1:8" x14ac:dyDescent="0.3">
      <c r="A3241" t="e">
        <f t="shared" si="132"/>
        <v>#REF!</v>
      </c>
      <c r="B3241">
        <v>3494</v>
      </c>
      <c r="C3241" s="1">
        <v>20.46564521585049</v>
      </c>
      <c r="D3241" s="9">
        <v>19.49988888889499</v>
      </c>
      <c r="E3241" s="1">
        <v>15.419</v>
      </c>
      <c r="F3241" s="1">
        <v>15.468999999999999</v>
      </c>
      <c r="G3241" s="1">
        <v>18.2653</v>
      </c>
      <c r="H3241" s="1">
        <v>16.699100000000001</v>
      </c>
    </row>
    <row r="3242" spans="1:8" x14ac:dyDescent="0.3">
      <c r="A3242">
        <f t="shared" si="132"/>
        <v>29</v>
      </c>
      <c r="B3242">
        <v>3544</v>
      </c>
      <c r="C3242" s="1">
        <v>20.09320375008225</v>
      </c>
      <c r="D3242" s="9">
        <v>19.547111111117299</v>
      </c>
      <c r="E3242" s="1">
        <v>17.380400000000002</v>
      </c>
      <c r="F3242" s="1">
        <v>17.397300000000001</v>
      </c>
      <c r="G3242" s="1">
        <v>18.8584</v>
      </c>
      <c r="H3242" s="1">
        <v>18.071999999999999</v>
      </c>
    </row>
    <row r="3243" spans="1:8" x14ac:dyDescent="0.3">
      <c r="A3243" t="e">
        <f t="shared" si="132"/>
        <v>#REF!</v>
      </c>
      <c r="B3243">
        <v>3594</v>
      </c>
      <c r="C3243" s="1">
        <v>19.651799206814371</v>
      </c>
      <c r="D3243" s="9">
        <v>19.594333333339609</v>
      </c>
      <c r="E3243" s="1">
        <v>19.3614</v>
      </c>
      <c r="F3243" s="1">
        <v>19.362500000000001</v>
      </c>
      <c r="G3243" s="1">
        <v>19.517199999999999</v>
      </c>
      <c r="H3243" s="1">
        <v>19.436699999999998</v>
      </c>
    </row>
    <row r="3244" spans="1:8" x14ac:dyDescent="0.3">
      <c r="A3244">
        <v>45</v>
      </c>
      <c r="B3244">
        <v>45</v>
      </c>
      <c r="C3244" s="1">
        <v>16.190000000000001</v>
      </c>
      <c r="D3244" s="9">
        <v>16.242500000000078</v>
      </c>
      <c r="E3244" s="1">
        <v>14.535600000000001</v>
      </c>
      <c r="F3244" s="1">
        <v>14.4251</v>
      </c>
      <c r="G3244" s="1">
        <v>15.6614</v>
      </c>
      <c r="H3244" s="1">
        <v>14.520899999999999</v>
      </c>
    </row>
    <row r="3245" spans="1:8" x14ac:dyDescent="0.3">
      <c r="A3245" t="e">
        <f t="shared" ref="A3245:A3276" si="133">A3195</f>
        <v>#REF!</v>
      </c>
      <c r="B3245">
        <v>95</v>
      </c>
      <c r="C3245" s="1">
        <v>16.23</v>
      </c>
      <c r="D3245" s="9">
        <v>16.289722222222387</v>
      </c>
      <c r="E3245" s="1">
        <v>12.7097</v>
      </c>
      <c r="F3245" s="1">
        <v>12.4833</v>
      </c>
      <c r="G3245" s="1">
        <v>15.117800000000001</v>
      </c>
      <c r="H3245" s="1">
        <v>12.6464</v>
      </c>
    </row>
    <row r="3246" spans="1:8" x14ac:dyDescent="0.3">
      <c r="A3246">
        <f t="shared" si="133"/>
        <v>36</v>
      </c>
      <c r="B3246">
        <v>145</v>
      </c>
      <c r="C3246" s="1">
        <v>16.41008657145284</v>
      </c>
      <c r="D3246" s="9">
        <v>16.336944444444697</v>
      </c>
      <c r="E3246" s="1">
        <v>10.9193</v>
      </c>
      <c r="F3246" s="1">
        <v>10.5953</v>
      </c>
      <c r="G3246" s="1">
        <v>14.645899999999999</v>
      </c>
      <c r="H3246" s="1">
        <v>10.761799999999999</v>
      </c>
    </row>
    <row r="3247" spans="1:8" x14ac:dyDescent="0.3">
      <c r="A3247" t="e">
        <f t="shared" si="133"/>
        <v>#REF!</v>
      </c>
      <c r="B3247">
        <v>195</v>
      </c>
      <c r="C3247" s="1">
        <v>16.72456186427813</v>
      </c>
      <c r="D3247" s="9">
        <v>16.384166666667006</v>
      </c>
      <c r="E3247" s="1">
        <v>9.1836500000000001</v>
      </c>
      <c r="F3247" s="1">
        <v>8.8066399999999998</v>
      </c>
      <c r="G3247" s="1">
        <v>14.263299999999999</v>
      </c>
      <c r="H3247" s="1">
        <v>8.8677499999999991</v>
      </c>
    </row>
    <row r="3248" spans="1:8" x14ac:dyDescent="0.3">
      <c r="A3248">
        <f t="shared" si="133"/>
        <v>27</v>
      </c>
      <c r="B3248">
        <v>245</v>
      </c>
      <c r="C3248" s="1">
        <v>16.87</v>
      </c>
      <c r="D3248" s="9">
        <v>16.431388888889316</v>
      </c>
      <c r="E3248" s="1">
        <v>7.5403200000000004</v>
      </c>
      <c r="F3248" s="1">
        <v>7.2229999999999999</v>
      </c>
      <c r="G3248" s="1">
        <v>13.979200000000001</v>
      </c>
      <c r="H3248" s="1">
        <v>6.9726499999999998</v>
      </c>
    </row>
    <row r="3249" spans="1:8" x14ac:dyDescent="0.3">
      <c r="A3249" t="e">
        <f t="shared" si="133"/>
        <v>#REF!</v>
      </c>
      <c r="B3249">
        <v>295</v>
      </c>
      <c r="C3249" s="1">
        <v>17.07</v>
      </c>
      <c r="D3249" s="9">
        <v>16.478611111111626</v>
      </c>
      <c r="E3249" s="1">
        <v>6.1216999999999997</v>
      </c>
      <c r="F3249" s="1">
        <v>6.2295800000000003</v>
      </c>
      <c r="G3249" s="1">
        <v>13.804399999999999</v>
      </c>
      <c r="H3249" s="1">
        <v>5.1978200000000001</v>
      </c>
    </row>
    <row r="3250" spans="1:8" x14ac:dyDescent="0.3">
      <c r="A3250">
        <f t="shared" si="133"/>
        <v>43</v>
      </c>
      <c r="B3250">
        <v>345</v>
      </c>
      <c r="C3250" s="1">
        <v>17.283317870864959</v>
      </c>
      <c r="D3250" s="9">
        <v>16.525833333333935</v>
      </c>
      <c r="E3250" s="1">
        <v>5.2037599999999999</v>
      </c>
      <c r="F3250" s="1">
        <v>6.3614100000000002</v>
      </c>
      <c r="G3250" s="1">
        <v>13.9625</v>
      </c>
      <c r="H3250" s="1">
        <v>3.9400599999999999</v>
      </c>
    </row>
    <row r="3251" spans="1:8" x14ac:dyDescent="0.3">
      <c r="A3251" t="e">
        <f t="shared" si="133"/>
        <v>#REF!</v>
      </c>
      <c r="B3251">
        <v>395</v>
      </c>
      <c r="C3251" s="1">
        <v>17.5</v>
      </c>
      <c r="D3251" s="9">
        <v>16.573055555556245</v>
      </c>
      <c r="E3251" s="1">
        <v>4.5791599999999999</v>
      </c>
      <c r="F3251" s="1">
        <v>6.6756200000000003</v>
      </c>
      <c r="G3251" s="1">
        <v>14.074</v>
      </c>
      <c r="H3251" s="1">
        <v>3.0587200000000001</v>
      </c>
    </row>
    <row r="3252" spans="1:8" x14ac:dyDescent="0.3">
      <c r="A3252">
        <f t="shared" si="133"/>
        <v>34</v>
      </c>
      <c r="B3252">
        <v>445</v>
      </c>
      <c r="C3252" s="1">
        <v>17.79807964170497</v>
      </c>
      <c r="D3252" s="9">
        <v>16.620277777778554</v>
      </c>
      <c r="E3252" s="1">
        <v>4.1756500000000001</v>
      </c>
      <c r="F3252" s="1">
        <v>6.7099599999999997</v>
      </c>
      <c r="G3252" s="1">
        <v>13.9048</v>
      </c>
      <c r="H3252" s="1">
        <v>2.5197699999999998</v>
      </c>
    </row>
    <row r="3253" spans="1:8" x14ac:dyDescent="0.3">
      <c r="A3253">
        <f t="shared" si="133"/>
        <v>0</v>
      </c>
      <c r="B3253">
        <v>495</v>
      </c>
      <c r="C3253" s="1">
        <v>17.955047700049018</v>
      </c>
      <c r="D3253" s="9">
        <v>16.667500000000864</v>
      </c>
      <c r="E3253" s="1">
        <v>3.7360000000000002</v>
      </c>
      <c r="F3253" s="1">
        <v>6.34924</v>
      </c>
      <c r="G3253" s="1">
        <v>13.568199999999999</v>
      </c>
      <c r="H3253" s="1">
        <v>2.0667399999999998</v>
      </c>
    </row>
    <row r="3254" spans="1:8" x14ac:dyDescent="0.3">
      <c r="A3254">
        <f t="shared" si="133"/>
        <v>25</v>
      </c>
      <c r="B3254">
        <v>545</v>
      </c>
      <c r="C3254" s="1">
        <v>18.136291017397639</v>
      </c>
      <c r="D3254" s="9">
        <v>16.714722222223173</v>
      </c>
      <c r="E3254" s="1">
        <v>2.9926900000000001</v>
      </c>
      <c r="F3254" s="1">
        <v>5.5773000000000001</v>
      </c>
      <c r="G3254" s="1">
        <v>13.236499999999999</v>
      </c>
      <c r="H3254" s="1">
        <v>1.41804</v>
      </c>
    </row>
    <row r="3255" spans="1:8" x14ac:dyDescent="0.3">
      <c r="A3255" t="e">
        <f t="shared" si="133"/>
        <v>#REF!</v>
      </c>
      <c r="B3255">
        <v>595</v>
      </c>
      <c r="C3255" s="1">
        <v>18.37</v>
      </c>
      <c r="D3255" s="9">
        <v>16.761944444445483</v>
      </c>
      <c r="E3255" s="1">
        <v>2.0733199999999998</v>
      </c>
      <c r="F3255" s="1">
        <v>4.5687699999999998</v>
      </c>
      <c r="G3255" s="1">
        <v>12.8809</v>
      </c>
      <c r="H3255" s="1">
        <v>0.68265900000000002</v>
      </c>
    </row>
    <row r="3256" spans="1:8" x14ac:dyDescent="0.3">
      <c r="A3256">
        <f t="shared" si="133"/>
        <v>41</v>
      </c>
      <c r="B3256">
        <v>645</v>
      </c>
      <c r="C3256" s="1">
        <v>18.5</v>
      </c>
      <c r="D3256" s="9">
        <v>16.809166666667792</v>
      </c>
      <c r="E3256" s="1">
        <v>1.2410300000000001</v>
      </c>
      <c r="F3256" s="1">
        <v>3.5662699999999998</v>
      </c>
      <c r="G3256" s="1">
        <v>12.45</v>
      </c>
      <c r="H3256" s="1">
        <v>0.114021</v>
      </c>
    </row>
    <row r="3257" spans="1:8" x14ac:dyDescent="0.3">
      <c r="A3257" t="e">
        <f t="shared" si="133"/>
        <v>#REF!</v>
      </c>
      <c r="B3257">
        <v>695</v>
      </c>
      <c r="C3257" s="1">
        <v>18.671115756709991</v>
      </c>
      <c r="D3257" s="9">
        <v>16.856388888890102</v>
      </c>
      <c r="E3257" s="1">
        <v>0.72507500000000003</v>
      </c>
      <c r="F3257" s="1">
        <v>2.78484</v>
      </c>
      <c r="G3257" s="1">
        <v>12.145300000000001</v>
      </c>
      <c r="H3257" s="1">
        <v>1.5505900000000001E-4</v>
      </c>
    </row>
    <row r="3258" spans="1:8" x14ac:dyDescent="0.3">
      <c r="A3258">
        <f t="shared" si="133"/>
        <v>32</v>
      </c>
      <c r="B3258">
        <v>745</v>
      </c>
      <c r="C3258" s="1">
        <v>18.800887786049081</v>
      </c>
      <c r="D3258" s="9">
        <v>16.903611111112411</v>
      </c>
      <c r="E3258" s="1">
        <v>0.67808500000000005</v>
      </c>
      <c r="F3258" s="1">
        <v>2.3650000000000002</v>
      </c>
      <c r="G3258" s="1">
        <v>12.1965</v>
      </c>
      <c r="H3258" s="1">
        <v>0.55468700000000004</v>
      </c>
    </row>
    <row r="3259" spans="1:8" x14ac:dyDescent="0.3">
      <c r="A3259" t="e">
        <f t="shared" si="133"/>
        <v>#REF!</v>
      </c>
      <c r="B3259">
        <v>795</v>
      </c>
      <c r="C3259" s="1">
        <v>19.133317571600799</v>
      </c>
      <c r="D3259" s="9">
        <v>16.950833333334721</v>
      </c>
      <c r="E3259" s="1">
        <v>0.91834499999999997</v>
      </c>
      <c r="F3259" s="1">
        <v>2.11456</v>
      </c>
      <c r="G3259" s="1">
        <v>12.5471</v>
      </c>
      <c r="H3259" s="1">
        <v>1.5501</v>
      </c>
    </row>
    <row r="3260" spans="1:8" x14ac:dyDescent="0.3">
      <c r="A3260">
        <f t="shared" si="133"/>
        <v>23</v>
      </c>
      <c r="B3260">
        <v>845</v>
      </c>
      <c r="C3260" s="1">
        <v>19.37983541565103</v>
      </c>
      <c r="D3260" s="9">
        <v>16.998055555557031</v>
      </c>
      <c r="E3260" s="1">
        <v>1.20197</v>
      </c>
      <c r="F3260" s="1">
        <v>1.8106100000000001</v>
      </c>
      <c r="G3260" s="1">
        <v>13.0238</v>
      </c>
      <c r="H3260" s="1">
        <v>2.6142099999999999</v>
      </c>
    </row>
    <row r="3261" spans="1:8" x14ac:dyDescent="0.3">
      <c r="A3261" t="e">
        <f t="shared" si="133"/>
        <v>#REF!</v>
      </c>
      <c r="B3261">
        <v>895</v>
      </c>
      <c r="C3261" s="1">
        <v>19.679759869641149</v>
      </c>
      <c r="D3261" s="9">
        <v>17.04527777777934</v>
      </c>
      <c r="E3261" s="1">
        <v>1.52522</v>
      </c>
      <c r="F3261" s="1">
        <v>1.63073</v>
      </c>
      <c r="G3261" s="1">
        <v>13.331200000000001</v>
      </c>
      <c r="H3261" s="1">
        <v>3.3647300000000002</v>
      </c>
    </row>
    <row r="3262" spans="1:8" x14ac:dyDescent="0.3">
      <c r="A3262">
        <f t="shared" si="133"/>
        <v>39</v>
      </c>
      <c r="B3262">
        <v>945</v>
      </c>
      <c r="C3262" s="1">
        <v>19.946415128853982</v>
      </c>
      <c r="D3262" s="9">
        <v>17.09250000000165</v>
      </c>
      <c r="E3262" s="1">
        <v>1.92533</v>
      </c>
      <c r="F3262" s="1">
        <v>1.8222499999999999</v>
      </c>
      <c r="G3262" s="1">
        <v>13.221399999999999</v>
      </c>
      <c r="H3262" s="1">
        <v>3.5042200000000001</v>
      </c>
    </row>
    <row r="3263" spans="1:8" x14ac:dyDescent="0.3">
      <c r="A3263" t="e">
        <f t="shared" si="133"/>
        <v>#REF!</v>
      </c>
      <c r="B3263">
        <v>995</v>
      </c>
      <c r="C3263" s="1">
        <v>20.33369715526106</v>
      </c>
      <c r="D3263" s="9">
        <v>17.139722222223959</v>
      </c>
      <c r="E3263" s="1">
        <v>2.2487200000000001</v>
      </c>
      <c r="F3263" s="1">
        <v>2.3228</v>
      </c>
      <c r="G3263" s="1">
        <v>12.8995</v>
      </c>
      <c r="H3263" s="1">
        <v>3.1898599999999999</v>
      </c>
    </row>
    <row r="3264" spans="1:8" x14ac:dyDescent="0.3">
      <c r="A3264">
        <f t="shared" si="133"/>
        <v>30</v>
      </c>
      <c r="B3264">
        <v>1045</v>
      </c>
      <c r="C3264" s="1">
        <v>20.75663294838294</v>
      </c>
      <c r="D3264" s="9">
        <v>17.186944444446269</v>
      </c>
      <c r="E3264" s="1">
        <v>2.3349899999999999</v>
      </c>
      <c r="F3264" s="1">
        <v>2.9464700000000001</v>
      </c>
      <c r="G3264" s="1">
        <v>12.679</v>
      </c>
      <c r="H3264" s="1">
        <v>2.7397200000000002</v>
      </c>
    </row>
    <row r="3265" spans="1:8" x14ac:dyDescent="0.3">
      <c r="A3265" t="e">
        <f t="shared" si="133"/>
        <v>#REF!</v>
      </c>
      <c r="B3265">
        <v>1095</v>
      </c>
      <c r="C3265" s="1">
        <v>21.149797818361669</v>
      </c>
      <c r="D3265" s="9">
        <v>17.234166666668578</v>
      </c>
      <c r="E3265" s="1">
        <v>2.3069500000000001</v>
      </c>
      <c r="F3265" s="1">
        <v>3.38592</v>
      </c>
      <c r="G3265" s="1">
        <v>12.6736</v>
      </c>
      <c r="H3265" s="1">
        <v>2.5473599999999998</v>
      </c>
    </row>
    <row r="3266" spans="1:8" x14ac:dyDescent="0.3">
      <c r="A3266">
        <f t="shared" si="133"/>
        <v>21</v>
      </c>
      <c r="B3266">
        <v>1145</v>
      </c>
      <c r="C3266" s="1">
        <v>21.493697120713591</v>
      </c>
      <c r="D3266" s="9">
        <v>17.281388888890888</v>
      </c>
      <c r="E3266" s="1">
        <v>2.32429</v>
      </c>
      <c r="F3266" s="1">
        <v>3.3892099999999998</v>
      </c>
      <c r="G3266" s="1">
        <v>12.8889</v>
      </c>
      <c r="H3266" s="1">
        <v>2.9333999999999998</v>
      </c>
    </row>
    <row r="3267" spans="1:8" x14ac:dyDescent="0.3">
      <c r="A3267" t="e">
        <f t="shared" si="133"/>
        <v>#REF!</v>
      </c>
      <c r="B3267">
        <v>1195</v>
      </c>
      <c r="C3267" s="1">
        <v>21.89406932684869</v>
      </c>
      <c r="D3267" s="9">
        <v>17.328611111113197</v>
      </c>
      <c r="E3267" s="1">
        <v>2.2665500000000001</v>
      </c>
      <c r="F3267" s="1">
        <v>3.1893099999999999</v>
      </c>
      <c r="G3267" s="1">
        <v>13.1061</v>
      </c>
      <c r="H3267" s="1">
        <v>3.72112</v>
      </c>
    </row>
    <row r="3268" spans="1:8" x14ac:dyDescent="0.3">
      <c r="A3268">
        <f t="shared" si="133"/>
        <v>37</v>
      </c>
      <c r="B3268">
        <v>1245</v>
      </c>
      <c r="C3268" s="1">
        <v>22.321970916713649</v>
      </c>
      <c r="D3268" s="9">
        <v>17.375833333335507</v>
      </c>
      <c r="E3268" s="1">
        <v>1.9933099999999999</v>
      </c>
      <c r="F3268" s="1">
        <v>3.12378</v>
      </c>
      <c r="G3268" s="1">
        <v>13.1053</v>
      </c>
      <c r="H3268" s="1">
        <v>4.5901199999999998</v>
      </c>
    </row>
    <row r="3269" spans="1:8" x14ac:dyDescent="0.3">
      <c r="A3269" t="e">
        <f t="shared" si="133"/>
        <v>#REF!</v>
      </c>
      <c r="B3269">
        <v>1295</v>
      </c>
      <c r="C3269" s="1">
        <v>22.767810174407511</v>
      </c>
      <c r="D3269" s="9">
        <v>17.423055555557816</v>
      </c>
      <c r="E3269" s="1">
        <v>1.7229000000000001</v>
      </c>
      <c r="F3269" s="1">
        <v>3.2711199999999998</v>
      </c>
      <c r="G3269" s="1">
        <v>13.034599999999999</v>
      </c>
      <c r="H3269" s="1">
        <v>5.2962999999999996</v>
      </c>
    </row>
    <row r="3270" spans="1:8" x14ac:dyDescent="0.3">
      <c r="A3270">
        <f t="shared" si="133"/>
        <v>28</v>
      </c>
      <c r="B3270">
        <v>1345</v>
      </c>
      <c r="C3270" s="1">
        <v>23.05776385554222</v>
      </c>
      <c r="D3270" s="9">
        <v>17.470277777780126</v>
      </c>
      <c r="E3270" s="1">
        <v>1.7358899999999999</v>
      </c>
      <c r="F3270" s="1">
        <v>3.6066799999999999</v>
      </c>
      <c r="G3270" s="1">
        <v>13.097</v>
      </c>
      <c r="H3270" s="1">
        <v>5.6788600000000002</v>
      </c>
    </row>
    <row r="3271" spans="1:8" x14ac:dyDescent="0.3">
      <c r="A3271" t="e">
        <f t="shared" si="133"/>
        <v>#REF!</v>
      </c>
      <c r="B3271">
        <v>1395</v>
      </c>
      <c r="C3271" s="1">
        <v>23.23</v>
      </c>
      <c r="D3271" s="9">
        <v>17.517500000002435</v>
      </c>
      <c r="E3271" s="1">
        <v>2.0443600000000002</v>
      </c>
      <c r="F3271" s="1">
        <v>4.0011400000000004</v>
      </c>
      <c r="G3271" s="1">
        <v>13.1775</v>
      </c>
      <c r="H3271" s="1">
        <v>5.8761900000000002</v>
      </c>
    </row>
    <row r="3272" spans="1:8" x14ac:dyDescent="0.3">
      <c r="A3272">
        <f t="shared" si="133"/>
        <v>44</v>
      </c>
      <c r="B3272">
        <v>1445</v>
      </c>
      <c r="C3272" s="1">
        <v>23.26142487025885</v>
      </c>
      <c r="D3272" s="9">
        <v>17.564722222224745</v>
      </c>
      <c r="E3272" s="1">
        <v>2.5455299999999998</v>
      </c>
      <c r="F3272" s="1">
        <v>4.3175600000000003</v>
      </c>
      <c r="G3272" s="1">
        <v>13.1172</v>
      </c>
      <c r="H3272" s="1">
        <v>6.0655400000000004</v>
      </c>
    </row>
    <row r="3273" spans="1:8" x14ac:dyDescent="0.3">
      <c r="A3273" t="e">
        <f t="shared" si="133"/>
        <v>#REF!</v>
      </c>
      <c r="B3273">
        <v>1495</v>
      </c>
      <c r="C3273" s="1">
        <v>23.138824052466401</v>
      </c>
      <c r="D3273" s="9">
        <v>17.611944444447055</v>
      </c>
      <c r="E3273" s="1">
        <v>2.9876399999999999</v>
      </c>
      <c r="F3273" s="1">
        <v>4.5490399999999998</v>
      </c>
      <c r="G3273" s="1">
        <v>13.053699999999999</v>
      </c>
      <c r="H3273" s="1">
        <v>6.1419499999999996</v>
      </c>
    </row>
    <row r="3274" spans="1:8" x14ac:dyDescent="0.3">
      <c r="A3274">
        <f t="shared" si="133"/>
        <v>35</v>
      </c>
      <c r="B3274">
        <v>1545</v>
      </c>
      <c r="C3274" s="1">
        <v>22.885604373512759</v>
      </c>
      <c r="D3274" s="9">
        <v>17.659166666669364</v>
      </c>
      <c r="E3274" s="1">
        <v>3.16669</v>
      </c>
      <c r="F3274" s="1">
        <v>4.7614400000000003</v>
      </c>
      <c r="G3274" s="1">
        <v>13.1599</v>
      </c>
      <c r="H3274" s="1">
        <v>5.9394</v>
      </c>
    </row>
    <row r="3275" spans="1:8" x14ac:dyDescent="0.3">
      <c r="A3275" t="e">
        <f t="shared" si="133"/>
        <v>#REF!</v>
      </c>
      <c r="B3275">
        <v>1595</v>
      </c>
      <c r="C3275" s="1">
        <v>22.531662152657059</v>
      </c>
      <c r="D3275" s="9">
        <v>17.706388888891674</v>
      </c>
      <c r="E3275" s="1">
        <v>3.3615499999999998</v>
      </c>
      <c r="F3275" s="1">
        <v>5.1805099999999999</v>
      </c>
      <c r="G3275" s="1">
        <v>13.3126</v>
      </c>
      <c r="H3275" s="1">
        <v>5.4328099999999999</v>
      </c>
    </row>
    <row r="3276" spans="1:8" x14ac:dyDescent="0.3">
      <c r="A3276">
        <f t="shared" si="133"/>
        <v>26</v>
      </c>
      <c r="B3276">
        <v>1645</v>
      </c>
      <c r="C3276" s="1">
        <v>22.12169316989128</v>
      </c>
      <c r="D3276" s="9">
        <v>17.753611111113983</v>
      </c>
      <c r="E3276" s="1">
        <v>3.9156900000000001</v>
      </c>
      <c r="F3276" s="1">
        <v>6.0082899999999997</v>
      </c>
      <c r="G3276" s="1">
        <v>13.3477</v>
      </c>
      <c r="H3276" s="1">
        <v>4.6518199999999998</v>
      </c>
    </row>
    <row r="3277" spans="1:8" x14ac:dyDescent="0.3">
      <c r="A3277" t="e">
        <f t="shared" ref="A3277:A3308" si="134">A3227</f>
        <v>#REF!</v>
      </c>
      <c r="B3277">
        <v>1695</v>
      </c>
      <c r="C3277" s="1">
        <v>21.743288796876179</v>
      </c>
      <c r="D3277" s="9">
        <v>17.800833333336293</v>
      </c>
      <c r="E3277" s="1">
        <v>4.7256</v>
      </c>
      <c r="F3277" s="1">
        <v>7.0714100000000002</v>
      </c>
      <c r="G3277" s="1">
        <v>13.3673</v>
      </c>
      <c r="H3277" s="1">
        <v>3.67835</v>
      </c>
    </row>
    <row r="3278" spans="1:8" x14ac:dyDescent="0.3">
      <c r="A3278">
        <f t="shared" si="134"/>
        <v>42</v>
      </c>
      <c r="B3278">
        <v>1745</v>
      </c>
      <c r="C3278" s="1">
        <v>21.284556813285811</v>
      </c>
      <c r="D3278" s="9">
        <v>17.848055555558602</v>
      </c>
      <c r="E3278" s="1">
        <v>5.5226100000000002</v>
      </c>
      <c r="F3278" s="1">
        <v>8.0834200000000003</v>
      </c>
      <c r="G3278" s="1">
        <v>13.5036</v>
      </c>
      <c r="H3278" s="1">
        <v>2.6031499999999999</v>
      </c>
    </row>
    <row r="3279" spans="1:8" x14ac:dyDescent="0.3">
      <c r="A3279" t="e">
        <f t="shared" si="134"/>
        <v>#REF!</v>
      </c>
      <c r="B3279">
        <v>1795</v>
      </c>
      <c r="C3279" s="1">
        <v>20.946913662030841</v>
      </c>
      <c r="D3279" s="9">
        <v>17.895277777780912</v>
      </c>
      <c r="E3279" s="1">
        <v>5.91594</v>
      </c>
      <c r="F3279" s="1">
        <v>8.7842800000000008</v>
      </c>
      <c r="G3279" s="1">
        <v>13.617000000000001</v>
      </c>
      <c r="H3279" s="1">
        <v>1.4793099999999999</v>
      </c>
    </row>
    <row r="3280" spans="1:8" x14ac:dyDescent="0.3">
      <c r="A3280">
        <f t="shared" si="134"/>
        <v>33</v>
      </c>
      <c r="B3280">
        <v>1845</v>
      </c>
      <c r="C3280" s="1">
        <v>20.576957058856561</v>
      </c>
      <c r="D3280" s="9">
        <v>17.942500000003221</v>
      </c>
      <c r="E3280" s="1">
        <v>5.5857799999999997</v>
      </c>
      <c r="F3280" s="1">
        <v>9.0056399999999996</v>
      </c>
      <c r="G3280" s="1">
        <v>13.545299999999999</v>
      </c>
      <c r="H3280" s="1">
        <v>0.33469900000000002</v>
      </c>
    </row>
    <row r="3281" spans="1:8" x14ac:dyDescent="0.3">
      <c r="A3281" t="e">
        <f t="shared" si="134"/>
        <v>#REF!</v>
      </c>
      <c r="B3281">
        <v>1895</v>
      </c>
      <c r="C3281" s="1">
        <v>20.199117820275809</v>
      </c>
      <c r="D3281" s="9">
        <v>17.989722222225531</v>
      </c>
      <c r="E3281" s="1">
        <v>4.7599600000000004</v>
      </c>
      <c r="F3281" s="1">
        <v>8.9965299999999999</v>
      </c>
      <c r="G3281" s="1">
        <v>13.438800000000001</v>
      </c>
      <c r="H3281" s="1">
        <v>-0.87015100000000001</v>
      </c>
    </row>
    <row r="3282" spans="1:8" x14ac:dyDescent="0.3">
      <c r="A3282">
        <f t="shared" si="134"/>
        <v>24</v>
      </c>
      <c r="B3282">
        <v>1945</v>
      </c>
      <c r="C3282" s="1">
        <v>19.829435025923779</v>
      </c>
      <c r="D3282" s="9">
        <v>18.03694444444784</v>
      </c>
      <c r="E3282" s="1">
        <v>3.82626</v>
      </c>
      <c r="F3282" s="1">
        <v>9.0576100000000004</v>
      </c>
      <c r="G3282" s="1">
        <v>13.4893</v>
      </c>
      <c r="H3282" s="1">
        <v>-2.1691600000000002</v>
      </c>
    </row>
    <row r="3283" spans="1:8" x14ac:dyDescent="0.3">
      <c r="A3283" t="e">
        <f t="shared" si="134"/>
        <v>#REF!</v>
      </c>
      <c r="B3283">
        <v>1995</v>
      </c>
      <c r="C3283" s="1">
        <v>19.54558855151447</v>
      </c>
      <c r="D3283" s="9">
        <v>18.08416666667015</v>
      </c>
      <c r="E3283" s="1">
        <v>3.1164100000000001</v>
      </c>
      <c r="F3283" s="1">
        <v>9.0974900000000005</v>
      </c>
      <c r="G3283" s="1">
        <v>13.6092</v>
      </c>
      <c r="H3283" s="1">
        <v>-3.4649200000000002</v>
      </c>
    </row>
    <row r="3284" spans="1:8" x14ac:dyDescent="0.3">
      <c r="A3284">
        <f t="shared" si="134"/>
        <v>40</v>
      </c>
      <c r="B3284">
        <v>2045</v>
      </c>
      <c r="C3284" s="1">
        <v>19.367870915756811</v>
      </c>
      <c r="D3284" s="9">
        <v>18.131388888892459</v>
      </c>
      <c r="E3284" s="1">
        <v>2.85459</v>
      </c>
      <c r="F3284" s="1">
        <v>8.9526400000000006</v>
      </c>
      <c r="G3284" s="1">
        <v>13.667</v>
      </c>
      <c r="H3284" s="1">
        <v>-4.6279700000000004</v>
      </c>
    </row>
    <row r="3285" spans="1:8" x14ac:dyDescent="0.3">
      <c r="A3285" t="e">
        <f t="shared" si="134"/>
        <v>#REF!</v>
      </c>
      <c r="B3285">
        <v>2095</v>
      </c>
      <c r="C3285" s="1">
        <v>19.21</v>
      </c>
      <c r="D3285" s="9">
        <v>18.178611111114769</v>
      </c>
      <c r="E3285" s="1">
        <v>2.81819</v>
      </c>
      <c r="F3285" s="1">
        <v>8.7068200000000004</v>
      </c>
      <c r="G3285" s="1">
        <v>13.7433</v>
      </c>
      <c r="H3285" s="1">
        <v>-5.5713400000000002</v>
      </c>
    </row>
    <row r="3286" spans="1:8" x14ac:dyDescent="0.3">
      <c r="A3286">
        <f t="shared" si="134"/>
        <v>31</v>
      </c>
      <c r="B3286">
        <v>2145</v>
      </c>
      <c r="C3286" s="1">
        <v>19.2</v>
      </c>
      <c r="D3286" s="9">
        <v>18.225833333337079</v>
      </c>
      <c r="E3286" s="1">
        <v>2.7215600000000002</v>
      </c>
      <c r="F3286" s="1">
        <v>8.5103200000000001</v>
      </c>
      <c r="G3286" s="1">
        <v>13.9338</v>
      </c>
      <c r="H3286" s="1">
        <v>-6.20669</v>
      </c>
    </row>
    <row r="3287" spans="1:8" x14ac:dyDescent="0.3">
      <c r="A3287" t="e">
        <f t="shared" si="134"/>
        <v>#REF!</v>
      </c>
      <c r="B3287">
        <v>2195</v>
      </c>
      <c r="C3287" s="1">
        <v>19.15182864566264</v>
      </c>
      <c r="D3287" s="9">
        <v>18.273055555559388</v>
      </c>
      <c r="E3287" s="1">
        <v>2.6516500000000001</v>
      </c>
      <c r="F3287" s="1">
        <v>8.4635099999999994</v>
      </c>
      <c r="G3287" s="1">
        <v>14.0824</v>
      </c>
      <c r="H3287" s="1">
        <v>-6.3744800000000001</v>
      </c>
    </row>
    <row r="3288" spans="1:8" x14ac:dyDescent="0.3">
      <c r="A3288">
        <f t="shared" si="134"/>
        <v>22</v>
      </c>
      <c r="B3288">
        <v>2245</v>
      </c>
      <c r="C3288" s="1">
        <v>19.298122823278849</v>
      </c>
      <c r="D3288" s="9">
        <v>18.320277777781698</v>
      </c>
      <c r="E3288" s="1">
        <v>2.7530399999999999</v>
      </c>
      <c r="F3288" s="1">
        <v>8.6013999999999999</v>
      </c>
      <c r="G3288" s="1">
        <v>14.0181</v>
      </c>
      <c r="H3288" s="1">
        <v>-5.9551299999999996</v>
      </c>
    </row>
    <row r="3289" spans="1:8" x14ac:dyDescent="0.3">
      <c r="A3289" t="e">
        <f t="shared" si="134"/>
        <v>#REF!</v>
      </c>
      <c r="B3289">
        <v>2295</v>
      </c>
      <c r="C3289" s="1">
        <v>19.536911084301149</v>
      </c>
      <c r="D3289" s="9">
        <v>18.367500000004007</v>
      </c>
      <c r="E3289" s="1">
        <v>2.8875999999999999</v>
      </c>
      <c r="F3289" s="1">
        <v>8.7126099999999997</v>
      </c>
      <c r="G3289" s="1">
        <v>13.88</v>
      </c>
      <c r="H3289" s="1">
        <v>-5.1319100000000004</v>
      </c>
    </row>
    <row r="3290" spans="1:8" x14ac:dyDescent="0.3">
      <c r="A3290">
        <f t="shared" si="134"/>
        <v>38</v>
      </c>
      <c r="B3290">
        <v>2345</v>
      </c>
      <c r="C3290" s="1">
        <v>19.927369210820348</v>
      </c>
      <c r="D3290" s="9">
        <v>18.414722222226317</v>
      </c>
      <c r="E3290" s="1">
        <v>2.8835299999999999</v>
      </c>
      <c r="F3290" s="1">
        <v>8.5715699999999995</v>
      </c>
      <c r="G3290" s="1">
        <v>13.8462</v>
      </c>
      <c r="H3290" s="1">
        <v>-4.1476699999999997</v>
      </c>
    </row>
    <row r="3291" spans="1:8" x14ac:dyDescent="0.3">
      <c r="A3291" t="e">
        <f t="shared" si="134"/>
        <v>#REF!</v>
      </c>
      <c r="B3291">
        <v>2395</v>
      </c>
      <c r="C3291" s="1">
        <v>20.392802623616461</v>
      </c>
      <c r="D3291" s="9">
        <v>18.461944444448626</v>
      </c>
      <c r="E3291" s="1">
        <v>2.8305099999999999</v>
      </c>
      <c r="F3291" s="1">
        <v>8.2566000000000006</v>
      </c>
      <c r="G3291" s="1">
        <v>13.8207</v>
      </c>
      <c r="H3291" s="1">
        <v>-3.0844499999999999</v>
      </c>
    </row>
    <row r="3292" spans="1:8" x14ac:dyDescent="0.3">
      <c r="A3292">
        <f t="shared" si="134"/>
        <v>29</v>
      </c>
      <c r="B3292">
        <v>2445</v>
      </c>
      <c r="C3292" s="1">
        <v>20.996831718872901</v>
      </c>
      <c r="D3292" s="9">
        <v>18.509166666670936</v>
      </c>
      <c r="E3292" s="1">
        <v>2.8359700000000001</v>
      </c>
      <c r="F3292" s="1">
        <v>7.944</v>
      </c>
      <c r="G3292" s="1">
        <v>13.685700000000001</v>
      </c>
      <c r="H3292" s="1">
        <v>-1.96831</v>
      </c>
    </row>
    <row r="3293" spans="1:8" x14ac:dyDescent="0.3">
      <c r="A3293" t="e">
        <f t="shared" si="134"/>
        <v>#REF!</v>
      </c>
      <c r="B3293">
        <v>2495</v>
      </c>
      <c r="C3293" s="1">
        <v>21.50865538590714</v>
      </c>
      <c r="D3293" s="9">
        <v>18.556388888893245</v>
      </c>
      <c r="E3293" s="1">
        <v>2.7018900000000001</v>
      </c>
      <c r="F3293" s="1">
        <v>7.8324100000000003</v>
      </c>
      <c r="G3293" s="1">
        <v>13.625999999999999</v>
      </c>
      <c r="H3293" s="1">
        <v>-0.79128200000000004</v>
      </c>
    </row>
    <row r="3294" spans="1:8" x14ac:dyDescent="0.3">
      <c r="A3294">
        <f t="shared" si="134"/>
        <v>45</v>
      </c>
      <c r="B3294">
        <v>2545</v>
      </c>
      <c r="C3294" s="1">
        <v>22.003501886735449</v>
      </c>
      <c r="D3294" s="9">
        <v>18.603611111115555</v>
      </c>
      <c r="E3294" s="1">
        <v>2.2116600000000002</v>
      </c>
      <c r="F3294" s="1">
        <v>8.0471900000000005</v>
      </c>
      <c r="G3294" s="1">
        <v>13.843</v>
      </c>
      <c r="H3294" s="1">
        <v>0.45338299999999998</v>
      </c>
    </row>
    <row r="3295" spans="1:8" x14ac:dyDescent="0.3">
      <c r="A3295" t="e">
        <f t="shared" si="134"/>
        <v>#REF!</v>
      </c>
      <c r="B3295">
        <v>2595</v>
      </c>
      <c r="C3295" s="1">
        <v>22.375445336154812</v>
      </c>
      <c r="D3295" s="9">
        <v>18.650833333337864</v>
      </c>
      <c r="E3295" s="1">
        <v>1.5128900000000001</v>
      </c>
      <c r="F3295" s="1">
        <v>8.3217700000000008</v>
      </c>
      <c r="G3295" s="1">
        <v>14.1698</v>
      </c>
      <c r="H3295" s="1">
        <v>1.71651</v>
      </c>
    </row>
    <row r="3296" spans="1:8" x14ac:dyDescent="0.3">
      <c r="A3296">
        <f t="shared" si="134"/>
        <v>36</v>
      </c>
      <c r="B3296">
        <v>2645</v>
      </c>
      <c r="C3296" s="1">
        <v>22.675521978849719</v>
      </c>
      <c r="D3296" s="9">
        <v>18.698055555560174</v>
      </c>
      <c r="E3296" s="1">
        <v>0.872645</v>
      </c>
      <c r="F3296" s="1">
        <v>8.3397699999999997</v>
      </c>
      <c r="G3296" s="1">
        <v>14.352</v>
      </c>
      <c r="H3296" s="1">
        <v>2.9283700000000001</v>
      </c>
    </row>
    <row r="3297" spans="1:8" x14ac:dyDescent="0.3">
      <c r="A3297" t="e">
        <f t="shared" si="134"/>
        <v>#REF!</v>
      </c>
      <c r="B3297">
        <v>2695</v>
      </c>
      <c r="C3297" s="1">
        <v>23.2</v>
      </c>
      <c r="D3297" s="9">
        <v>18.745277777782483</v>
      </c>
      <c r="E3297" s="1">
        <v>0.59952300000000003</v>
      </c>
      <c r="F3297" s="1">
        <v>8.1247299999999996</v>
      </c>
      <c r="G3297" s="1">
        <v>14.2531</v>
      </c>
      <c r="H3297" s="1">
        <v>4.0015599999999996</v>
      </c>
    </row>
    <row r="3298" spans="1:8" x14ac:dyDescent="0.3">
      <c r="A3298">
        <f t="shared" si="134"/>
        <v>27</v>
      </c>
      <c r="B3298">
        <v>2745</v>
      </c>
      <c r="C3298" s="1">
        <v>23.62502439534401</v>
      </c>
      <c r="D3298" s="9">
        <v>18.792500000004793</v>
      </c>
      <c r="E3298" s="1">
        <v>0.92679500000000004</v>
      </c>
      <c r="F3298" s="1">
        <v>7.8423999999999996</v>
      </c>
      <c r="G3298" s="1">
        <v>13.833399999999999</v>
      </c>
      <c r="H3298" s="1">
        <v>4.8504699999999996</v>
      </c>
    </row>
    <row r="3299" spans="1:8" x14ac:dyDescent="0.3">
      <c r="A3299" t="e">
        <f t="shared" si="134"/>
        <v>#REF!</v>
      </c>
      <c r="B3299">
        <v>2795</v>
      </c>
      <c r="C3299" s="1">
        <v>23.971380065497389</v>
      </c>
      <c r="D3299" s="9">
        <v>18.839722222227103</v>
      </c>
      <c r="E3299" s="1">
        <v>1.66214</v>
      </c>
      <c r="F3299" s="1">
        <v>7.8467399999999996</v>
      </c>
      <c r="G3299" s="1">
        <v>13.349299999999999</v>
      </c>
      <c r="H3299" s="1">
        <v>5.4235199999999999</v>
      </c>
    </row>
    <row r="3300" spans="1:8" x14ac:dyDescent="0.3">
      <c r="A3300">
        <f t="shared" si="134"/>
        <v>43</v>
      </c>
      <c r="B3300">
        <v>2845</v>
      </c>
      <c r="C3300" s="1">
        <v>24.196507950487611</v>
      </c>
      <c r="D3300" s="9">
        <v>18.886944444449412</v>
      </c>
      <c r="E3300" s="1">
        <v>2.4869699999999999</v>
      </c>
      <c r="F3300" s="1">
        <v>8.4607700000000001</v>
      </c>
      <c r="G3300" s="1">
        <v>13.1234</v>
      </c>
      <c r="H3300" s="1">
        <v>5.7192800000000004</v>
      </c>
    </row>
    <row r="3301" spans="1:8" x14ac:dyDescent="0.3">
      <c r="A3301" t="e">
        <f t="shared" si="134"/>
        <v>#REF!</v>
      </c>
      <c r="B3301">
        <v>2895</v>
      </c>
      <c r="C3301" s="1">
        <v>24.33</v>
      </c>
      <c r="D3301" s="9">
        <v>18.934166666671722</v>
      </c>
      <c r="E3301" s="1">
        <v>3.0937800000000002</v>
      </c>
      <c r="F3301" s="1">
        <v>9.5809999999999995</v>
      </c>
      <c r="G3301" s="1">
        <v>13.368</v>
      </c>
      <c r="H3301" s="1">
        <v>5.9275200000000003</v>
      </c>
    </row>
    <row r="3302" spans="1:8" x14ac:dyDescent="0.3">
      <c r="A3302">
        <f t="shared" si="134"/>
        <v>34</v>
      </c>
      <c r="B3302">
        <v>2945</v>
      </c>
      <c r="C3302" s="1">
        <v>24.17139671564389</v>
      </c>
      <c r="D3302" s="9">
        <v>18.981388888894031</v>
      </c>
      <c r="E3302" s="1">
        <v>3.2862300000000002</v>
      </c>
      <c r="F3302" s="1">
        <v>10.955399999999999</v>
      </c>
      <c r="G3302" s="1">
        <v>14.1935</v>
      </c>
      <c r="H3302" s="1">
        <v>6.24038</v>
      </c>
    </row>
    <row r="3303" spans="1:8" x14ac:dyDescent="0.3">
      <c r="A3303">
        <f t="shared" si="134"/>
        <v>0</v>
      </c>
      <c r="B3303">
        <v>2995</v>
      </c>
      <c r="C3303" s="1">
        <v>24.008885569655462</v>
      </c>
      <c r="D3303" s="9">
        <v>19.028611111116341</v>
      </c>
      <c r="E3303" s="1">
        <v>3.3868900000000002</v>
      </c>
      <c r="F3303" s="1">
        <v>12.237500000000001</v>
      </c>
      <c r="G3303" s="1">
        <v>15.379300000000001</v>
      </c>
      <c r="H3303" s="1">
        <v>6.58934</v>
      </c>
    </row>
    <row r="3304" spans="1:8" x14ac:dyDescent="0.3">
      <c r="A3304">
        <f t="shared" si="134"/>
        <v>25</v>
      </c>
      <c r="B3304">
        <v>3045</v>
      </c>
      <c r="C3304" s="1">
        <v>23.869947696288339</v>
      </c>
      <c r="D3304" s="9">
        <v>19.07583333333865</v>
      </c>
      <c r="E3304" s="1">
        <v>3.7998099999999999</v>
      </c>
      <c r="F3304" s="1">
        <v>13.077400000000001</v>
      </c>
      <c r="G3304" s="1">
        <v>16.603400000000001</v>
      </c>
      <c r="H3304" s="1">
        <v>6.8773299999999997</v>
      </c>
    </row>
    <row r="3305" spans="1:8" x14ac:dyDescent="0.3">
      <c r="A3305" t="e">
        <f t="shared" si="134"/>
        <v>#REF!</v>
      </c>
      <c r="B3305">
        <v>3095</v>
      </c>
      <c r="C3305" s="1">
        <v>23.581085141193689</v>
      </c>
      <c r="D3305" s="9">
        <v>19.12305555556096</v>
      </c>
      <c r="E3305" s="1">
        <v>4.5674099999999997</v>
      </c>
      <c r="F3305" s="1">
        <v>13.258699999999999</v>
      </c>
      <c r="G3305" s="1">
        <v>17.5381</v>
      </c>
      <c r="H3305" s="1">
        <v>7.2385599999999997</v>
      </c>
    </row>
    <row r="3306" spans="1:8" x14ac:dyDescent="0.3">
      <c r="A3306">
        <f t="shared" si="134"/>
        <v>41</v>
      </c>
      <c r="B3306">
        <v>3145</v>
      </c>
      <c r="C3306" s="1">
        <v>23.192701239440041</v>
      </c>
      <c r="D3306" s="9">
        <v>19.170277777783269</v>
      </c>
      <c r="E3306" s="1">
        <v>5.5936199999999996</v>
      </c>
      <c r="F3306" s="1">
        <v>12.7004</v>
      </c>
      <c r="G3306" s="1">
        <v>17.935400000000001</v>
      </c>
      <c r="H3306" s="1">
        <v>7.83969</v>
      </c>
    </row>
    <row r="3307" spans="1:8" x14ac:dyDescent="0.3">
      <c r="A3307" t="e">
        <f t="shared" si="134"/>
        <v>#REF!</v>
      </c>
      <c r="B3307">
        <v>3195</v>
      </c>
      <c r="C3307" s="1">
        <v>22.814421443410449</v>
      </c>
      <c r="D3307" s="9">
        <v>19.217500000005579</v>
      </c>
      <c r="E3307" s="1">
        <v>6.6668799999999999</v>
      </c>
      <c r="F3307" s="1">
        <v>11.684900000000001</v>
      </c>
      <c r="G3307" s="1">
        <v>17.866900000000001</v>
      </c>
      <c r="H3307" s="1">
        <v>8.7075700000000005</v>
      </c>
    </row>
    <row r="3308" spans="1:8" x14ac:dyDescent="0.3">
      <c r="A3308">
        <f t="shared" si="134"/>
        <v>32</v>
      </c>
      <c r="B3308">
        <v>3245</v>
      </c>
      <c r="C3308" s="1">
        <v>22.466110913600101</v>
      </c>
      <c r="D3308" s="9">
        <v>19.264722222227888</v>
      </c>
      <c r="E3308" s="1">
        <v>7.6048499999999999</v>
      </c>
      <c r="F3308" s="1">
        <v>10.574299999999999</v>
      </c>
      <c r="G3308" s="1">
        <v>17.5014</v>
      </c>
      <c r="H3308" s="1">
        <v>9.8165899999999997</v>
      </c>
    </row>
    <row r="3309" spans="1:8" x14ac:dyDescent="0.3">
      <c r="A3309" t="e">
        <f t="shared" ref="A3309:A3315" si="135">A3259</f>
        <v>#REF!</v>
      </c>
      <c r="B3309">
        <v>3295</v>
      </c>
      <c r="C3309" s="1">
        <v>22.046616059637881</v>
      </c>
      <c r="D3309" s="9">
        <v>19.311944444450198</v>
      </c>
      <c r="E3309" s="1">
        <v>8.5373000000000001</v>
      </c>
      <c r="F3309" s="1">
        <v>9.7953700000000001</v>
      </c>
      <c r="G3309" s="1">
        <v>17.0976</v>
      </c>
      <c r="H3309" s="1">
        <v>11.0991</v>
      </c>
    </row>
    <row r="3310" spans="1:8" x14ac:dyDescent="0.3">
      <c r="A3310">
        <f t="shared" si="135"/>
        <v>23</v>
      </c>
      <c r="B3310">
        <v>3345</v>
      </c>
      <c r="C3310" s="1">
        <v>21.72001706979837</v>
      </c>
      <c r="D3310" s="9">
        <v>19.359166666672508</v>
      </c>
      <c r="E3310" s="1">
        <v>9.9213900000000006</v>
      </c>
      <c r="F3310" s="1">
        <v>10.4125</v>
      </c>
      <c r="G3310" s="1">
        <v>17.116900000000001</v>
      </c>
      <c r="H3310" s="1">
        <v>12.5174</v>
      </c>
    </row>
    <row r="3311" spans="1:8" x14ac:dyDescent="0.3">
      <c r="A3311" t="e">
        <f t="shared" si="135"/>
        <v>#REF!</v>
      </c>
      <c r="B3311">
        <v>3395</v>
      </c>
      <c r="C3311" s="1">
        <v>21.406578115708069</v>
      </c>
      <c r="D3311" s="9">
        <v>19.406388888894817</v>
      </c>
      <c r="E3311" s="1">
        <v>11.6614</v>
      </c>
      <c r="F3311" s="1">
        <v>11.8973</v>
      </c>
      <c r="G3311" s="1">
        <v>17.371600000000001</v>
      </c>
      <c r="H3311" s="1">
        <v>13.942399999999999</v>
      </c>
    </row>
    <row r="3312" spans="1:8" x14ac:dyDescent="0.3">
      <c r="A3312">
        <f t="shared" si="135"/>
        <v>39</v>
      </c>
      <c r="B3312">
        <v>3445</v>
      </c>
      <c r="C3312" s="1">
        <v>20.981719242040072</v>
      </c>
      <c r="D3312" s="9">
        <v>19.453611111117127</v>
      </c>
      <c r="E3312" s="1">
        <v>13.5291</v>
      </c>
      <c r="F3312" s="1">
        <v>13.641500000000001</v>
      </c>
      <c r="G3312" s="1">
        <v>17.767199999999999</v>
      </c>
      <c r="H3312" s="1">
        <v>15.3428</v>
      </c>
    </row>
    <row r="3313" spans="1:8" x14ac:dyDescent="0.3">
      <c r="A3313" t="e">
        <f t="shared" si="135"/>
        <v>#REF!</v>
      </c>
      <c r="B3313">
        <v>3495</v>
      </c>
      <c r="C3313" s="1">
        <v>20.453564030283481</v>
      </c>
      <c r="D3313" s="9">
        <v>19.500833333339436</v>
      </c>
      <c r="E3313" s="1">
        <v>15.458</v>
      </c>
      <c r="F3313" s="1">
        <v>15.507</v>
      </c>
      <c r="G3313" s="1">
        <v>18.276399999999999</v>
      </c>
      <c r="H3313" s="1">
        <v>16.726700000000001</v>
      </c>
    </row>
    <row r="3314" spans="1:8" x14ac:dyDescent="0.3">
      <c r="A3314">
        <f t="shared" si="135"/>
        <v>30</v>
      </c>
      <c r="B3314">
        <v>3545</v>
      </c>
      <c r="C3314" s="1">
        <v>20.083242036331761</v>
      </c>
      <c r="D3314" s="9">
        <v>19.548055555561746</v>
      </c>
      <c r="E3314" s="1">
        <v>17.419899999999998</v>
      </c>
      <c r="F3314" s="1">
        <v>17.436299999999999</v>
      </c>
      <c r="G3314" s="1">
        <v>18.870999999999999</v>
      </c>
      <c r="H3314" s="1">
        <v>18.099399999999999</v>
      </c>
    </row>
    <row r="3315" spans="1:8" x14ac:dyDescent="0.3">
      <c r="A3315" t="e">
        <f t="shared" si="135"/>
        <v>#REF!</v>
      </c>
      <c r="B3315">
        <v>3595</v>
      </c>
      <c r="C3315" s="1">
        <v>19.644194529337511</v>
      </c>
      <c r="D3315" s="9">
        <v>19.595277777784055</v>
      </c>
      <c r="E3315" s="1">
        <v>19.4011</v>
      </c>
      <c r="F3315" s="1">
        <v>19.402000000000001</v>
      </c>
      <c r="G3315" s="1">
        <v>19.530999999999999</v>
      </c>
      <c r="H3315" s="1">
        <v>19.463899999999999</v>
      </c>
    </row>
    <row r="3316" spans="1:8" x14ac:dyDescent="0.3">
      <c r="A3316">
        <v>46</v>
      </c>
      <c r="B3316">
        <v>46</v>
      </c>
      <c r="C3316" s="1">
        <v>16.190000000000001</v>
      </c>
      <c r="D3316" s="9">
        <v>16.243444444444524</v>
      </c>
      <c r="E3316" s="1">
        <v>14.498799999999999</v>
      </c>
      <c r="F3316" s="1">
        <v>14.385899999999999</v>
      </c>
      <c r="G3316" s="1">
        <v>15.649900000000001</v>
      </c>
      <c r="H3316" s="1">
        <v>14.483499999999999</v>
      </c>
    </row>
    <row r="3317" spans="1:8" x14ac:dyDescent="0.3">
      <c r="A3317" t="e">
        <f t="shared" ref="A3317:A3348" si="136">A3267</f>
        <v>#REF!</v>
      </c>
      <c r="B3317">
        <v>96</v>
      </c>
      <c r="C3317" s="1">
        <v>16.23</v>
      </c>
      <c r="D3317" s="9">
        <v>16.290666666666834</v>
      </c>
      <c r="E3317" s="1">
        <v>12.673500000000001</v>
      </c>
      <c r="F3317" s="1">
        <v>12.444900000000001</v>
      </c>
      <c r="G3317" s="1">
        <v>15.1076</v>
      </c>
      <c r="H3317" s="1">
        <v>12.6088</v>
      </c>
    </row>
    <row r="3318" spans="1:8" x14ac:dyDescent="0.3">
      <c r="A3318">
        <f t="shared" si="136"/>
        <v>37</v>
      </c>
      <c r="B3318">
        <v>146</v>
      </c>
      <c r="C3318" s="1">
        <v>16.417473214186781</v>
      </c>
      <c r="D3318" s="9">
        <v>16.337888888889143</v>
      </c>
      <c r="E3318" s="1">
        <v>10.883900000000001</v>
      </c>
      <c r="F3318" s="1">
        <v>10.558299999999999</v>
      </c>
      <c r="G3318" s="1">
        <v>14.6373</v>
      </c>
      <c r="H3318" s="1">
        <v>10.724</v>
      </c>
    </row>
    <row r="3319" spans="1:8" x14ac:dyDescent="0.3">
      <c r="A3319" t="e">
        <f t="shared" si="136"/>
        <v>#REF!</v>
      </c>
      <c r="B3319">
        <v>196</v>
      </c>
      <c r="C3319" s="1">
        <v>16.73324752067062</v>
      </c>
      <c r="D3319" s="9">
        <v>16.385111111111453</v>
      </c>
      <c r="E3319" s="1">
        <v>9.1497100000000007</v>
      </c>
      <c r="F3319" s="1">
        <v>8.7724399999999996</v>
      </c>
      <c r="G3319" s="1">
        <v>14.256600000000001</v>
      </c>
      <c r="H3319" s="1">
        <v>8.8298100000000002</v>
      </c>
    </row>
    <row r="3320" spans="1:8" x14ac:dyDescent="0.3">
      <c r="A3320">
        <f t="shared" si="136"/>
        <v>28</v>
      </c>
      <c r="B3320">
        <v>246</v>
      </c>
      <c r="C3320" s="1">
        <v>16.87</v>
      </c>
      <c r="D3320" s="9">
        <v>16.432333333333762</v>
      </c>
      <c r="E3320" s="1">
        <v>7.5087999999999999</v>
      </c>
      <c r="F3320" s="1">
        <v>7.1947799999999997</v>
      </c>
      <c r="G3320" s="1">
        <v>13.974299999999999</v>
      </c>
      <c r="H3320" s="1">
        <v>6.93492</v>
      </c>
    </row>
    <row r="3321" spans="1:8" x14ac:dyDescent="0.3">
      <c r="A3321" t="e">
        <f t="shared" si="136"/>
        <v>#REF!</v>
      </c>
      <c r="B3321">
        <v>296</v>
      </c>
      <c r="C3321" s="1">
        <v>17.07</v>
      </c>
      <c r="D3321" s="9">
        <v>16.479555555556072</v>
      </c>
      <c r="E3321" s="1">
        <v>6.0989599999999999</v>
      </c>
      <c r="F3321" s="1">
        <v>6.2235699999999996</v>
      </c>
      <c r="G3321" s="1">
        <v>13.8048</v>
      </c>
      <c r="H3321" s="1">
        <v>5.1676900000000003</v>
      </c>
    </row>
    <row r="3322" spans="1:8" x14ac:dyDescent="0.3">
      <c r="A3322">
        <f t="shared" si="136"/>
        <v>44</v>
      </c>
      <c r="B3322">
        <v>346</v>
      </c>
      <c r="C3322" s="1">
        <v>17.287222534595319</v>
      </c>
      <c r="D3322" s="9">
        <v>16.526777777778381</v>
      </c>
      <c r="E3322" s="1">
        <v>5.1887499999999998</v>
      </c>
      <c r="F3322" s="1">
        <v>6.36822</v>
      </c>
      <c r="G3322" s="1">
        <v>13.9664</v>
      </c>
      <c r="H3322" s="1">
        <v>3.9189799999999999</v>
      </c>
    </row>
    <row r="3323" spans="1:8" x14ac:dyDescent="0.3">
      <c r="A3323" t="e">
        <f t="shared" si="136"/>
        <v>#REF!</v>
      </c>
      <c r="B3323">
        <v>396</v>
      </c>
      <c r="C3323" s="1">
        <v>17.5</v>
      </c>
      <c r="D3323" s="9">
        <v>16.574000000000691</v>
      </c>
      <c r="E3323" s="1">
        <v>4.56935</v>
      </c>
      <c r="F3323" s="1">
        <v>6.6798400000000004</v>
      </c>
      <c r="G3323" s="1">
        <v>14.073499999999999</v>
      </c>
      <c r="H3323" s="1">
        <v>3.0449299999999999</v>
      </c>
    </row>
    <row r="3324" spans="1:8" x14ac:dyDescent="0.3">
      <c r="A3324">
        <f t="shared" si="136"/>
        <v>35</v>
      </c>
      <c r="B3324">
        <v>446</v>
      </c>
      <c r="C3324" s="1">
        <v>17.803076251948909</v>
      </c>
      <c r="D3324" s="9">
        <v>16.621222222223</v>
      </c>
      <c r="E3324" s="1">
        <v>4.16831</v>
      </c>
      <c r="F3324" s="1">
        <v>6.7067899999999998</v>
      </c>
      <c r="G3324" s="1">
        <v>13.899100000000001</v>
      </c>
      <c r="H3324" s="1">
        <v>2.5110199999999998</v>
      </c>
    </row>
    <row r="3325" spans="1:8" x14ac:dyDescent="0.3">
      <c r="A3325" t="e">
        <f t="shared" si="136"/>
        <v>#REF!</v>
      </c>
      <c r="B3325">
        <v>496</v>
      </c>
      <c r="C3325" s="1">
        <v>17.959237427674829</v>
      </c>
      <c r="D3325" s="9">
        <v>16.66844444444531</v>
      </c>
      <c r="E3325" s="1">
        <v>3.72451</v>
      </c>
      <c r="F3325" s="1">
        <v>6.33765</v>
      </c>
      <c r="G3325" s="1">
        <v>13.561199999999999</v>
      </c>
      <c r="H3325" s="1">
        <v>2.05613</v>
      </c>
    </row>
    <row r="3326" spans="1:8" x14ac:dyDescent="0.3">
      <c r="A3326">
        <f t="shared" si="136"/>
        <v>26</v>
      </c>
      <c r="B3326">
        <v>546</v>
      </c>
      <c r="C3326" s="1">
        <v>18.14110584720444</v>
      </c>
      <c r="D3326" s="9">
        <v>16.715666666667619</v>
      </c>
      <c r="E3326" s="1">
        <v>2.9751400000000001</v>
      </c>
      <c r="F3326" s="1">
        <v>5.55863</v>
      </c>
      <c r="G3326" s="1">
        <v>13.23</v>
      </c>
      <c r="H3326" s="1">
        <v>1.40337</v>
      </c>
    </row>
    <row r="3327" spans="1:8" x14ac:dyDescent="0.3">
      <c r="A3327" t="e">
        <f t="shared" si="136"/>
        <v>#REF!</v>
      </c>
      <c r="B3327">
        <v>596</v>
      </c>
      <c r="C3327" s="1">
        <v>18.37</v>
      </c>
      <c r="D3327" s="9">
        <v>16.762888888889929</v>
      </c>
      <c r="E3327" s="1">
        <v>2.05498</v>
      </c>
      <c r="F3327" s="1">
        <v>4.5478800000000001</v>
      </c>
      <c r="G3327" s="1">
        <v>12.8729</v>
      </c>
      <c r="H3327" s="1">
        <v>0.66875799999999996</v>
      </c>
    </row>
    <row r="3328" spans="1:8" x14ac:dyDescent="0.3">
      <c r="A3328">
        <f t="shared" si="136"/>
        <v>42</v>
      </c>
      <c r="B3328">
        <v>646</v>
      </c>
      <c r="C3328" s="1">
        <v>18.501546244649109</v>
      </c>
      <c r="D3328" s="9">
        <v>16.810111111112239</v>
      </c>
      <c r="E3328" s="1">
        <v>1.22689</v>
      </c>
      <c r="F3328" s="1">
        <v>3.5478000000000001</v>
      </c>
      <c r="G3328" s="1">
        <v>12.441700000000001</v>
      </c>
      <c r="H3328" s="1">
        <v>0.106292</v>
      </c>
    </row>
    <row r="3329" spans="1:8" x14ac:dyDescent="0.3">
      <c r="A3329" t="e">
        <f t="shared" si="136"/>
        <v>#REF!</v>
      </c>
      <c r="B3329">
        <v>696</v>
      </c>
      <c r="C3329" s="1">
        <v>18.67885842150293</v>
      </c>
      <c r="D3329" s="9">
        <v>16.857333333334548</v>
      </c>
      <c r="E3329" s="1">
        <v>0.71947099999999997</v>
      </c>
      <c r="F3329" s="1">
        <v>2.7728700000000002</v>
      </c>
      <c r="G3329" s="1">
        <v>12.1424</v>
      </c>
      <c r="H3329" s="1">
        <v>4.5654199999999997E-3</v>
      </c>
    </row>
    <row r="3330" spans="1:8" x14ac:dyDescent="0.3">
      <c r="A3330">
        <f t="shared" si="136"/>
        <v>33</v>
      </c>
      <c r="B3330">
        <v>746</v>
      </c>
      <c r="C3330" s="1">
        <v>18.808765213281351</v>
      </c>
      <c r="D3330" s="9">
        <v>16.904555555556858</v>
      </c>
      <c r="E3330" s="1">
        <v>0.68104200000000004</v>
      </c>
      <c r="F3330" s="1">
        <v>2.3593299999999999</v>
      </c>
      <c r="G3330" s="1">
        <v>12.2011</v>
      </c>
      <c r="H3330" s="1">
        <v>0.57150900000000004</v>
      </c>
    </row>
    <row r="3331" spans="1:8" x14ac:dyDescent="0.3">
      <c r="A3331" t="e">
        <f t="shared" si="136"/>
        <v>#REF!</v>
      </c>
      <c r="B3331">
        <v>796</v>
      </c>
      <c r="C3331" s="1">
        <v>19.14168052900559</v>
      </c>
      <c r="D3331" s="9">
        <v>16.951777777779167</v>
      </c>
      <c r="E3331" s="1">
        <v>0.92408699999999999</v>
      </c>
      <c r="F3331" s="1">
        <v>2.1092200000000001</v>
      </c>
      <c r="G3331" s="1">
        <v>12.5562</v>
      </c>
      <c r="H3331" s="1">
        <v>1.5719700000000001</v>
      </c>
    </row>
    <row r="3332" spans="1:8" x14ac:dyDescent="0.3">
      <c r="A3332">
        <f t="shared" si="136"/>
        <v>24</v>
      </c>
      <c r="B3332">
        <v>846</v>
      </c>
      <c r="C3332" s="1">
        <v>19.387893400912979</v>
      </c>
      <c r="D3332" s="9">
        <v>16.999000000001477</v>
      </c>
      <c r="E3332" s="1">
        <v>1.2078</v>
      </c>
      <c r="F3332" s="1">
        <v>1.80477</v>
      </c>
      <c r="G3332" s="1">
        <v>13.0327</v>
      </c>
      <c r="H3332" s="1">
        <v>2.6335799999999998</v>
      </c>
    </row>
    <row r="3333" spans="1:8" x14ac:dyDescent="0.3">
      <c r="A3333" t="e">
        <f t="shared" si="136"/>
        <v>#REF!</v>
      </c>
      <c r="B3333">
        <v>896</v>
      </c>
      <c r="C3333" s="1">
        <v>19.684057987364621</v>
      </c>
      <c r="D3333" s="9">
        <v>17.046222222223786</v>
      </c>
      <c r="E3333" s="1">
        <v>1.5326</v>
      </c>
      <c r="F3333" s="1">
        <v>1.6305099999999999</v>
      </c>
      <c r="G3333" s="1">
        <v>13.333299999999999</v>
      </c>
      <c r="H3333" s="1">
        <v>3.3738899999999998</v>
      </c>
    </row>
    <row r="3334" spans="1:8" x14ac:dyDescent="0.3">
      <c r="A3334">
        <f t="shared" si="136"/>
        <v>40</v>
      </c>
      <c r="B3334">
        <v>946</v>
      </c>
      <c r="C3334" s="1">
        <v>19.955125892308839</v>
      </c>
      <c r="D3334" s="9">
        <v>17.093444444446096</v>
      </c>
      <c r="E3334" s="1">
        <v>1.93326</v>
      </c>
      <c r="F3334" s="1">
        <v>1.8297699999999999</v>
      </c>
      <c r="G3334" s="1">
        <v>13.2159</v>
      </c>
      <c r="H3334" s="1">
        <v>3.5013700000000001</v>
      </c>
    </row>
    <row r="3335" spans="1:8" x14ac:dyDescent="0.3">
      <c r="A3335" t="e">
        <f t="shared" si="136"/>
        <v>#REF!</v>
      </c>
      <c r="B3335">
        <v>996</v>
      </c>
      <c r="C3335" s="1">
        <v>20.341415554268469</v>
      </c>
      <c r="D3335" s="9">
        <v>17.140666666668405</v>
      </c>
      <c r="E3335" s="1">
        <v>2.2529300000000001</v>
      </c>
      <c r="F3335" s="1">
        <v>2.3348399999999998</v>
      </c>
      <c r="G3335" s="1">
        <v>12.8934</v>
      </c>
      <c r="H3335" s="1">
        <v>3.1810299999999998</v>
      </c>
    </row>
    <row r="3336" spans="1:8" x14ac:dyDescent="0.3">
      <c r="A3336">
        <f t="shared" si="136"/>
        <v>31</v>
      </c>
      <c r="B3336">
        <v>1046</v>
      </c>
      <c r="C3336" s="1">
        <v>20.769010311405388</v>
      </c>
      <c r="D3336" s="9">
        <v>17.187888888890715</v>
      </c>
      <c r="E3336" s="1">
        <v>2.3348399999999998</v>
      </c>
      <c r="F3336" s="1">
        <v>2.9582199999999998</v>
      </c>
      <c r="G3336" s="1">
        <v>12.676600000000001</v>
      </c>
      <c r="H3336" s="1">
        <v>2.7319499999999999</v>
      </c>
    </row>
    <row r="3337" spans="1:8" x14ac:dyDescent="0.3">
      <c r="A3337" t="e">
        <f t="shared" si="136"/>
        <v>#REF!</v>
      </c>
      <c r="B3337">
        <v>1096</v>
      </c>
      <c r="C3337" s="1">
        <v>21.154363077821959</v>
      </c>
      <c r="D3337" s="9">
        <v>17.235111111113024</v>
      </c>
      <c r="E3337" s="1">
        <v>2.3067000000000002</v>
      </c>
      <c r="F3337" s="1">
        <v>3.39045</v>
      </c>
      <c r="G3337" s="1">
        <v>12.676</v>
      </c>
      <c r="H3337" s="1">
        <v>2.54901</v>
      </c>
    </row>
    <row r="3338" spans="1:8" x14ac:dyDescent="0.3">
      <c r="A3338">
        <f t="shared" si="136"/>
        <v>22</v>
      </c>
      <c r="B3338">
        <v>1146</v>
      </c>
      <c r="C3338" s="1">
        <v>21.498060998280639</v>
      </c>
      <c r="D3338" s="9">
        <v>17.282333333335334</v>
      </c>
      <c r="E3338" s="1">
        <v>2.32457</v>
      </c>
      <c r="F3338" s="1">
        <v>3.38591</v>
      </c>
      <c r="G3338" s="1">
        <v>12.8942</v>
      </c>
      <c r="H3338" s="1">
        <v>2.9463300000000001</v>
      </c>
    </row>
    <row r="3339" spans="1:8" x14ac:dyDescent="0.3">
      <c r="A3339" t="e">
        <f t="shared" si="136"/>
        <v>#REF!</v>
      </c>
      <c r="B3339">
        <v>1196</v>
      </c>
      <c r="C3339" s="1">
        <v>21.902912037139391</v>
      </c>
      <c r="D3339" s="9">
        <v>17.329555555557643</v>
      </c>
      <c r="E3339" s="1">
        <v>2.2631800000000002</v>
      </c>
      <c r="F3339" s="1">
        <v>3.1859000000000002</v>
      </c>
      <c r="G3339" s="1">
        <v>13.1084</v>
      </c>
      <c r="H3339" s="1">
        <v>3.7386699999999999</v>
      </c>
    </row>
    <row r="3340" spans="1:8" x14ac:dyDescent="0.3">
      <c r="A3340">
        <f t="shared" si="136"/>
        <v>38</v>
      </c>
      <c r="B3340">
        <v>1246</v>
      </c>
      <c r="C3340" s="1">
        <v>22.326374806228859</v>
      </c>
      <c r="D3340" s="9">
        <v>17.376777777779953</v>
      </c>
      <c r="E3340" s="1">
        <v>1.9867699999999999</v>
      </c>
      <c r="F3340" s="1">
        <v>3.12466</v>
      </c>
      <c r="G3340" s="1">
        <v>13.1037</v>
      </c>
      <c r="H3340" s="1">
        <v>4.6065699999999996</v>
      </c>
    </row>
    <row r="3341" spans="1:8" x14ac:dyDescent="0.3">
      <c r="A3341" t="e">
        <f t="shared" si="136"/>
        <v>#REF!</v>
      </c>
      <c r="B3341">
        <v>1296</v>
      </c>
      <c r="C3341" s="1">
        <v>22.776271633538219</v>
      </c>
      <c r="D3341" s="9">
        <v>17.424000000002263</v>
      </c>
      <c r="E3341" s="1">
        <v>1.7198100000000001</v>
      </c>
      <c r="F3341" s="1">
        <v>3.2762099999999998</v>
      </c>
      <c r="G3341" s="1">
        <v>13.0343</v>
      </c>
      <c r="H3341" s="1">
        <v>5.3072600000000003</v>
      </c>
    </row>
    <row r="3342" spans="1:8" x14ac:dyDescent="0.3">
      <c r="A3342">
        <f t="shared" si="136"/>
        <v>29</v>
      </c>
      <c r="B3342">
        <v>1346</v>
      </c>
      <c r="C3342" s="1">
        <v>23.06193166617355</v>
      </c>
      <c r="D3342" s="9">
        <v>17.471222222224572</v>
      </c>
      <c r="E3342" s="1">
        <v>1.7394099999999999</v>
      </c>
      <c r="F3342" s="1">
        <v>3.6145299999999998</v>
      </c>
      <c r="G3342" s="1">
        <v>13.0992</v>
      </c>
      <c r="H3342" s="1">
        <v>5.68384</v>
      </c>
    </row>
    <row r="3343" spans="1:8" x14ac:dyDescent="0.3">
      <c r="A3343" t="e">
        <f t="shared" si="136"/>
        <v>#REF!</v>
      </c>
      <c r="B3343">
        <v>1396</v>
      </c>
      <c r="C3343" s="1">
        <v>23.23</v>
      </c>
      <c r="D3343" s="9">
        <v>17.518444444446882</v>
      </c>
      <c r="E3343" s="1">
        <v>2.0530400000000002</v>
      </c>
      <c r="F3343" s="1">
        <v>4.0085100000000002</v>
      </c>
      <c r="G3343" s="1">
        <v>13.1778</v>
      </c>
      <c r="H3343" s="1">
        <v>5.8798399999999997</v>
      </c>
    </row>
    <row r="3344" spans="1:8" x14ac:dyDescent="0.3">
      <c r="A3344">
        <f t="shared" si="136"/>
        <v>45</v>
      </c>
      <c r="B3344">
        <v>1446</v>
      </c>
      <c r="C3344" s="1">
        <v>23.265429226998979</v>
      </c>
      <c r="D3344" s="9">
        <v>17.565666666669191</v>
      </c>
      <c r="E3344" s="1">
        <v>2.5559500000000002</v>
      </c>
      <c r="F3344" s="1">
        <v>4.3229100000000003</v>
      </c>
      <c r="G3344" s="1">
        <v>13.1152</v>
      </c>
      <c r="H3344" s="1">
        <v>6.0688199999999997</v>
      </c>
    </row>
    <row r="3345" spans="1:8" x14ac:dyDescent="0.3">
      <c r="A3345" t="e">
        <f t="shared" si="136"/>
        <v>#REF!</v>
      </c>
      <c r="B3345">
        <v>1496</v>
      </c>
      <c r="C3345" s="1">
        <v>23.134800555242609</v>
      </c>
      <c r="D3345" s="9">
        <v>17.612888888891501</v>
      </c>
      <c r="E3345" s="1">
        <v>2.99383</v>
      </c>
      <c r="F3345" s="1">
        <v>4.5530400000000002</v>
      </c>
      <c r="G3345" s="1">
        <v>13.054</v>
      </c>
      <c r="H3345" s="1">
        <v>6.141</v>
      </c>
    </row>
    <row r="3346" spans="1:8" x14ac:dyDescent="0.3">
      <c r="A3346">
        <f t="shared" si="136"/>
        <v>36</v>
      </c>
      <c r="B3346">
        <v>1546</v>
      </c>
      <c r="C3346" s="1">
        <v>22.88150164109296</v>
      </c>
      <c r="D3346" s="9">
        <v>17.66011111111381</v>
      </c>
      <c r="E3346" s="1">
        <v>3.16899</v>
      </c>
      <c r="F3346" s="1">
        <v>4.7668699999999999</v>
      </c>
      <c r="G3346" s="1">
        <v>13.1632</v>
      </c>
      <c r="H3346" s="1">
        <v>5.9321799999999998</v>
      </c>
    </row>
    <row r="3347" spans="1:8" x14ac:dyDescent="0.3">
      <c r="A3347" t="e">
        <f t="shared" si="136"/>
        <v>#REF!</v>
      </c>
      <c r="B3347">
        <v>1596</v>
      </c>
      <c r="C3347" s="1">
        <v>22.526783739139589</v>
      </c>
      <c r="D3347" s="9">
        <v>17.70733333333612</v>
      </c>
      <c r="E3347" s="1">
        <v>3.3685800000000001</v>
      </c>
      <c r="F3347" s="1">
        <v>5.1928900000000002</v>
      </c>
      <c r="G3347" s="1">
        <v>13.3146</v>
      </c>
      <c r="H3347" s="1">
        <v>5.4196999999999997</v>
      </c>
    </row>
    <row r="3348" spans="1:8" x14ac:dyDescent="0.3">
      <c r="A3348">
        <f t="shared" si="136"/>
        <v>27</v>
      </c>
      <c r="B3348">
        <v>1646</v>
      </c>
      <c r="C3348" s="1">
        <v>22.110634380509179</v>
      </c>
      <c r="D3348" s="9">
        <v>17.754555555558429</v>
      </c>
      <c r="E3348" s="1">
        <v>3.9302000000000001</v>
      </c>
      <c r="F3348" s="1">
        <v>6.0282200000000001</v>
      </c>
      <c r="G3348" s="1">
        <v>13.3476</v>
      </c>
      <c r="H3348" s="1">
        <v>4.6339100000000002</v>
      </c>
    </row>
    <row r="3349" spans="1:8" x14ac:dyDescent="0.3">
      <c r="A3349" t="e">
        <f t="shared" ref="A3349:A3380" si="137">A3299</f>
        <v>#REF!</v>
      </c>
      <c r="B3349">
        <v>1696</v>
      </c>
      <c r="C3349" s="1">
        <v>21.732947097640078</v>
      </c>
      <c r="D3349" s="9">
        <v>17.801777777780739</v>
      </c>
      <c r="E3349" s="1">
        <v>4.7427299999999999</v>
      </c>
      <c r="F3349" s="1">
        <v>7.09307</v>
      </c>
      <c r="G3349" s="1">
        <v>13.3689</v>
      </c>
      <c r="H3349" s="1">
        <v>3.6575899999999999</v>
      </c>
    </row>
    <row r="3350" spans="1:8" x14ac:dyDescent="0.3">
      <c r="A3350">
        <f t="shared" si="137"/>
        <v>43</v>
      </c>
      <c r="B3350">
        <v>1746</v>
      </c>
      <c r="C3350" s="1">
        <v>21.280640006266889</v>
      </c>
      <c r="D3350" s="9">
        <v>17.849000000003048</v>
      </c>
      <c r="E3350" s="1">
        <v>5.5358599999999996</v>
      </c>
      <c r="F3350" s="1">
        <v>8.1013300000000008</v>
      </c>
      <c r="G3350" s="1">
        <v>13.5068</v>
      </c>
      <c r="H3350" s="1">
        <v>2.58101</v>
      </c>
    </row>
    <row r="3351" spans="1:8" x14ac:dyDescent="0.3">
      <c r="A3351" t="e">
        <f t="shared" si="137"/>
        <v>#REF!</v>
      </c>
      <c r="B3351">
        <v>1796</v>
      </c>
      <c r="C3351" s="1">
        <v>20.942923000179579</v>
      </c>
      <c r="D3351" s="9">
        <v>17.896222222225358</v>
      </c>
      <c r="E3351" s="1">
        <v>5.9167399999999999</v>
      </c>
      <c r="F3351" s="1">
        <v>8.7934000000000001</v>
      </c>
      <c r="G3351" s="1">
        <v>13.6175</v>
      </c>
      <c r="H3351" s="1">
        <v>1.45662</v>
      </c>
    </row>
    <row r="3352" spans="1:8" x14ac:dyDescent="0.3">
      <c r="A3352">
        <f t="shared" si="137"/>
        <v>34</v>
      </c>
      <c r="B3352">
        <v>1846</v>
      </c>
      <c r="C3352" s="1">
        <v>20.572946117007191</v>
      </c>
      <c r="D3352" s="9">
        <v>17.943444444447668</v>
      </c>
      <c r="E3352" s="1">
        <v>5.5727900000000004</v>
      </c>
      <c r="F3352" s="1">
        <v>9.0064499999999992</v>
      </c>
      <c r="G3352" s="1">
        <v>13.5427</v>
      </c>
      <c r="H3352" s="1">
        <v>0.311394</v>
      </c>
    </row>
    <row r="3353" spans="1:8" x14ac:dyDescent="0.3">
      <c r="A3353">
        <f t="shared" si="137"/>
        <v>0</v>
      </c>
      <c r="B3353">
        <v>1896</v>
      </c>
      <c r="C3353" s="1">
        <v>20.190938128813769</v>
      </c>
      <c r="D3353" s="9">
        <v>17.990666666669977</v>
      </c>
      <c r="E3353" s="1">
        <v>4.7411199999999996</v>
      </c>
      <c r="F3353" s="1">
        <v>8.9966000000000008</v>
      </c>
      <c r="G3353" s="1">
        <v>13.438000000000001</v>
      </c>
      <c r="H3353" s="1">
        <v>-0.89527699999999999</v>
      </c>
    </row>
    <row r="3354" spans="1:8" x14ac:dyDescent="0.3">
      <c r="A3354">
        <f t="shared" si="137"/>
        <v>25</v>
      </c>
      <c r="B3354">
        <v>1946</v>
      </c>
      <c r="C3354" s="1">
        <v>19.821205250596648</v>
      </c>
      <c r="D3354" s="9">
        <v>18.037888888892287</v>
      </c>
      <c r="E3354" s="1">
        <v>3.8088299999999999</v>
      </c>
      <c r="F3354" s="1">
        <v>9.0593299999999992</v>
      </c>
      <c r="G3354" s="1">
        <v>13.4916</v>
      </c>
      <c r="H3354" s="1">
        <v>-2.19557</v>
      </c>
    </row>
    <row r="3355" spans="1:8" x14ac:dyDescent="0.3">
      <c r="A3355" t="e">
        <f t="shared" si="137"/>
        <v>#REF!</v>
      </c>
      <c r="B3355">
        <v>1996</v>
      </c>
      <c r="C3355" s="1">
        <v>19.538675055605889</v>
      </c>
      <c r="D3355" s="9">
        <v>18.085111111114596</v>
      </c>
      <c r="E3355" s="1">
        <v>3.1066500000000001</v>
      </c>
      <c r="F3355" s="1">
        <v>9.0966100000000001</v>
      </c>
      <c r="G3355" s="1">
        <v>13.6111</v>
      </c>
      <c r="H3355" s="1">
        <v>-3.4898500000000001</v>
      </c>
    </row>
    <row r="3356" spans="1:8" x14ac:dyDescent="0.3">
      <c r="A3356">
        <f t="shared" si="137"/>
        <v>41</v>
      </c>
      <c r="B3356">
        <v>2046</v>
      </c>
      <c r="C3356" s="1">
        <v>19.35981322267434</v>
      </c>
      <c r="D3356" s="9">
        <v>18.132333333336906</v>
      </c>
      <c r="E3356" s="1">
        <v>2.8528600000000002</v>
      </c>
      <c r="F3356" s="1">
        <v>8.9481800000000007</v>
      </c>
      <c r="G3356" s="1">
        <v>13.6678</v>
      </c>
      <c r="H3356" s="1">
        <v>-4.6492399999999998</v>
      </c>
    </row>
    <row r="3357" spans="1:8" x14ac:dyDescent="0.3">
      <c r="A3357" t="e">
        <f t="shared" si="137"/>
        <v>#REF!</v>
      </c>
      <c r="B3357">
        <v>2096</v>
      </c>
      <c r="C3357" s="1">
        <v>19.21</v>
      </c>
      <c r="D3357" s="9">
        <v>18.179555555559215</v>
      </c>
      <c r="E3357" s="1">
        <v>2.8172899999999998</v>
      </c>
      <c r="F3357" s="1">
        <v>8.7019699999999993</v>
      </c>
      <c r="G3357" s="1">
        <v>13.746</v>
      </c>
      <c r="H3357" s="1">
        <v>-5.5874600000000001</v>
      </c>
    </row>
    <row r="3358" spans="1:8" x14ac:dyDescent="0.3">
      <c r="A3358">
        <f t="shared" si="137"/>
        <v>32</v>
      </c>
      <c r="B3358">
        <v>2146</v>
      </c>
      <c r="C3358" s="1">
        <v>19.2</v>
      </c>
      <c r="D3358" s="9">
        <v>18.226777777781525</v>
      </c>
      <c r="E3358" s="1">
        <v>2.71922</v>
      </c>
      <c r="F3358" s="1">
        <v>8.5076400000000003</v>
      </c>
      <c r="G3358" s="1">
        <v>13.938000000000001</v>
      </c>
      <c r="H3358" s="1">
        <v>-6.21523</v>
      </c>
    </row>
    <row r="3359" spans="1:8" x14ac:dyDescent="0.3">
      <c r="A3359" t="e">
        <f t="shared" si="137"/>
        <v>#REF!</v>
      </c>
      <c r="B3359">
        <v>2196</v>
      </c>
      <c r="C3359" s="1">
        <v>19.155777266212048</v>
      </c>
      <c r="D3359" s="9">
        <v>18.274000000003834</v>
      </c>
      <c r="E3359" s="1">
        <v>2.65191</v>
      </c>
      <c r="F3359" s="1">
        <v>8.4646899999999992</v>
      </c>
      <c r="G3359" s="1">
        <v>14.083299999999999</v>
      </c>
      <c r="H3359" s="1">
        <v>-6.3718199999999996</v>
      </c>
    </row>
    <row r="3360" spans="1:8" x14ac:dyDescent="0.3">
      <c r="A3360">
        <f t="shared" si="137"/>
        <v>23</v>
      </c>
      <c r="B3360">
        <v>2246</v>
      </c>
      <c r="C3360" s="1">
        <v>19.304145155996039</v>
      </c>
      <c r="D3360" s="9">
        <v>18.321222222226144</v>
      </c>
      <c r="E3360" s="1">
        <v>2.7561599999999999</v>
      </c>
      <c r="F3360" s="1">
        <v>8.6048399999999994</v>
      </c>
      <c r="G3360" s="1">
        <v>14.0153</v>
      </c>
      <c r="H3360" s="1">
        <v>-5.9417</v>
      </c>
    </row>
    <row r="3361" spans="1:8" x14ac:dyDescent="0.3">
      <c r="A3361" t="e">
        <f t="shared" si="137"/>
        <v>#REF!</v>
      </c>
      <c r="B3361">
        <v>2296</v>
      </c>
      <c r="C3361" s="1">
        <v>19.545068592293958</v>
      </c>
      <c r="D3361" s="9">
        <v>18.368444444448453</v>
      </c>
      <c r="E3361" s="1">
        <v>2.8890799999999999</v>
      </c>
      <c r="F3361" s="1">
        <v>8.7125900000000005</v>
      </c>
      <c r="G3361" s="1">
        <v>13.8781</v>
      </c>
      <c r="H3361" s="1">
        <v>-5.1132200000000001</v>
      </c>
    </row>
    <row r="3362" spans="1:8" x14ac:dyDescent="0.3">
      <c r="A3362">
        <f t="shared" si="137"/>
        <v>39</v>
      </c>
      <c r="B3362">
        <v>2346</v>
      </c>
      <c r="C3362" s="1">
        <v>19.935524420776229</v>
      </c>
      <c r="D3362" s="9">
        <v>18.415666666670763</v>
      </c>
      <c r="E3362" s="1">
        <v>2.8823799999999999</v>
      </c>
      <c r="F3362" s="1">
        <v>8.5663999999999998</v>
      </c>
      <c r="G3362" s="1">
        <v>13.8462</v>
      </c>
      <c r="H3362" s="1">
        <v>-4.1270699999999998</v>
      </c>
    </row>
    <row r="3363" spans="1:8" x14ac:dyDescent="0.3">
      <c r="A3363" t="e">
        <f t="shared" si="137"/>
        <v>#REF!</v>
      </c>
      <c r="B3363">
        <v>2396</v>
      </c>
      <c r="C3363" s="1">
        <v>20.396706814765651</v>
      </c>
      <c r="D3363" s="9">
        <v>18.462888888893072</v>
      </c>
      <c r="E3363" s="1">
        <v>2.83012</v>
      </c>
      <c r="F3363" s="1">
        <v>8.2497000000000007</v>
      </c>
      <c r="G3363" s="1">
        <v>13.819100000000001</v>
      </c>
      <c r="H3363" s="1">
        <v>-3.0626000000000002</v>
      </c>
    </row>
    <row r="3364" spans="1:8" x14ac:dyDescent="0.3">
      <c r="A3364">
        <f t="shared" si="137"/>
        <v>30</v>
      </c>
      <c r="B3364">
        <v>2446</v>
      </c>
      <c r="C3364" s="1">
        <v>21.008340743866661</v>
      </c>
      <c r="D3364" s="9">
        <v>18.510111111115382</v>
      </c>
      <c r="E3364" s="1">
        <v>2.8356300000000001</v>
      </c>
      <c r="F3364" s="1">
        <v>7.9391100000000003</v>
      </c>
      <c r="G3364" s="1">
        <v>13.6828</v>
      </c>
      <c r="H3364" s="1">
        <v>-1.94543</v>
      </c>
    </row>
    <row r="3365" spans="1:8" x14ac:dyDescent="0.3">
      <c r="A3365" t="e">
        <f t="shared" si="137"/>
        <v>#REF!</v>
      </c>
      <c r="B3365">
        <v>2496</v>
      </c>
      <c r="C3365" s="1">
        <v>21.520001697799291</v>
      </c>
      <c r="D3365" s="9">
        <v>18.557333333337692</v>
      </c>
      <c r="E3365" s="1">
        <v>2.6957900000000001</v>
      </c>
      <c r="F3365" s="1">
        <v>7.8336399999999999</v>
      </c>
      <c r="G3365" s="1">
        <v>13.6275</v>
      </c>
      <c r="H3365" s="1">
        <v>-0.76699499999999998</v>
      </c>
    </row>
    <row r="3366" spans="1:8" x14ac:dyDescent="0.3">
      <c r="A3366">
        <f t="shared" si="137"/>
        <v>46</v>
      </c>
      <c r="B3366">
        <v>2546</v>
      </c>
      <c r="C3366" s="1">
        <v>22.014833631106409</v>
      </c>
      <c r="D3366" s="9">
        <v>18.604555555560001</v>
      </c>
      <c r="E3366" s="1">
        <v>2.1988599999999998</v>
      </c>
      <c r="F3366" s="1">
        <v>8.0533800000000006</v>
      </c>
      <c r="G3366" s="1">
        <v>13.849399999999999</v>
      </c>
      <c r="H3366" s="1">
        <v>0.478684</v>
      </c>
    </row>
    <row r="3367" spans="1:8" x14ac:dyDescent="0.3">
      <c r="A3367" t="e">
        <f t="shared" si="137"/>
        <v>#REF!</v>
      </c>
      <c r="B3367">
        <v>2596</v>
      </c>
      <c r="C3367" s="1">
        <v>22.38294921002969</v>
      </c>
      <c r="D3367" s="9">
        <v>18.651777777782311</v>
      </c>
      <c r="E3367" s="1">
        <v>1.4985599999999999</v>
      </c>
      <c r="F3367" s="1">
        <v>8.3252199999999998</v>
      </c>
      <c r="G3367" s="1">
        <v>14.1755</v>
      </c>
      <c r="H3367" s="1">
        <v>1.7415099999999999</v>
      </c>
    </row>
    <row r="3368" spans="1:8" x14ac:dyDescent="0.3">
      <c r="A3368">
        <f t="shared" si="137"/>
        <v>37</v>
      </c>
      <c r="B3368">
        <v>2646</v>
      </c>
      <c r="C3368" s="1">
        <v>22.690586303516049</v>
      </c>
      <c r="D3368" s="9">
        <v>18.69900000000462</v>
      </c>
      <c r="E3368" s="1">
        <v>0.86251500000000003</v>
      </c>
      <c r="F3368" s="1">
        <v>8.3373299999999997</v>
      </c>
      <c r="G3368" s="1">
        <v>14.353199999999999</v>
      </c>
      <c r="H3368" s="1">
        <v>2.9514999999999998</v>
      </c>
    </row>
    <row r="3369" spans="1:8" x14ac:dyDescent="0.3">
      <c r="A3369" t="e">
        <f t="shared" si="137"/>
        <v>#REF!</v>
      </c>
      <c r="B3369">
        <v>2696</v>
      </c>
      <c r="C3369" s="1">
        <v>23.2</v>
      </c>
      <c r="D3369" s="9">
        <v>18.74622222222693</v>
      </c>
      <c r="E3369" s="1">
        <v>0.60001199999999999</v>
      </c>
      <c r="F3369" s="1">
        <v>8.1189199999999992</v>
      </c>
      <c r="G3369" s="1">
        <v>14.2476</v>
      </c>
      <c r="H3369" s="1">
        <v>4.0209700000000002</v>
      </c>
    </row>
    <row r="3370" spans="1:8" x14ac:dyDescent="0.3">
      <c r="A3370">
        <f t="shared" si="137"/>
        <v>28</v>
      </c>
      <c r="B3370">
        <v>2746</v>
      </c>
      <c r="C3370" s="1">
        <v>23.634431464959292</v>
      </c>
      <c r="D3370" s="9">
        <v>18.793444444449239</v>
      </c>
      <c r="E3370" s="1">
        <v>0.93857199999999996</v>
      </c>
      <c r="F3370" s="1">
        <v>7.8383099999999999</v>
      </c>
      <c r="G3370" s="1">
        <v>13.8232</v>
      </c>
      <c r="H3370" s="1">
        <v>4.86477</v>
      </c>
    </row>
    <row r="3371" spans="1:8" x14ac:dyDescent="0.3">
      <c r="A3371" t="e">
        <f t="shared" si="137"/>
        <v>#REF!</v>
      </c>
      <c r="B3371">
        <v>2796</v>
      </c>
      <c r="C3371" s="1">
        <v>23.979416551142219</v>
      </c>
      <c r="D3371" s="9">
        <v>18.840666666671549</v>
      </c>
      <c r="E3371" s="1">
        <v>1.6788000000000001</v>
      </c>
      <c r="F3371" s="1">
        <v>7.8525799999999997</v>
      </c>
      <c r="G3371" s="1">
        <v>13.3413</v>
      </c>
      <c r="H3371" s="1">
        <v>5.4318799999999996</v>
      </c>
    </row>
    <row r="3372" spans="1:8" x14ac:dyDescent="0.3">
      <c r="A3372">
        <f t="shared" si="137"/>
        <v>44</v>
      </c>
      <c r="B3372">
        <v>2846</v>
      </c>
      <c r="C3372" s="1">
        <v>24.200511014626159</v>
      </c>
      <c r="D3372" s="9">
        <v>18.887888888893858</v>
      </c>
      <c r="E3372" s="1">
        <v>2.5022500000000001</v>
      </c>
      <c r="F3372" s="1">
        <v>8.4789899999999996</v>
      </c>
      <c r="G3372" s="1">
        <v>13.123100000000001</v>
      </c>
      <c r="H3372" s="1">
        <v>5.7234800000000003</v>
      </c>
    </row>
    <row r="3373" spans="1:8" x14ac:dyDescent="0.3">
      <c r="A3373" t="e">
        <f t="shared" si="137"/>
        <v>#REF!</v>
      </c>
      <c r="B3373">
        <v>2896</v>
      </c>
      <c r="C3373" s="1">
        <v>24.32695081357955</v>
      </c>
      <c r="D3373" s="9">
        <v>18.935111111116168</v>
      </c>
      <c r="E3373" s="1">
        <v>3.1015999999999999</v>
      </c>
      <c r="F3373" s="1">
        <v>9.6069700000000005</v>
      </c>
      <c r="G3373" s="1">
        <v>13.379</v>
      </c>
      <c r="H3373" s="1">
        <v>5.9324899999999996</v>
      </c>
    </row>
    <row r="3374" spans="1:8" x14ac:dyDescent="0.3">
      <c r="A3374">
        <f t="shared" si="137"/>
        <v>35</v>
      </c>
      <c r="B3374">
        <v>2946</v>
      </c>
      <c r="C3374" s="1">
        <v>24.167376031396241</v>
      </c>
      <c r="D3374" s="9">
        <v>18.982333333338477</v>
      </c>
      <c r="E3374" s="1">
        <v>3.28755</v>
      </c>
      <c r="F3374" s="1">
        <v>10.9832</v>
      </c>
      <c r="G3374" s="1">
        <v>14.2148</v>
      </c>
      <c r="H3374" s="1">
        <v>6.24749</v>
      </c>
    </row>
    <row r="3375" spans="1:8" x14ac:dyDescent="0.3">
      <c r="A3375" t="e">
        <f t="shared" si="137"/>
        <v>#REF!</v>
      </c>
      <c r="B3375">
        <v>2996</v>
      </c>
      <c r="C3375" s="1">
        <v>24.004793364079418</v>
      </c>
      <c r="D3375" s="9">
        <v>19.029555555560787</v>
      </c>
      <c r="E3375" s="1">
        <v>3.3912499999999999</v>
      </c>
      <c r="F3375" s="1">
        <v>12.259600000000001</v>
      </c>
      <c r="G3375" s="1">
        <v>15.404500000000001</v>
      </c>
      <c r="H3375" s="1">
        <v>6.5956799999999998</v>
      </c>
    </row>
    <row r="3376" spans="1:8" x14ac:dyDescent="0.3">
      <c r="A3376">
        <f t="shared" si="137"/>
        <v>26</v>
      </c>
      <c r="B3376">
        <v>3046</v>
      </c>
      <c r="C3376" s="1">
        <v>23.865678005542041</v>
      </c>
      <c r="D3376" s="9">
        <v>19.076777777783096</v>
      </c>
      <c r="E3376" s="1">
        <v>3.8119100000000001</v>
      </c>
      <c r="F3376" s="1">
        <v>13.087999999999999</v>
      </c>
      <c r="G3376" s="1">
        <v>16.626000000000001</v>
      </c>
      <c r="H3376" s="1">
        <v>6.8831600000000002</v>
      </c>
    </row>
    <row r="3377" spans="1:8" x14ac:dyDescent="0.3">
      <c r="A3377" t="e">
        <f t="shared" si="137"/>
        <v>#REF!</v>
      </c>
      <c r="B3377">
        <v>3096</v>
      </c>
      <c r="C3377" s="1">
        <v>23.572585895501749</v>
      </c>
      <c r="D3377" s="9">
        <v>19.124000000005406</v>
      </c>
      <c r="E3377" s="1">
        <v>4.5858999999999996</v>
      </c>
      <c r="F3377" s="1">
        <v>13.2545</v>
      </c>
      <c r="G3377" s="1">
        <v>17.551600000000001</v>
      </c>
      <c r="H3377" s="1">
        <v>7.2478800000000003</v>
      </c>
    </row>
    <row r="3378" spans="1:8" x14ac:dyDescent="0.3">
      <c r="A3378">
        <f t="shared" si="137"/>
        <v>42</v>
      </c>
      <c r="B3378">
        <v>3146</v>
      </c>
      <c r="C3378" s="1">
        <v>23.180368502189008</v>
      </c>
      <c r="D3378" s="9">
        <v>19.171222222227716</v>
      </c>
      <c r="E3378" s="1">
        <v>5.6154200000000003</v>
      </c>
      <c r="F3378" s="1">
        <v>12.683299999999999</v>
      </c>
      <c r="G3378" s="1">
        <v>17.938099999999999</v>
      </c>
      <c r="H3378" s="1">
        <v>7.8544799999999997</v>
      </c>
    </row>
    <row r="3379" spans="1:8" x14ac:dyDescent="0.3">
      <c r="A3379" t="e">
        <f t="shared" si="137"/>
        <v>#REF!</v>
      </c>
      <c r="B3379">
        <v>3196</v>
      </c>
      <c r="C3379" s="1">
        <v>22.808113722293431</v>
      </c>
      <c r="D3379" s="9">
        <v>19.218444444450025</v>
      </c>
      <c r="E3379" s="1">
        <v>6.6872299999999996</v>
      </c>
      <c r="F3379" s="1">
        <v>11.6625</v>
      </c>
      <c r="G3379" s="1">
        <v>17.861799999999999</v>
      </c>
      <c r="H3379" s="1">
        <v>8.7275500000000008</v>
      </c>
    </row>
    <row r="3380" spans="1:8" x14ac:dyDescent="0.3">
      <c r="A3380">
        <f t="shared" si="137"/>
        <v>33</v>
      </c>
      <c r="B3380">
        <v>3246</v>
      </c>
      <c r="C3380" s="1">
        <v>22.45754502402135</v>
      </c>
      <c r="D3380" s="9">
        <v>19.265666666672335</v>
      </c>
      <c r="E3380" s="1">
        <v>7.62263</v>
      </c>
      <c r="F3380" s="1">
        <v>10.553599999999999</v>
      </c>
      <c r="G3380" s="1">
        <v>17.492599999999999</v>
      </c>
      <c r="H3380" s="1">
        <v>9.8407400000000003</v>
      </c>
    </row>
    <row r="3381" spans="1:8" x14ac:dyDescent="0.3">
      <c r="A3381" t="e">
        <f t="shared" ref="A3381:A3387" si="138">A3331</f>
        <v>#REF!</v>
      </c>
      <c r="B3381">
        <v>3296</v>
      </c>
      <c r="C3381" s="1">
        <v>22.038096357827449</v>
      </c>
      <c r="D3381" s="9">
        <v>19.312888888894644</v>
      </c>
      <c r="E3381" s="1">
        <v>8.5586900000000004</v>
      </c>
      <c r="F3381" s="1">
        <v>9.7896800000000006</v>
      </c>
      <c r="G3381" s="1">
        <v>17.092400000000001</v>
      </c>
      <c r="H3381" s="1">
        <v>11.126300000000001</v>
      </c>
    </row>
    <row r="3382" spans="1:8" x14ac:dyDescent="0.3">
      <c r="A3382">
        <f t="shared" si="138"/>
        <v>24</v>
      </c>
      <c r="B3382">
        <v>3346</v>
      </c>
      <c r="C3382" s="1">
        <v>21.711482170595531</v>
      </c>
      <c r="D3382" s="9">
        <v>19.360111111116954</v>
      </c>
      <c r="E3382" s="1">
        <v>9.9541500000000003</v>
      </c>
      <c r="F3382" s="1">
        <v>10.438000000000001</v>
      </c>
      <c r="G3382" s="1">
        <v>17.1206</v>
      </c>
      <c r="H3382" s="1">
        <v>12.546200000000001</v>
      </c>
    </row>
    <row r="3383" spans="1:8" x14ac:dyDescent="0.3">
      <c r="A3383" t="e">
        <f t="shared" si="138"/>
        <v>#REF!</v>
      </c>
      <c r="B3383">
        <v>3396</v>
      </c>
      <c r="C3383" s="1">
        <v>21.39808099789127</v>
      </c>
      <c r="D3383" s="9">
        <v>19.407333333339263</v>
      </c>
      <c r="E3383" s="1">
        <v>11.697800000000001</v>
      </c>
      <c r="F3383" s="1">
        <v>11.930400000000001</v>
      </c>
      <c r="G3383" s="1">
        <v>17.3782</v>
      </c>
      <c r="H3383" s="1">
        <v>13.970700000000001</v>
      </c>
    </row>
    <row r="3384" spans="1:8" x14ac:dyDescent="0.3">
      <c r="A3384">
        <f t="shared" si="138"/>
        <v>40</v>
      </c>
      <c r="B3384">
        <v>3446</v>
      </c>
      <c r="C3384" s="1">
        <v>20.96867019464154</v>
      </c>
      <c r="D3384" s="9">
        <v>19.454555555561573</v>
      </c>
      <c r="E3384" s="1">
        <v>13.5672</v>
      </c>
      <c r="F3384" s="1">
        <v>13.677899999999999</v>
      </c>
      <c r="G3384" s="1">
        <v>17.776399999999999</v>
      </c>
      <c r="H3384" s="1">
        <v>15.3706</v>
      </c>
    </row>
    <row r="3385" spans="1:8" x14ac:dyDescent="0.3">
      <c r="A3385" t="e">
        <f t="shared" si="138"/>
        <v>#REF!</v>
      </c>
      <c r="B3385">
        <v>3496</v>
      </c>
      <c r="C3385" s="1">
        <v>20.441482844716479</v>
      </c>
      <c r="D3385" s="9">
        <v>19.501777777783882</v>
      </c>
      <c r="E3385" s="1">
        <v>15.497</v>
      </c>
      <c r="F3385" s="1">
        <v>15.5451</v>
      </c>
      <c r="G3385" s="1">
        <v>18.287500000000001</v>
      </c>
      <c r="H3385" s="1">
        <v>16.754300000000001</v>
      </c>
    </row>
    <row r="3386" spans="1:8" x14ac:dyDescent="0.3">
      <c r="A3386">
        <f t="shared" si="138"/>
        <v>31</v>
      </c>
      <c r="B3386">
        <v>3546</v>
      </c>
      <c r="C3386" s="1">
        <v>20.071713019718441</v>
      </c>
      <c r="D3386" s="9">
        <v>19.549000000006192</v>
      </c>
      <c r="E3386" s="1">
        <v>17.459299999999999</v>
      </c>
      <c r="F3386" s="1">
        <v>17.475300000000001</v>
      </c>
      <c r="G3386" s="1">
        <v>18.883600000000001</v>
      </c>
      <c r="H3386" s="1">
        <v>18.1267</v>
      </c>
    </row>
    <row r="3387" spans="1:8" x14ac:dyDescent="0.3">
      <c r="A3387" t="e">
        <f t="shared" si="138"/>
        <v>#REF!</v>
      </c>
      <c r="B3387">
        <v>3596</v>
      </c>
      <c r="C3387" s="1">
        <v>19.636592163481261</v>
      </c>
      <c r="D3387" s="9">
        <v>19.596222222228501</v>
      </c>
      <c r="E3387" s="1">
        <v>19.440899999999999</v>
      </c>
      <c r="F3387" s="1">
        <v>19.441600000000001</v>
      </c>
      <c r="G3387" s="1">
        <v>19.544699999999999</v>
      </c>
      <c r="H3387" s="1">
        <v>19.491099999999999</v>
      </c>
    </row>
    <row r="3388" spans="1:8" x14ac:dyDescent="0.3">
      <c r="A3388">
        <v>47</v>
      </c>
      <c r="B3388">
        <v>47</v>
      </c>
      <c r="C3388" s="1">
        <v>16.190000000000001</v>
      </c>
      <c r="D3388" s="9">
        <v>16.24438888888897</v>
      </c>
      <c r="E3388" s="1">
        <v>14.462</v>
      </c>
      <c r="F3388" s="1">
        <v>14.3467</v>
      </c>
      <c r="G3388" s="1">
        <v>15.638500000000001</v>
      </c>
      <c r="H3388" s="1">
        <v>14.446099999999999</v>
      </c>
    </row>
    <row r="3389" spans="1:8" x14ac:dyDescent="0.3">
      <c r="A3389" t="e">
        <f t="shared" ref="A3389:A3420" si="139">A3339</f>
        <v>#REF!</v>
      </c>
      <c r="B3389">
        <v>97</v>
      </c>
      <c r="C3389" s="1">
        <v>16.23</v>
      </c>
      <c r="D3389" s="9">
        <v>16.29161111111128</v>
      </c>
      <c r="E3389" s="1">
        <v>12.6373</v>
      </c>
      <c r="F3389" s="1">
        <v>12.406499999999999</v>
      </c>
      <c r="G3389" s="1">
        <v>15.0975</v>
      </c>
      <c r="H3389" s="1">
        <v>12.571199999999999</v>
      </c>
    </row>
    <row r="3390" spans="1:8" x14ac:dyDescent="0.3">
      <c r="A3390">
        <f t="shared" si="139"/>
        <v>38</v>
      </c>
      <c r="B3390">
        <v>147</v>
      </c>
      <c r="C3390" s="1">
        <v>16.42485985692073</v>
      </c>
      <c r="D3390" s="9">
        <v>16.338833333333589</v>
      </c>
      <c r="E3390" s="1">
        <v>10.848599999999999</v>
      </c>
      <c r="F3390" s="1">
        <v>10.5214</v>
      </c>
      <c r="G3390" s="1">
        <v>14.6288</v>
      </c>
      <c r="H3390" s="1">
        <v>10.686199999999999</v>
      </c>
    </row>
    <row r="3391" spans="1:8" x14ac:dyDescent="0.3">
      <c r="A3391" t="e">
        <f t="shared" si="139"/>
        <v>#REF!</v>
      </c>
      <c r="B3391">
        <v>197</v>
      </c>
      <c r="C3391" s="1">
        <v>16.744699388470259</v>
      </c>
      <c r="D3391" s="9">
        <v>16.386055555555899</v>
      </c>
      <c r="E3391" s="1">
        <v>9.1158099999999997</v>
      </c>
      <c r="F3391" s="1">
        <v>8.7383199999999999</v>
      </c>
      <c r="G3391" s="1">
        <v>14.2501</v>
      </c>
      <c r="H3391" s="1">
        <v>8.7918599999999998</v>
      </c>
    </row>
    <row r="3392" spans="1:8" x14ac:dyDescent="0.3">
      <c r="A3392">
        <f t="shared" si="139"/>
        <v>29</v>
      </c>
      <c r="B3392">
        <v>247</v>
      </c>
      <c r="C3392" s="1">
        <v>16.87</v>
      </c>
      <c r="D3392" s="9">
        <v>16.433277777778208</v>
      </c>
      <c r="E3392" s="1">
        <v>7.4773399999999999</v>
      </c>
      <c r="F3392" s="1">
        <v>7.1667399999999999</v>
      </c>
      <c r="G3392" s="1">
        <v>13.9694</v>
      </c>
      <c r="H3392" s="1">
        <v>6.8971900000000002</v>
      </c>
    </row>
    <row r="3393" spans="1:8" x14ac:dyDescent="0.3">
      <c r="A3393" t="e">
        <f t="shared" si="139"/>
        <v>#REF!</v>
      </c>
      <c r="B3393">
        <v>297</v>
      </c>
      <c r="C3393" s="1">
        <v>17.07</v>
      </c>
      <c r="D3393" s="9">
        <v>16.480500000000518</v>
      </c>
      <c r="E3393" s="1">
        <v>6.0764699999999996</v>
      </c>
      <c r="F3393" s="1">
        <v>6.21814</v>
      </c>
      <c r="G3393" s="1">
        <v>13.805300000000001</v>
      </c>
      <c r="H3393" s="1">
        <v>5.1378300000000001</v>
      </c>
    </row>
    <row r="3394" spans="1:8" x14ac:dyDescent="0.3">
      <c r="A3394">
        <f t="shared" si="139"/>
        <v>45</v>
      </c>
      <c r="B3394">
        <v>347</v>
      </c>
      <c r="C3394" s="1">
        <v>17.291124239615549</v>
      </c>
      <c r="D3394" s="9">
        <v>16.527722222222827</v>
      </c>
      <c r="E3394" s="1">
        <v>5.1738400000000002</v>
      </c>
      <c r="F3394" s="1">
        <v>6.3750799999999996</v>
      </c>
      <c r="G3394" s="1">
        <v>13.9703</v>
      </c>
      <c r="H3394" s="1">
        <v>3.8980299999999999</v>
      </c>
    </row>
    <row r="3395" spans="1:8" x14ac:dyDescent="0.3">
      <c r="A3395" t="e">
        <f t="shared" si="139"/>
        <v>#REF!</v>
      </c>
      <c r="B3395">
        <v>397</v>
      </c>
      <c r="C3395" s="1">
        <v>17.5</v>
      </c>
      <c r="D3395" s="9">
        <v>16.574944444445137</v>
      </c>
      <c r="E3395" s="1">
        <v>4.55966</v>
      </c>
      <c r="F3395" s="1">
        <v>6.6839300000000001</v>
      </c>
      <c r="G3395" s="1">
        <v>14.072900000000001</v>
      </c>
      <c r="H3395" s="1">
        <v>3.0313099999999999</v>
      </c>
    </row>
    <row r="3396" spans="1:8" x14ac:dyDescent="0.3">
      <c r="A3396">
        <f t="shared" si="139"/>
        <v>36</v>
      </c>
      <c r="B3396">
        <v>447</v>
      </c>
      <c r="C3396" s="1">
        <v>17.807115448310409</v>
      </c>
      <c r="D3396" s="9">
        <v>16.622166666667447</v>
      </c>
      <c r="E3396" s="1">
        <v>4.1609600000000002</v>
      </c>
      <c r="F3396" s="1">
        <v>6.7034599999999998</v>
      </c>
      <c r="G3396" s="1">
        <v>13.8932</v>
      </c>
      <c r="H3396" s="1">
        <v>2.5022899999999999</v>
      </c>
    </row>
    <row r="3397" spans="1:8" x14ac:dyDescent="0.3">
      <c r="A3397" t="e">
        <f t="shared" si="139"/>
        <v>#REF!</v>
      </c>
      <c r="B3397">
        <v>497</v>
      </c>
      <c r="C3397" s="1">
        <v>17.96343354251055</v>
      </c>
      <c r="D3397" s="9">
        <v>16.669388888889756</v>
      </c>
      <c r="E3397" s="1">
        <v>3.71286</v>
      </c>
      <c r="F3397" s="1">
        <v>6.3258700000000001</v>
      </c>
      <c r="G3397" s="1">
        <v>13.5542</v>
      </c>
      <c r="H3397" s="1">
        <v>2.04541</v>
      </c>
    </row>
    <row r="3398" spans="1:8" x14ac:dyDescent="0.3">
      <c r="A3398">
        <f t="shared" si="139"/>
        <v>27</v>
      </c>
      <c r="B3398">
        <v>547</v>
      </c>
      <c r="C3398" s="1">
        <v>18.14964191207854</v>
      </c>
      <c r="D3398" s="9">
        <v>16.716611111112066</v>
      </c>
      <c r="E3398" s="1">
        <v>2.9575300000000002</v>
      </c>
      <c r="F3398" s="1">
        <v>5.5398800000000001</v>
      </c>
      <c r="G3398" s="1">
        <v>13.2234</v>
      </c>
      <c r="H3398" s="1">
        <v>1.3886700000000001</v>
      </c>
    </row>
    <row r="3399" spans="1:8" x14ac:dyDescent="0.3">
      <c r="A3399" t="e">
        <f t="shared" si="139"/>
        <v>#REF!</v>
      </c>
      <c r="B3399">
        <v>597</v>
      </c>
      <c r="C3399" s="1">
        <v>18.37</v>
      </c>
      <c r="D3399" s="9">
        <v>16.763833333334375</v>
      </c>
      <c r="E3399" s="1">
        <v>2.03668</v>
      </c>
      <c r="F3399" s="1">
        <v>4.5270000000000001</v>
      </c>
      <c r="G3399" s="1">
        <v>12.864800000000001</v>
      </c>
      <c r="H3399" s="1">
        <v>0.65492399999999995</v>
      </c>
    </row>
    <row r="3400" spans="1:8" x14ac:dyDescent="0.3">
      <c r="A3400">
        <f t="shared" si="139"/>
        <v>43</v>
      </c>
      <c r="B3400">
        <v>647</v>
      </c>
      <c r="C3400" s="1">
        <v>18.5055999481126</v>
      </c>
      <c r="D3400" s="9">
        <v>16.811055555556685</v>
      </c>
      <c r="E3400" s="1">
        <v>1.2128699999999999</v>
      </c>
      <c r="F3400" s="1">
        <v>3.5294099999999999</v>
      </c>
      <c r="G3400" s="1">
        <v>12.4335</v>
      </c>
      <c r="H3400" s="1">
        <v>9.8748199999999994E-2</v>
      </c>
    </row>
    <row r="3401" spans="1:8" x14ac:dyDescent="0.3">
      <c r="A3401" t="e">
        <f t="shared" si="139"/>
        <v>#REF!</v>
      </c>
      <c r="B3401">
        <v>697</v>
      </c>
      <c r="C3401" s="1">
        <v>18.683290936953561</v>
      </c>
      <c r="D3401" s="9">
        <v>16.858277777778994</v>
      </c>
      <c r="E3401" s="1">
        <v>0.71408199999999999</v>
      </c>
      <c r="F3401" s="1">
        <v>2.7610700000000001</v>
      </c>
      <c r="G3401" s="1">
        <v>12.139799999999999</v>
      </c>
      <c r="H3401" s="1">
        <v>9.2794000000000001E-3</v>
      </c>
    </row>
    <row r="3402" spans="1:8" x14ac:dyDescent="0.3">
      <c r="A3402">
        <f t="shared" si="139"/>
        <v>34</v>
      </c>
      <c r="B3402">
        <v>747</v>
      </c>
      <c r="C3402" s="1">
        <v>18.81664264051361</v>
      </c>
      <c r="D3402" s="9">
        <v>16.905500000001304</v>
      </c>
      <c r="E3402" s="1">
        <v>0.68411100000000002</v>
      </c>
      <c r="F3402" s="1">
        <v>2.3537300000000001</v>
      </c>
      <c r="G3402" s="1">
        <v>12.2058</v>
      </c>
      <c r="H3402" s="1">
        <v>0.58850400000000003</v>
      </c>
    </row>
    <row r="3403" spans="1:8" x14ac:dyDescent="0.3">
      <c r="A3403">
        <f t="shared" si="139"/>
        <v>0</v>
      </c>
      <c r="B3403">
        <v>797</v>
      </c>
      <c r="C3403" s="1">
        <v>19.15338419225219</v>
      </c>
      <c r="D3403" s="9">
        <v>16.952722222223613</v>
      </c>
      <c r="E3403" s="1">
        <v>0.92982699999999996</v>
      </c>
      <c r="F3403" s="1">
        <v>2.1038199999999998</v>
      </c>
      <c r="G3403" s="1">
        <v>12.565200000000001</v>
      </c>
      <c r="H3403" s="1">
        <v>1.59385</v>
      </c>
    </row>
    <row r="3404" spans="1:8" x14ac:dyDescent="0.3">
      <c r="A3404">
        <f t="shared" si="139"/>
        <v>25</v>
      </c>
      <c r="B3404">
        <v>847</v>
      </c>
      <c r="C3404" s="1">
        <v>19.39</v>
      </c>
      <c r="D3404" s="9">
        <v>16.999944444445923</v>
      </c>
      <c r="E3404" s="1">
        <v>1.2136499999999999</v>
      </c>
      <c r="F3404" s="1">
        <v>1.7989900000000001</v>
      </c>
      <c r="G3404" s="1">
        <v>13.041600000000001</v>
      </c>
      <c r="H3404" s="1">
        <v>2.6528200000000002</v>
      </c>
    </row>
    <row r="3405" spans="1:8" x14ac:dyDescent="0.3">
      <c r="A3405" t="e">
        <f t="shared" si="139"/>
        <v>#REF!</v>
      </c>
      <c r="B3405">
        <v>897</v>
      </c>
      <c r="C3405" s="1">
        <v>19.68823635345635</v>
      </c>
      <c r="D3405" s="9">
        <v>17.047166666668232</v>
      </c>
      <c r="E3405" s="1">
        <v>1.5400199999999999</v>
      </c>
      <c r="F3405" s="1">
        <v>1.63046</v>
      </c>
      <c r="G3405" s="1">
        <v>13.3352</v>
      </c>
      <c r="H3405" s="1">
        <v>3.3827799999999999</v>
      </c>
    </row>
    <row r="3406" spans="1:8" x14ac:dyDescent="0.3">
      <c r="A3406">
        <f t="shared" si="139"/>
        <v>41</v>
      </c>
      <c r="B3406">
        <v>947</v>
      </c>
      <c r="C3406" s="1">
        <v>19.96384194343285</v>
      </c>
      <c r="D3406" s="9">
        <v>17.094388888890542</v>
      </c>
      <c r="E3406" s="1">
        <v>1.9411700000000001</v>
      </c>
      <c r="F3406" s="1">
        <v>1.8374200000000001</v>
      </c>
      <c r="G3406" s="1">
        <v>13.2103</v>
      </c>
      <c r="H3406" s="1">
        <v>3.4983399999999998</v>
      </c>
    </row>
    <row r="3407" spans="1:8" x14ac:dyDescent="0.3">
      <c r="A3407" t="e">
        <f t="shared" si="139"/>
        <v>#REF!</v>
      </c>
      <c r="B3407">
        <v>997</v>
      </c>
      <c r="C3407" s="1">
        <v>20.34597612087326</v>
      </c>
      <c r="D3407" s="9">
        <v>17.141611111112852</v>
      </c>
      <c r="E3407" s="1">
        <v>2.2570199999999998</v>
      </c>
      <c r="F3407" s="1">
        <v>2.3469500000000001</v>
      </c>
      <c r="G3407" s="1">
        <v>12.8872</v>
      </c>
      <c r="H3407" s="1">
        <v>3.1721400000000002</v>
      </c>
    </row>
    <row r="3408" spans="1:8" x14ac:dyDescent="0.3">
      <c r="A3408">
        <f t="shared" si="139"/>
        <v>32</v>
      </c>
      <c r="B3408">
        <v>1047</v>
      </c>
      <c r="C3408" s="1">
        <v>20.78307771301564</v>
      </c>
      <c r="D3408" s="9">
        <v>17.188833333335161</v>
      </c>
      <c r="E3408" s="1">
        <v>2.3346399999999998</v>
      </c>
      <c r="F3408" s="1">
        <v>2.9698899999999999</v>
      </c>
      <c r="G3408" s="1">
        <v>12.674300000000001</v>
      </c>
      <c r="H3408" s="1">
        <v>2.7242899999999999</v>
      </c>
    </row>
    <row r="3409" spans="1:8" x14ac:dyDescent="0.3">
      <c r="A3409" t="e">
        <f t="shared" si="139"/>
        <v>#REF!</v>
      </c>
      <c r="B3409">
        <v>1097</v>
      </c>
      <c r="C3409" s="1">
        <v>21.15892768296079</v>
      </c>
      <c r="D3409" s="9">
        <v>17.236055555557471</v>
      </c>
      <c r="E3409" s="1">
        <v>2.3064800000000001</v>
      </c>
      <c r="F3409" s="1">
        <v>3.3947699999999998</v>
      </c>
      <c r="G3409" s="1">
        <v>12.6785</v>
      </c>
      <c r="H3409" s="1">
        <v>2.5509400000000002</v>
      </c>
    </row>
    <row r="3410" spans="1:8" x14ac:dyDescent="0.3">
      <c r="A3410">
        <f t="shared" si="139"/>
        <v>23</v>
      </c>
      <c r="B3410">
        <v>1147</v>
      </c>
      <c r="C3410" s="1">
        <v>21.50241682868166</v>
      </c>
      <c r="D3410" s="9">
        <v>17.28327777777978</v>
      </c>
      <c r="E3410" s="1">
        <v>2.3248199999999999</v>
      </c>
      <c r="F3410" s="1">
        <v>3.38253</v>
      </c>
      <c r="G3410" s="1">
        <v>12.8995</v>
      </c>
      <c r="H3410" s="1">
        <v>2.9594299999999998</v>
      </c>
    </row>
    <row r="3411" spans="1:8" x14ac:dyDescent="0.3">
      <c r="A3411" t="e">
        <f t="shared" si="139"/>
        <v>#REF!</v>
      </c>
      <c r="B3411">
        <v>1197</v>
      </c>
      <c r="C3411" s="1">
        <v>21.911754747430091</v>
      </c>
      <c r="D3411" s="9">
        <v>17.33050000000209</v>
      </c>
      <c r="E3411" s="1">
        <v>2.2597</v>
      </c>
      <c r="F3411" s="1">
        <v>3.1825800000000002</v>
      </c>
      <c r="G3411" s="1">
        <v>13.1107</v>
      </c>
      <c r="H3411" s="1">
        <v>3.75624</v>
      </c>
    </row>
    <row r="3412" spans="1:8" x14ac:dyDescent="0.3">
      <c r="A3412">
        <f t="shared" si="139"/>
        <v>39</v>
      </c>
      <c r="B3412">
        <v>1247</v>
      </c>
      <c r="C3412" s="1">
        <v>22.331558970561009</v>
      </c>
      <c r="D3412" s="9">
        <v>17.377722222224399</v>
      </c>
      <c r="E3412" s="1">
        <v>1.9802299999999999</v>
      </c>
      <c r="F3412" s="1">
        <v>3.12561</v>
      </c>
      <c r="G3412" s="1">
        <v>13.1021</v>
      </c>
      <c r="H3412" s="1">
        <v>4.6229500000000003</v>
      </c>
    </row>
    <row r="3413" spans="1:8" x14ac:dyDescent="0.3">
      <c r="A3413" t="e">
        <f t="shared" si="139"/>
        <v>#REF!</v>
      </c>
      <c r="B3413">
        <v>1297</v>
      </c>
      <c r="C3413" s="1">
        <v>22.784726362690979</v>
      </c>
      <c r="D3413" s="9">
        <v>17.424944444446709</v>
      </c>
      <c r="E3413" s="1">
        <v>1.7168600000000001</v>
      </c>
      <c r="F3413" s="1">
        <v>3.28139</v>
      </c>
      <c r="G3413" s="1">
        <v>13.034000000000001</v>
      </c>
      <c r="H3413" s="1">
        <v>5.3180500000000004</v>
      </c>
    </row>
    <row r="3414" spans="1:8" x14ac:dyDescent="0.3">
      <c r="A3414">
        <f t="shared" si="139"/>
        <v>30</v>
      </c>
      <c r="B3414">
        <v>1347</v>
      </c>
      <c r="C3414" s="1">
        <v>23.066098871104192</v>
      </c>
      <c r="D3414" s="9">
        <v>17.472166666669018</v>
      </c>
      <c r="E3414" s="1">
        <v>1.7430399999999999</v>
      </c>
      <c r="F3414" s="1">
        <v>3.6223999999999998</v>
      </c>
      <c r="G3414" s="1">
        <v>13.1014</v>
      </c>
      <c r="H3414" s="1">
        <v>5.6887600000000003</v>
      </c>
    </row>
    <row r="3415" spans="1:8" x14ac:dyDescent="0.3">
      <c r="A3415" t="e">
        <f t="shared" si="139"/>
        <v>#REF!</v>
      </c>
      <c r="B3415">
        <v>1397</v>
      </c>
      <c r="C3415" s="1">
        <v>23.23</v>
      </c>
      <c r="D3415" s="9">
        <v>17.519388888891328</v>
      </c>
      <c r="E3415" s="1">
        <v>2.0617999999999999</v>
      </c>
      <c r="F3415" s="1">
        <v>4.0158500000000004</v>
      </c>
      <c r="G3415" s="1">
        <v>13.178000000000001</v>
      </c>
      <c r="H3415" s="1">
        <v>5.8835199999999999</v>
      </c>
    </row>
    <row r="3416" spans="1:8" x14ac:dyDescent="0.3">
      <c r="A3416">
        <f t="shared" si="139"/>
        <v>46</v>
      </c>
      <c r="B3416">
        <v>1447</v>
      </c>
      <c r="C3416" s="1">
        <v>23.269433583739112</v>
      </c>
      <c r="D3416" s="9">
        <v>17.566611111113637</v>
      </c>
      <c r="E3416" s="1">
        <v>2.5663399999999998</v>
      </c>
      <c r="F3416" s="1">
        <v>4.32822</v>
      </c>
      <c r="G3416" s="1">
        <v>13.113200000000001</v>
      </c>
      <c r="H3416" s="1">
        <v>6.0720499999999999</v>
      </c>
    </row>
    <row r="3417" spans="1:8" x14ac:dyDescent="0.3">
      <c r="A3417" t="e">
        <f t="shared" si="139"/>
        <v>#REF!</v>
      </c>
      <c r="B3417">
        <v>1497</v>
      </c>
      <c r="C3417" s="1">
        <v>23.130777058018829</v>
      </c>
      <c r="D3417" s="9">
        <v>17.613833333335947</v>
      </c>
      <c r="E3417" s="1">
        <v>2.99987</v>
      </c>
      <c r="F3417" s="1">
        <v>4.5570199999999996</v>
      </c>
      <c r="G3417" s="1">
        <v>13.054399999999999</v>
      </c>
      <c r="H3417" s="1">
        <v>6.13992</v>
      </c>
    </row>
    <row r="3418" spans="1:8" x14ac:dyDescent="0.3">
      <c r="A3418">
        <f t="shared" si="139"/>
        <v>37</v>
      </c>
      <c r="B3418">
        <v>1547</v>
      </c>
      <c r="C3418" s="1">
        <v>22.877392457750151</v>
      </c>
      <c r="D3418" s="9">
        <v>17.661055555558256</v>
      </c>
      <c r="E3418" s="1">
        <v>3.1713100000000001</v>
      </c>
      <c r="F3418" s="1">
        <v>4.7723899999999997</v>
      </c>
      <c r="G3418" s="1">
        <v>13.166600000000001</v>
      </c>
      <c r="H3418" s="1">
        <v>5.9248500000000002</v>
      </c>
    </row>
    <row r="3419" spans="1:8" x14ac:dyDescent="0.3">
      <c r="A3419" t="e">
        <f t="shared" si="139"/>
        <v>#REF!</v>
      </c>
      <c r="B3419">
        <v>1597</v>
      </c>
      <c r="C3419" s="1">
        <v>22.522735123361318</v>
      </c>
      <c r="D3419" s="9">
        <v>17.708277777780566</v>
      </c>
      <c r="E3419" s="1">
        <v>3.3757899999999998</v>
      </c>
      <c r="F3419" s="1">
        <v>5.2054799999999997</v>
      </c>
      <c r="G3419" s="1">
        <v>13.316599999999999</v>
      </c>
      <c r="H3419" s="1">
        <v>5.4064899999999998</v>
      </c>
    </row>
    <row r="3420" spans="1:8" x14ac:dyDescent="0.3">
      <c r="A3420">
        <f t="shared" si="139"/>
        <v>28</v>
      </c>
      <c r="B3420">
        <v>1647</v>
      </c>
      <c r="C3420" s="1">
        <v>22.098722622810211</v>
      </c>
      <c r="D3420" s="9">
        <v>17.755500000002876</v>
      </c>
      <c r="E3420" s="1">
        <v>3.9448099999999999</v>
      </c>
      <c r="F3420" s="1">
        <v>6.0482399999999998</v>
      </c>
      <c r="G3420" s="1">
        <v>13.3475</v>
      </c>
      <c r="H3420" s="1">
        <v>4.6159299999999996</v>
      </c>
    </row>
    <row r="3421" spans="1:8" x14ac:dyDescent="0.3">
      <c r="A3421" t="e">
        <f t="shared" ref="A3421:A3452" si="140">A3371</f>
        <v>#REF!</v>
      </c>
      <c r="B3421">
        <v>1697</v>
      </c>
      <c r="C3421" s="1">
        <v>21.72096377842043</v>
      </c>
      <c r="D3421" s="9">
        <v>17.802722222225185</v>
      </c>
      <c r="E3421" s="1">
        <v>4.7598599999999998</v>
      </c>
      <c r="F3421" s="1">
        <v>7.1147</v>
      </c>
      <c r="G3421" s="1">
        <v>13.3704</v>
      </c>
      <c r="H3421" s="1">
        <v>3.6368</v>
      </c>
    </row>
    <row r="3422" spans="1:8" x14ac:dyDescent="0.3">
      <c r="A3422">
        <f t="shared" si="140"/>
        <v>44</v>
      </c>
      <c r="B3422">
        <v>1747</v>
      </c>
      <c r="C3422" s="1">
        <v>21.276721671218809</v>
      </c>
      <c r="D3422" s="9">
        <v>17.849944444447495</v>
      </c>
      <c r="E3422" s="1">
        <v>5.54894</v>
      </c>
      <c r="F3422" s="1">
        <v>8.1191099999999992</v>
      </c>
      <c r="G3422" s="1">
        <v>13.5101</v>
      </c>
      <c r="H3422" s="1">
        <v>2.5588500000000001</v>
      </c>
    </row>
    <row r="3423" spans="1:8" x14ac:dyDescent="0.3">
      <c r="A3423" t="e">
        <f t="shared" si="140"/>
        <v>#REF!</v>
      </c>
      <c r="B3423">
        <v>1797</v>
      </c>
      <c r="C3423" s="1">
        <v>20.93786511967506</v>
      </c>
      <c r="D3423" s="9">
        <v>17.897166666669804</v>
      </c>
      <c r="E3423" s="1">
        <v>5.9172099999999999</v>
      </c>
      <c r="F3423" s="1">
        <v>8.8022799999999997</v>
      </c>
      <c r="G3423" s="1">
        <v>13.617900000000001</v>
      </c>
      <c r="H3423" s="1">
        <v>1.4339299999999999</v>
      </c>
    </row>
    <row r="3424" spans="1:8" x14ac:dyDescent="0.3">
      <c r="A3424">
        <f t="shared" si="140"/>
        <v>35</v>
      </c>
      <c r="B3424">
        <v>1847</v>
      </c>
      <c r="C3424" s="1">
        <v>20.56786901694479</v>
      </c>
      <c r="D3424" s="9">
        <v>17.944388888892114</v>
      </c>
      <c r="E3424" s="1">
        <v>5.5596100000000002</v>
      </c>
      <c r="F3424" s="1">
        <v>9.0071700000000003</v>
      </c>
      <c r="G3424" s="1">
        <v>13.540100000000001</v>
      </c>
      <c r="H3424" s="1">
        <v>0.28806399999999999</v>
      </c>
    </row>
    <row r="3425" spans="1:8" x14ac:dyDescent="0.3">
      <c r="A3425" t="e">
        <f t="shared" si="140"/>
        <v>#REF!</v>
      </c>
      <c r="B3425">
        <v>1897</v>
      </c>
      <c r="C3425" s="1">
        <v>20.18275994749732</v>
      </c>
      <c r="D3425" s="9">
        <v>17.991611111114423</v>
      </c>
      <c r="E3425" s="1">
        <v>4.7222600000000003</v>
      </c>
      <c r="F3425" s="1">
        <v>8.9967400000000008</v>
      </c>
      <c r="G3425" s="1">
        <v>13.4373</v>
      </c>
      <c r="H3425" s="1">
        <v>-0.92045200000000005</v>
      </c>
    </row>
    <row r="3426" spans="1:8" x14ac:dyDescent="0.3">
      <c r="A3426">
        <f t="shared" si="140"/>
        <v>26</v>
      </c>
      <c r="B3426">
        <v>1947</v>
      </c>
      <c r="C3426" s="1">
        <v>19.812975475269521</v>
      </c>
      <c r="D3426" s="9">
        <v>18.038833333336733</v>
      </c>
      <c r="E3426" s="1">
        <v>3.79148</v>
      </c>
      <c r="F3426" s="1">
        <v>9.0610400000000002</v>
      </c>
      <c r="G3426" s="1">
        <v>13.4939</v>
      </c>
      <c r="H3426" s="1">
        <v>-2.2219699999999998</v>
      </c>
    </row>
    <row r="3427" spans="1:8" x14ac:dyDescent="0.3">
      <c r="A3427" t="e">
        <f t="shared" si="140"/>
        <v>#REF!</v>
      </c>
      <c r="B3427">
        <v>1997</v>
      </c>
      <c r="C3427" s="1">
        <v>19.534556100172988</v>
      </c>
      <c r="D3427" s="9">
        <v>18.086055555559042</v>
      </c>
      <c r="E3427" s="1">
        <v>3.0971099999999998</v>
      </c>
      <c r="F3427" s="1">
        <v>9.0956299999999999</v>
      </c>
      <c r="G3427" s="1">
        <v>13.613</v>
      </c>
      <c r="H3427" s="1">
        <v>-3.5147300000000001</v>
      </c>
    </row>
    <row r="3428" spans="1:8" x14ac:dyDescent="0.3">
      <c r="A3428">
        <f t="shared" si="140"/>
        <v>42</v>
      </c>
      <c r="B3428">
        <v>2047</v>
      </c>
      <c r="C3428" s="1">
        <v>19.35175552959187</v>
      </c>
      <c r="D3428" s="9">
        <v>18.133277777781352</v>
      </c>
      <c r="E3428" s="1">
        <v>2.85121</v>
      </c>
      <c r="F3428" s="1">
        <v>8.9436800000000005</v>
      </c>
      <c r="G3428" s="1">
        <v>13.668699999999999</v>
      </c>
      <c r="H3428" s="1">
        <v>-4.67042</v>
      </c>
    </row>
    <row r="3429" spans="1:8" x14ac:dyDescent="0.3">
      <c r="A3429" t="e">
        <f t="shared" si="140"/>
        <v>#REF!</v>
      </c>
      <c r="B3429">
        <v>2097</v>
      </c>
      <c r="C3429" s="1">
        <v>19.21</v>
      </c>
      <c r="D3429" s="9">
        <v>18.180500000003661</v>
      </c>
      <c r="E3429" s="1">
        <v>2.8163200000000002</v>
      </c>
      <c r="F3429" s="1">
        <v>8.6971500000000006</v>
      </c>
      <c r="G3429" s="1">
        <v>13.748799999999999</v>
      </c>
      <c r="H3429" s="1">
        <v>-5.6034600000000001</v>
      </c>
    </row>
    <row r="3430" spans="1:8" x14ac:dyDescent="0.3">
      <c r="A3430">
        <f t="shared" si="140"/>
        <v>33</v>
      </c>
      <c r="B3430">
        <v>2147</v>
      </c>
      <c r="C3430" s="1">
        <v>19.2</v>
      </c>
      <c r="D3430" s="9">
        <v>18.227722222225971</v>
      </c>
      <c r="E3430" s="1">
        <v>2.7168999999999999</v>
      </c>
      <c r="F3430" s="1">
        <v>8.5050100000000004</v>
      </c>
      <c r="G3430" s="1">
        <v>13.9421</v>
      </c>
      <c r="H3430" s="1">
        <v>-6.2235899999999997</v>
      </c>
    </row>
    <row r="3431" spans="1:8" x14ac:dyDescent="0.3">
      <c r="A3431" t="e">
        <f t="shared" si="140"/>
        <v>#REF!</v>
      </c>
      <c r="B3431">
        <v>2197</v>
      </c>
      <c r="C3431" s="1">
        <v>19.159725886761461</v>
      </c>
      <c r="D3431" s="9">
        <v>18.27494444444828</v>
      </c>
      <c r="E3431" s="1">
        <v>2.6522700000000001</v>
      </c>
      <c r="F3431" s="1">
        <v>8.4659499999999994</v>
      </c>
      <c r="G3431" s="1">
        <v>14.084199999999999</v>
      </c>
      <c r="H3431" s="1">
        <v>-6.3689</v>
      </c>
    </row>
    <row r="3432" spans="1:8" x14ac:dyDescent="0.3">
      <c r="A3432">
        <f t="shared" si="140"/>
        <v>24</v>
      </c>
      <c r="B3432">
        <v>2247</v>
      </c>
      <c r="C3432" s="1">
        <v>19.312054702423101</v>
      </c>
      <c r="D3432" s="9">
        <v>18.32216666667059</v>
      </c>
      <c r="E3432" s="1">
        <v>2.75928</v>
      </c>
      <c r="F3432" s="1">
        <v>8.6082699999999992</v>
      </c>
      <c r="G3432" s="1">
        <v>14.012499999999999</v>
      </c>
      <c r="H3432" s="1">
        <v>-5.9281199999999998</v>
      </c>
    </row>
    <row r="3433" spans="1:8" x14ac:dyDescent="0.3">
      <c r="A3433" t="e">
        <f t="shared" si="140"/>
        <v>#REF!</v>
      </c>
      <c r="B3433">
        <v>2297</v>
      </c>
      <c r="C3433" s="1">
        <v>19.553246511095399</v>
      </c>
      <c r="D3433" s="9">
        <v>18.3693888888929</v>
      </c>
      <c r="E3433" s="1">
        <v>2.8904899999999998</v>
      </c>
      <c r="F3433" s="1">
        <v>8.7124400000000009</v>
      </c>
      <c r="G3433" s="1">
        <v>13.876200000000001</v>
      </c>
      <c r="H3433" s="1">
        <v>-5.0944799999999999</v>
      </c>
    </row>
    <row r="3434" spans="1:8" x14ac:dyDescent="0.3">
      <c r="A3434">
        <f t="shared" si="140"/>
        <v>40</v>
      </c>
      <c r="B3434">
        <v>2347</v>
      </c>
      <c r="C3434" s="1">
        <v>19.94366467270137</v>
      </c>
      <c r="D3434" s="9">
        <v>18.416611111115209</v>
      </c>
      <c r="E3434" s="1">
        <v>2.8812199999999999</v>
      </c>
      <c r="F3434" s="1">
        <v>8.5611599999999992</v>
      </c>
      <c r="G3434" s="1">
        <v>13.8462</v>
      </c>
      <c r="H3434" s="1">
        <v>-4.1064400000000001</v>
      </c>
    </row>
    <row r="3435" spans="1:8" x14ac:dyDescent="0.3">
      <c r="A3435" t="e">
        <f t="shared" si="140"/>
        <v>#REF!</v>
      </c>
      <c r="B3435">
        <v>2397</v>
      </c>
      <c r="C3435" s="1">
        <v>20.40061006747775</v>
      </c>
      <c r="D3435" s="9">
        <v>18.463833333337519</v>
      </c>
      <c r="E3435" s="1">
        <v>2.82978</v>
      </c>
      <c r="F3435" s="1">
        <v>8.2428100000000004</v>
      </c>
      <c r="G3435" s="1">
        <v>13.817299999999999</v>
      </c>
      <c r="H3435" s="1">
        <v>-3.04074</v>
      </c>
    </row>
    <row r="3436" spans="1:8" x14ac:dyDescent="0.3">
      <c r="A3436">
        <f t="shared" si="140"/>
        <v>31</v>
      </c>
      <c r="B3436">
        <v>2447</v>
      </c>
      <c r="C3436" s="1">
        <v>21.019864641605722</v>
      </c>
      <c r="D3436" s="9">
        <v>18.511055555559828</v>
      </c>
      <c r="E3436" s="1">
        <v>2.8352300000000001</v>
      </c>
      <c r="F3436" s="1">
        <v>7.9343000000000004</v>
      </c>
      <c r="G3436" s="1">
        <v>13.68</v>
      </c>
      <c r="H3436" s="1">
        <v>-1.92252</v>
      </c>
    </row>
    <row r="3437" spans="1:8" x14ac:dyDescent="0.3">
      <c r="A3437" t="e">
        <f t="shared" si="140"/>
        <v>#REF!</v>
      </c>
      <c r="B3437">
        <v>2497</v>
      </c>
      <c r="C3437" s="1">
        <v>21.531320359631639</v>
      </c>
      <c r="D3437" s="9">
        <v>18.558277777782138</v>
      </c>
      <c r="E3437" s="1">
        <v>2.6895099999999998</v>
      </c>
      <c r="F3437" s="1">
        <v>7.8350299999999997</v>
      </c>
      <c r="G3437" s="1">
        <v>13.629099999999999</v>
      </c>
      <c r="H3437" s="1">
        <v>-0.74267499999999997</v>
      </c>
    </row>
    <row r="3438" spans="1:8" x14ac:dyDescent="0.3">
      <c r="A3438">
        <f t="shared" si="140"/>
        <v>47</v>
      </c>
      <c r="B3438">
        <v>2547</v>
      </c>
      <c r="C3438" s="1">
        <v>22.024110840369481</v>
      </c>
      <c r="D3438" s="9">
        <v>18.605500000004447</v>
      </c>
      <c r="E3438" s="1">
        <v>2.1859899999999999</v>
      </c>
      <c r="F3438" s="1">
        <v>8.05959</v>
      </c>
      <c r="G3438" s="1">
        <v>13.8558</v>
      </c>
      <c r="H3438" s="1">
        <v>0.50399300000000002</v>
      </c>
    </row>
    <row r="3439" spans="1:8" x14ac:dyDescent="0.3">
      <c r="A3439" t="e">
        <f t="shared" si="140"/>
        <v>#REF!</v>
      </c>
      <c r="B3439">
        <v>2597</v>
      </c>
      <c r="C3439" s="1">
        <v>22.390452985329379</v>
      </c>
      <c r="D3439" s="9">
        <v>18.652722222226757</v>
      </c>
      <c r="E3439" s="1">
        <v>1.4842599999999999</v>
      </c>
      <c r="F3439" s="1">
        <v>8.3285400000000003</v>
      </c>
      <c r="G3439" s="1">
        <v>14.1812</v>
      </c>
      <c r="H3439" s="1">
        <v>1.7664800000000001</v>
      </c>
    </row>
    <row r="3440" spans="1:8" x14ac:dyDescent="0.3">
      <c r="A3440">
        <f t="shared" si="140"/>
        <v>38</v>
      </c>
      <c r="B3440">
        <v>2647</v>
      </c>
      <c r="C3440" s="1">
        <v>22.705650628182369</v>
      </c>
      <c r="D3440" s="9">
        <v>18.699944444449066</v>
      </c>
      <c r="E3440" s="1">
        <v>0.85253400000000001</v>
      </c>
      <c r="F3440" s="1">
        <v>8.3347999999999995</v>
      </c>
      <c r="G3440" s="1">
        <v>14.354200000000001</v>
      </c>
      <c r="H3440" s="1">
        <v>2.97458</v>
      </c>
    </row>
    <row r="3441" spans="1:8" x14ac:dyDescent="0.3">
      <c r="A3441" t="e">
        <f t="shared" si="140"/>
        <v>#REF!</v>
      </c>
      <c r="B3441">
        <v>2697</v>
      </c>
      <c r="C3441" s="1">
        <v>23.2</v>
      </c>
      <c r="D3441" s="9">
        <v>18.747166666671376</v>
      </c>
      <c r="E3441" s="1">
        <v>0.60077800000000003</v>
      </c>
      <c r="F3441" s="1">
        <v>8.1130800000000001</v>
      </c>
      <c r="G3441" s="1">
        <v>14.241899999999999</v>
      </c>
      <c r="H3441" s="1">
        <v>4.0402899999999997</v>
      </c>
    </row>
    <row r="3442" spans="1:8" x14ac:dyDescent="0.3">
      <c r="A3442">
        <f t="shared" si="140"/>
        <v>29</v>
      </c>
      <c r="B3442">
        <v>2747</v>
      </c>
      <c r="C3442" s="1">
        <v>23.642182982318811</v>
      </c>
      <c r="D3442" s="9">
        <v>18.794388888893685</v>
      </c>
      <c r="E3442" s="1">
        <v>0.95050900000000005</v>
      </c>
      <c r="F3442" s="1">
        <v>7.8343299999999996</v>
      </c>
      <c r="G3442" s="1">
        <v>13.812900000000001</v>
      </c>
      <c r="H3442" s="1">
        <v>4.8789699999999998</v>
      </c>
    </row>
    <row r="3443" spans="1:8" x14ac:dyDescent="0.3">
      <c r="A3443" t="e">
        <f t="shared" si="140"/>
        <v>#REF!</v>
      </c>
      <c r="B3443">
        <v>2797</v>
      </c>
      <c r="C3443" s="1">
        <v>23.983727926486619</v>
      </c>
      <c r="D3443" s="9">
        <v>18.841611111115995</v>
      </c>
      <c r="E3443" s="1">
        <v>1.6955</v>
      </c>
      <c r="F3443" s="1">
        <v>7.8586900000000002</v>
      </c>
      <c r="G3443" s="1">
        <v>13.333500000000001</v>
      </c>
      <c r="H3443" s="1">
        <v>5.4401099999999998</v>
      </c>
    </row>
    <row r="3444" spans="1:8" x14ac:dyDescent="0.3">
      <c r="A3444">
        <f t="shared" si="140"/>
        <v>45</v>
      </c>
      <c r="B3444">
        <v>2847</v>
      </c>
      <c r="C3444" s="1">
        <v>24.20451269533206</v>
      </c>
      <c r="D3444" s="9">
        <v>18.888833333338304</v>
      </c>
      <c r="E3444" s="1">
        <v>2.5174500000000002</v>
      </c>
      <c r="F3444" s="1">
        <v>8.4974100000000004</v>
      </c>
      <c r="G3444" s="1">
        <v>13.122999999999999</v>
      </c>
      <c r="H3444" s="1">
        <v>5.7276400000000001</v>
      </c>
    </row>
    <row r="3445" spans="1:8" x14ac:dyDescent="0.3">
      <c r="A3445" t="e">
        <f t="shared" si="140"/>
        <v>#REF!</v>
      </c>
      <c r="B3445">
        <v>2897</v>
      </c>
      <c r="C3445" s="1">
        <v>24.318871572381891</v>
      </c>
      <c r="D3445" s="9">
        <v>18.936055555560614</v>
      </c>
      <c r="E3445" s="1">
        <v>3.10921</v>
      </c>
      <c r="F3445" s="1">
        <v>9.6330500000000008</v>
      </c>
      <c r="G3445" s="1">
        <v>13.3902</v>
      </c>
      <c r="H3445" s="1">
        <v>5.9375200000000001</v>
      </c>
    </row>
    <row r="3446" spans="1:8" x14ac:dyDescent="0.3">
      <c r="A3446">
        <f t="shared" si="140"/>
        <v>36</v>
      </c>
      <c r="B3446">
        <v>2947</v>
      </c>
      <c r="C3446" s="1">
        <v>24.163354993325061</v>
      </c>
      <c r="D3446" s="9">
        <v>18.983277777782924</v>
      </c>
      <c r="E3446" s="1">
        <v>3.2888299999999999</v>
      </c>
      <c r="F3446" s="1">
        <v>11.010999999999999</v>
      </c>
      <c r="G3446" s="1">
        <v>14.2361</v>
      </c>
      <c r="H3446" s="1">
        <v>6.2546099999999996</v>
      </c>
    </row>
    <row r="3447" spans="1:8" x14ac:dyDescent="0.3">
      <c r="A3447" t="e">
        <f t="shared" si="140"/>
        <v>#REF!</v>
      </c>
      <c r="B3447">
        <v>2997</v>
      </c>
      <c r="C3447" s="1">
        <v>24.000701158503379</v>
      </c>
      <c r="D3447" s="9">
        <v>19.030500000005233</v>
      </c>
      <c r="E3447" s="1">
        <v>3.3957799999999998</v>
      </c>
      <c r="F3447" s="1">
        <v>12.281499999999999</v>
      </c>
      <c r="G3447" s="1">
        <v>15.4297</v>
      </c>
      <c r="H3447" s="1">
        <v>6.6019800000000002</v>
      </c>
    </row>
    <row r="3448" spans="1:8" x14ac:dyDescent="0.3">
      <c r="A3448">
        <f t="shared" si="140"/>
        <v>27</v>
      </c>
      <c r="B3448">
        <v>3047</v>
      </c>
      <c r="C3448" s="1">
        <v>23.861408314795739</v>
      </c>
      <c r="D3448" s="9">
        <v>19.077722222227543</v>
      </c>
      <c r="E3448" s="1">
        <v>3.82416</v>
      </c>
      <c r="F3448" s="1">
        <v>13.0984</v>
      </c>
      <c r="G3448" s="1">
        <v>16.648499999999999</v>
      </c>
      <c r="H3448" s="1">
        <v>6.8890399999999996</v>
      </c>
    </row>
    <row r="3449" spans="1:8" x14ac:dyDescent="0.3">
      <c r="A3449" t="e">
        <f t="shared" si="140"/>
        <v>#REF!</v>
      </c>
      <c r="B3449">
        <v>3097</v>
      </c>
      <c r="C3449" s="1">
        <v>23.564105761655021</v>
      </c>
      <c r="D3449" s="9">
        <v>19.124944444449852</v>
      </c>
      <c r="E3449" s="1">
        <v>4.6044999999999998</v>
      </c>
      <c r="F3449" s="1">
        <v>13.25</v>
      </c>
      <c r="G3449" s="1">
        <v>17.564900000000002</v>
      </c>
      <c r="H3449" s="1">
        <v>7.25732</v>
      </c>
    </row>
    <row r="3450" spans="1:8" x14ac:dyDescent="0.3">
      <c r="A3450">
        <f t="shared" si="140"/>
        <v>43</v>
      </c>
      <c r="B3450">
        <v>3147</v>
      </c>
      <c r="C3450" s="1">
        <v>23.1686898744329</v>
      </c>
      <c r="D3450" s="9">
        <v>19.172166666672162</v>
      </c>
      <c r="E3450" s="1">
        <v>5.6372400000000003</v>
      </c>
      <c r="F3450" s="1">
        <v>12.6661</v>
      </c>
      <c r="G3450" s="1">
        <v>17.9406</v>
      </c>
      <c r="H3450" s="1">
        <v>7.8693799999999996</v>
      </c>
    </row>
    <row r="3451" spans="1:8" x14ac:dyDescent="0.3">
      <c r="A3451" t="e">
        <f t="shared" si="140"/>
        <v>#REF!</v>
      </c>
      <c r="B3451">
        <v>3197</v>
      </c>
      <c r="C3451" s="1">
        <v>22.804017393014099</v>
      </c>
      <c r="D3451" s="9">
        <v>19.219388888894471</v>
      </c>
      <c r="E3451" s="1">
        <v>6.7075100000000001</v>
      </c>
      <c r="F3451" s="1">
        <v>11.64</v>
      </c>
      <c r="G3451" s="1">
        <v>17.8567</v>
      </c>
      <c r="H3451" s="1">
        <v>8.7476299999999991</v>
      </c>
    </row>
    <row r="3452" spans="1:8" x14ac:dyDescent="0.3">
      <c r="A3452">
        <f t="shared" si="140"/>
        <v>34</v>
      </c>
      <c r="B3452">
        <v>3247</v>
      </c>
      <c r="C3452" s="1">
        <v>22.448981253907188</v>
      </c>
      <c r="D3452" s="9">
        <v>19.266611111116781</v>
      </c>
      <c r="E3452" s="1">
        <v>7.64039</v>
      </c>
      <c r="F3452" s="1">
        <v>10.5329</v>
      </c>
      <c r="G3452" s="1">
        <v>17.483799999999999</v>
      </c>
      <c r="H3452" s="1">
        <v>9.8649500000000003</v>
      </c>
    </row>
    <row r="3453" spans="1:8" x14ac:dyDescent="0.3">
      <c r="A3453">
        <f t="shared" ref="A3453:A3459" si="141">A3403</f>
        <v>0</v>
      </c>
      <c r="B3453">
        <v>3297</v>
      </c>
      <c r="C3453" s="1">
        <v>22.02957757374817</v>
      </c>
      <c r="D3453" s="9">
        <v>19.31383333333909</v>
      </c>
      <c r="E3453" s="1">
        <v>8.5803100000000008</v>
      </c>
      <c r="F3453" s="1">
        <v>9.7846799999999998</v>
      </c>
      <c r="G3453" s="1">
        <v>17.087399999999999</v>
      </c>
      <c r="H3453" s="1">
        <v>11.153499999999999</v>
      </c>
    </row>
    <row r="3454" spans="1:8" x14ac:dyDescent="0.3">
      <c r="A3454">
        <f t="shared" si="141"/>
        <v>25</v>
      </c>
      <c r="B3454">
        <v>3347</v>
      </c>
      <c r="C3454" s="1">
        <v>21.706477288713611</v>
      </c>
      <c r="D3454" s="9">
        <v>19.3610555555614</v>
      </c>
      <c r="E3454" s="1">
        <v>9.9870099999999997</v>
      </c>
      <c r="F3454" s="1">
        <v>10.463699999999999</v>
      </c>
      <c r="G3454" s="1">
        <v>17.124500000000001</v>
      </c>
      <c r="H3454" s="1">
        <v>12.574999999999999</v>
      </c>
    </row>
    <row r="3455" spans="1:8" x14ac:dyDescent="0.3">
      <c r="A3455" t="e">
        <f t="shared" si="141"/>
        <v>#REF!</v>
      </c>
      <c r="B3455">
        <v>3397</v>
      </c>
      <c r="C3455" s="1">
        <v>21.38957817495405</v>
      </c>
      <c r="D3455" s="9">
        <v>19.408277777783709</v>
      </c>
      <c r="E3455" s="1">
        <v>11.734299999999999</v>
      </c>
      <c r="F3455" s="1">
        <v>11.9635</v>
      </c>
      <c r="G3455" s="1">
        <v>17.384899999999998</v>
      </c>
      <c r="H3455" s="1">
        <v>13.998900000000001</v>
      </c>
    </row>
    <row r="3456" spans="1:8" x14ac:dyDescent="0.3">
      <c r="A3456">
        <f t="shared" si="141"/>
        <v>41</v>
      </c>
      <c r="B3456">
        <v>3447</v>
      </c>
      <c r="C3456" s="1">
        <v>20.956050252609138</v>
      </c>
      <c r="D3456" s="9">
        <v>19.455500000006019</v>
      </c>
      <c r="E3456" s="1">
        <v>13.6053</v>
      </c>
      <c r="F3456" s="1">
        <v>13.7143</v>
      </c>
      <c r="G3456" s="1">
        <v>17.785599999999999</v>
      </c>
      <c r="H3456" s="1">
        <v>15.398400000000001</v>
      </c>
    </row>
    <row r="3457" spans="1:8" x14ac:dyDescent="0.3">
      <c r="A3457" t="e">
        <f t="shared" si="141"/>
        <v>#REF!</v>
      </c>
      <c r="B3457">
        <v>3497</v>
      </c>
      <c r="C3457" s="1">
        <v>20.432959559561159</v>
      </c>
      <c r="D3457" s="9">
        <v>19.502722222228329</v>
      </c>
      <c r="E3457" s="1">
        <v>15.536</v>
      </c>
      <c r="F3457" s="1">
        <v>15.5832</v>
      </c>
      <c r="G3457" s="1">
        <v>18.2987</v>
      </c>
      <c r="H3457" s="1">
        <v>16.7818</v>
      </c>
    </row>
    <row r="3458" spans="1:8" x14ac:dyDescent="0.3">
      <c r="A3458">
        <f t="shared" si="141"/>
        <v>32</v>
      </c>
      <c r="B3458">
        <v>3547</v>
      </c>
      <c r="C3458" s="1">
        <v>20.060184003105139</v>
      </c>
      <c r="D3458" s="9">
        <v>19.549944444450638</v>
      </c>
      <c r="E3458" s="1">
        <v>17.498799999999999</v>
      </c>
      <c r="F3458" s="1">
        <v>17.514299999999999</v>
      </c>
      <c r="G3458" s="1">
        <v>18.8962</v>
      </c>
      <c r="H3458" s="1">
        <v>18.1541</v>
      </c>
    </row>
    <row r="3459" spans="1:8" x14ac:dyDescent="0.3">
      <c r="A3459" t="e">
        <f t="shared" si="141"/>
        <v>#REF!</v>
      </c>
      <c r="B3459">
        <v>3597</v>
      </c>
      <c r="C3459" s="1">
        <v>19.628727560583211</v>
      </c>
      <c r="D3459" s="9">
        <v>19.597166666672948</v>
      </c>
      <c r="E3459" s="1">
        <v>19.480699999999999</v>
      </c>
      <c r="F3459" s="1">
        <v>19.481200000000001</v>
      </c>
      <c r="G3459" s="1">
        <v>19.558499999999999</v>
      </c>
      <c r="H3459" s="1">
        <v>19.5184</v>
      </c>
    </row>
    <row r="3460" spans="1:8" x14ac:dyDescent="0.3">
      <c r="A3460">
        <v>48</v>
      </c>
      <c r="B3460">
        <v>48</v>
      </c>
      <c r="C3460" s="1">
        <v>16.190000000000001</v>
      </c>
      <c r="D3460" s="9">
        <v>16.245333333333416</v>
      </c>
      <c r="E3460" s="1">
        <v>14.4252</v>
      </c>
      <c r="F3460" s="1">
        <v>14.307499999999999</v>
      </c>
      <c r="G3460" s="1">
        <v>15.627000000000001</v>
      </c>
      <c r="H3460" s="1">
        <v>14.4087</v>
      </c>
    </row>
    <row r="3461" spans="1:8" x14ac:dyDescent="0.3">
      <c r="A3461" t="e">
        <f t="shared" ref="A3461:A3492" si="142">A3411</f>
        <v>#REF!</v>
      </c>
      <c r="B3461">
        <v>98</v>
      </c>
      <c r="C3461" s="1">
        <v>16.23</v>
      </c>
      <c r="D3461" s="9">
        <v>16.292555555555726</v>
      </c>
      <c r="E3461" s="1">
        <v>12.6012</v>
      </c>
      <c r="F3461" s="1">
        <v>12.3682</v>
      </c>
      <c r="G3461" s="1">
        <v>15.087300000000001</v>
      </c>
      <c r="H3461" s="1">
        <v>12.5336</v>
      </c>
    </row>
    <row r="3462" spans="1:8" x14ac:dyDescent="0.3">
      <c r="A3462">
        <f t="shared" si="142"/>
        <v>39</v>
      </c>
      <c r="B3462">
        <v>148</v>
      </c>
      <c r="C3462" s="1">
        <v>16.43112541953915</v>
      </c>
      <c r="D3462" s="9">
        <v>16.339777777778036</v>
      </c>
      <c r="E3462" s="1">
        <v>10.8133</v>
      </c>
      <c r="F3462" s="1">
        <v>10.484500000000001</v>
      </c>
      <c r="G3462" s="1">
        <v>14.6203</v>
      </c>
      <c r="H3462" s="1">
        <v>10.648400000000001</v>
      </c>
    </row>
    <row r="3463" spans="1:8" x14ac:dyDescent="0.3">
      <c r="A3463" t="e">
        <f t="shared" si="142"/>
        <v>#REF!</v>
      </c>
      <c r="B3463">
        <v>198</v>
      </c>
      <c r="C3463" s="1">
        <v>16.756151256269899</v>
      </c>
      <c r="D3463" s="9">
        <v>16.387000000000345</v>
      </c>
      <c r="E3463" s="1">
        <v>9.0819399999999995</v>
      </c>
      <c r="F3463" s="1">
        <v>8.7042699999999993</v>
      </c>
      <c r="G3463" s="1">
        <v>14.243499999999999</v>
      </c>
      <c r="H3463" s="1">
        <v>8.7539099999999994</v>
      </c>
    </row>
    <row r="3464" spans="1:8" x14ac:dyDescent="0.3">
      <c r="A3464">
        <f t="shared" si="142"/>
        <v>30</v>
      </c>
      <c r="B3464">
        <v>248</v>
      </c>
      <c r="C3464" s="1">
        <v>16.87</v>
      </c>
      <c r="D3464" s="9">
        <v>16.434222222222655</v>
      </c>
      <c r="E3464" s="1">
        <v>7.4459499999999998</v>
      </c>
      <c r="F3464" s="1">
        <v>7.13889</v>
      </c>
      <c r="G3464" s="1">
        <v>13.964600000000001</v>
      </c>
      <c r="H3464" s="1">
        <v>6.8594900000000001</v>
      </c>
    </row>
    <row r="3465" spans="1:8" x14ac:dyDescent="0.3">
      <c r="A3465" t="e">
        <f t="shared" si="142"/>
        <v>#REF!</v>
      </c>
      <c r="B3465">
        <v>298</v>
      </c>
      <c r="C3465" s="1">
        <v>17.072995297007921</v>
      </c>
      <c r="D3465" s="9">
        <v>16.481444444444964</v>
      </c>
      <c r="E3465" s="1">
        <v>6.0542199999999999</v>
      </c>
      <c r="F3465" s="1">
        <v>6.2132800000000001</v>
      </c>
      <c r="G3465" s="1">
        <v>13.805999999999999</v>
      </c>
      <c r="H3465" s="1">
        <v>5.1082200000000002</v>
      </c>
    </row>
    <row r="3466" spans="1:8" x14ac:dyDescent="0.3">
      <c r="A3466">
        <f t="shared" si="142"/>
        <v>46</v>
      </c>
      <c r="B3466">
        <v>348</v>
      </c>
      <c r="C3466" s="1">
        <v>17.295018654246078</v>
      </c>
      <c r="D3466" s="9">
        <v>16.528666666667274</v>
      </c>
      <c r="E3466" s="1">
        <v>5.1590400000000001</v>
      </c>
      <c r="F3466" s="1">
        <v>6.3819699999999999</v>
      </c>
      <c r="G3466" s="1">
        <v>13.9741</v>
      </c>
      <c r="H3466" s="1">
        <v>3.8772199999999999</v>
      </c>
    </row>
    <row r="3467" spans="1:8" x14ac:dyDescent="0.3">
      <c r="A3467" t="e">
        <f t="shared" si="142"/>
        <v>#REF!</v>
      </c>
      <c r="B3467">
        <v>398</v>
      </c>
      <c r="C3467" s="1">
        <v>17.501370745060701</v>
      </c>
      <c r="D3467" s="9">
        <v>16.575888888889583</v>
      </c>
      <c r="E3467" s="1">
        <v>4.5500699999999998</v>
      </c>
      <c r="F3467" s="1">
        <v>6.6878900000000003</v>
      </c>
      <c r="G3467" s="1">
        <v>14.0722</v>
      </c>
      <c r="H3467" s="1">
        <v>3.0178400000000001</v>
      </c>
    </row>
    <row r="3468" spans="1:8" x14ac:dyDescent="0.3">
      <c r="A3468">
        <f t="shared" si="142"/>
        <v>37</v>
      </c>
      <c r="B3468">
        <v>448</v>
      </c>
      <c r="C3468" s="1">
        <v>17.811156410297901</v>
      </c>
      <c r="D3468" s="9">
        <v>16.623111111111893</v>
      </c>
      <c r="E3468" s="1">
        <v>4.1535900000000003</v>
      </c>
      <c r="F3468" s="1">
        <v>6.6999700000000004</v>
      </c>
      <c r="G3468" s="1">
        <v>13.8873</v>
      </c>
      <c r="H3468" s="1">
        <v>2.4935999999999998</v>
      </c>
    </row>
    <row r="3469" spans="1:8" x14ac:dyDescent="0.3">
      <c r="A3469" t="e">
        <f t="shared" si="142"/>
        <v>#REF!</v>
      </c>
      <c r="B3469">
        <v>498</v>
      </c>
      <c r="C3469" s="1">
        <v>17.967631078556892</v>
      </c>
      <c r="D3469" s="9">
        <v>16.670333333334202</v>
      </c>
      <c r="E3469" s="1">
        <v>3.70106</v>
      </c>
      <c r="F3469" s="1">
        <v>6.3139099999999999</v>
      </c>
      <c r="G3469" s="1">
        <v>13.5472</v>
      </c>
      <c r="H3469" s="1">
        <v>2.0345800000000001</v>
      </c>
    </row>
    <row r="3470" spans="1:8" x14ac:dyDescent="0.3">
      <c r="A3470">
        <f t="shared" si="142"/>
        <v>28</v>
      </c>
      <c r="B3470">
        <v>548</v>
      </c>
      <c r="C3470" s="1">
        <v>18.158177976952629</v>
      </c>
      <c r="D3470" s="9">
        <v>16.717555555556512</v>
      </c>
      <c r="E3470" s="1">
        <v>2.9398499999999999</v>
      </c>
      <c r="F3470" s="1">
        <v>5.5210299999999997</v>
      </c>
      <c r="G3470" s="1">
        <v>13.216900000000001</v>
      </c>
      <c r="H3470" s="1">
        <v>1.3739300000000001</v>
      </c>
    </row>
    <row r="3471" spans="1:8" x14ac:dyDescent="0.3">
      <c r="A3471" t="e">
        <f t="shared" si="142"/>
        <v>#REF!</v>
      </c>
      <c r="B3471">
        <v>598</v>
      </c>
      <c r="C3471" s="1">
        <v>18.372931994646379</v>
      </c>
      <c r="D3471" s="9">
        <v>16.764777777778821</v>
      </c>
      <c r="E3471" s="1">
        <v>2.0184299999999999</v>
      </c>
      <c r="F3471" s="1">
        <v>4.5061299999999997</v>
      </c>
      <c r="G3471" s="1">
        <v>12.8566</v>
      </c>
      <c r="H3471" s="1">
        <v>0.64115800000000001</v>
      </c>
    </row>
    <row r="3472" spans="1:8" x14ac:dyDescent="0.3">
      <c r="A3472">
        <f t="shared" si="142"/>
        <v>44</v>
      </c>
      <c r="B3472">
        <v>648</v>
      </c>
      <c r="C3472" s="1">
        <v>18.50965365157608</v>
      </c>
      <c r="D3472" s="9">
        <v>16.812000000001131</v>
      </c>
      <c r="E3472" s="1">
        <v>1.19899</v>
      </c>
      <c r="F3472" s="1">
        <v>3.51111</v>
      </c>
      <c r="G3472" s="1">
        <v>12.4253</v>
      </c>
      <c r="H3472" s="1">
        <v>9.1390799999999994E-2</v>
      </c>
    </row>
    <row r="3473" spans="1:8" x14ac:dyDescent="0.3">
      <c r="A3473" t="e">
        <f t="shared" si="142"/>
        <v>#REF!</v>
      </c>
      <c r="B3473">
        <v>698</v>
      </c>
      <c r="C3473" s="1">
        <v>18.687151001879851</v>
      </c>
      <c r="D3473" s="9">
        <v>16.85922222222344</v>
      </c>
      <c r="E3473" s="1">
        <v>0.70890900000000001</v>
      </c>
      <c r="F3473" s="1">
        <v>2.7494399999999999</v>
      </c>
      <c r="G3473" s="1">
        <v>12.1372</v>
      </c>
      <c r="H3473" s="1">
        <v>1.42994E-2</v>
      </c>
    </row>
    <row r="3474" spans="1:8" x14ac:dyDescent="0.3">
      <c r="A3474">
        <f t="shared" si="142"/>
        <v>35</v>
      </c>
      <c r="B3474">
        <v>748</v>
      </c>
      <c r="C3474" s="1">
        <v>18.82</v>
      </c>
      <c r="D3474" s="9">
        <v>16.90644444444575</v>
      </c>
      <c r="E3474" s="1">
        <v>0.68729099999999999</v>
      </c>
      <c r="F3474" s="1">
        <v>2.3481900000000002</v>
      </c>
      <c r="G3474" s="1">
        <v>12.210599999999999</v>
      </c>
      <c r="H3474" s="1">
        <v>0.60566900000000001</v>
      </c>
    </row>
    <row r="3475" spans="1:8" x14ac:dyDescent="0.3">
      <c r="A3475" t="e">
        <f t="shared" si="142"/>
        <v>#REF!</v>
      </c>
      <c r="B3475">
        <v>798</v>
      </c>
      <c r="C3475" s="1">
        <v>19.165087855498779</v>
      </c>
      <c r="D3475" s="9">
        <v>16.95366666666806</v>
      </c>
      <c r="E3475" s="1">
        <v>0.93556099999999998</v>
      </c>
      <c r="F3475" s="1">
        <v>2.0983700000000001</v>
      </c>
      <c r="G3475" s="1">
        <v>12.574400000000001</v>
      </c>
      <c r="H3475" s="1">
        <v>1.6157600000000001</v>
      </c>
    </row>
    <row r="3476" spans="1:8" x14ac:dyDescent="0.3">
      <c r="A3476">
        <f t="shared" si="142"/>
        <v>26</v>
      </c>
      <c r="B3476">
        <v>848</v>
      </c>
      <c r="C3476" s="1">
        <v>19.39</v>
      </c>
      <c r="D3476" s="9">
        <v>17.000888888890369</v>
      </c>
      <c r="E3476" s="1">
        <v>1.2195100000000001</v>
      </c>
      <c r="F3476" s="1">
        <v>1.7932600000000001</v>
      </c>
      <c r="G3476" s="1">
        <v>13.0503</v>
      </c>
      <c r="H3476" s="1">
        <v>2.6719300000000001</v>
      </c>
    </row>
    <row r="3477" spans="1:8" x14ac:dyDescent="0.3">
      <c r="A3477" t="e">
        <f t="shared" si="142"/>
        <v>#REF!</v>
      </c>
      <c r="B3477">
        <v>898</v>
      </c>
      <c r="C3477" s="1">
        <v>19.694833963463608</v>
      </c>
      <c r="D3477" s="9">
        <v>17.048111111112679</v>
      </c>
      <c r="E3477" s="1">
        <v>1.54749</v>
      </c>
      <c r="F3477" s="1">
        <v>1.63059</v>
      </c>
      <c r="G3477" s="1">
        <v>13.3369</v>
      </c>
      <c r="H3477" s="1">
        <v>3.3913700000000002</v>
      </c>
    </row>
    <row r="3478" spans="1:8" x14ac:dyDescent="0.3">
      <c r="A3478">
        <f t="shared" si="142"/>
        <v>42</v>
      </c>
      <c r="B3478">
        <v>948</v>
      </c>
      <c r="C3478" s="1">
        <v>19.97256471203961</v>
      </c>
      <c r="D3478" s="9">
        <v>17.095333333334988</v>
      </c>
      <c r="E3478" s="1">
        <v>1.9490400000000001</v>
      </c>
      <c r="F3478" s="1">
        <v>1.8451900000000001</v>
      </c>
      <c r="G3478" s="1">
        <v>13.204599999999999</v>
      </c>
      <c r="H3478" s="1">
        <v>3.4951300000000001</v>
      </c>
    </row>
    <row r="3479" spans="1:8" x14ac:dyDescent="0.3">
      <c r="A3479" t="e">
        <f t="shared" si="142"/>
        <v>#REF!</v>
      </c>
      <c r="B3479">
        <v>998</v>
      </c>
      <c r="C3479" s="1">
        <v>20.35107803575438</v>
      </c>
      <c r="D3479" s="9">
        <v>17.142555555557298</v>
      </c>
      <c r="E3479" s="1">
        <v>2.2609900000000001</v>
      </c>
      <c r="F3479" s="1">
        <v>2.3591099999999998</v>
      </c>
      <c r="G3479" s="1">
        <v>12.8812</v>
      </c>
      <c r="H3479" s="1">
        <v>3.1631900000000002</v>
      </c>
    </row>
    <row r="3480" spans="1:8" x14ac:dyDescent="0.3">
      <c r="A3480">
        <f t="shared" si="142"/>
        <v>33</v>
      </c>
      <c r="B3480">
        <v>1048</v>
      </c>
      <c r="C3480" s="1">
        <v>20.79474625052563</v>
      </c>
      <c r="D3480" s="9">
        <v>17.189777777779607</v>
      </c>
      <c r="E3480" s="1">
        <v>2.3344</v>
      </c>
      <c r="F3480" s="1">
        <v>2.9814799999999999</v>
      </c>
      <c r="G3480" s="1">
        <v>12.6721</v>
      </c>
      <c r="H3480" s="1">
        <v>2.7167400000000002</v>
      </c>
    </row>
    <row r="3481" spans="1:8" x14ac:dyDescent="0.3">
      <c r="A3481" t="e">
        <f t="shared" si="142"/>
        <v>#REF!</v>
      </c>
      <c r="B3481">
        <v>1098</v>
      </c>
      <c r="C3481" s="1">
        <v>21.166988340282899</v>
      </c>
      <c r="D3481" s="9">
        <v>17.237000000001917</v>
      </c>
      <c r="E3481" s="1">
        <v>2.3063099999999999</v>
      </c>
      <c r="F3481" s="1">
        <v>3.3988700000000001</v>
      </c>
      <c r="G3481" s="1">
        <v>12.681100000000001</v>
      </c>
      <c r="H3481" s="1">
        <v>2.55314</v>
      </c>
    </row>
    <row r="3482" spans="1:8" x14ac:dyDescent="0.3">
      <c r="A3482">
        <f t="shared" si="142"/>
        <v>24</v>
      </c>
      <c r="B3482">
        <v>1148</v>
      </c>
      <c r="C3482" s="1">
        <v>21.506766224333131</v>
      </c>
      <c r="D3482" s="9">
        <v>17.284222222224226</v>
      </c>
      <c r="E3482" s="1">
        <v>2.32504</v>
      </c>
      <c r="F3482" s="1">
        <v>3.3790800000000001</v>
      </c>
      <c r="G3482" s="1">
        <v>12.9048</v>
      </c>
      <c r="H3482" s="1">
        <v>2.97268</v>
      </c>
    </row>
    <row r="3483" spans="1:8" x14ac:dyDescent="0.3">
      <c r="A3483" t="e">
        <f t="shared" si="142"/>
        <v>#REF!</v>
      </c>
      <c r="B3483">
        <v>1198</v>
      </c>
      <c r="C3483" s="1">
        <v>21.920597457720799</v>
      </c>
      <c r="D3483" s="9">
        <v>17.331444444446536</v>
      </c>
      <c r="E3483" s="1">
        <v>2.2561100000000001</v>
      </c>
      <c r="F3483" s="1">
        <v>3.1793300000000002</v>
      </c>
      <c r="G3483" s="1">
        <v>13.1128</v>
      </c>
      <c r="H3483" s="1">
        <v>3.7738399999999999</v>
      </c>
    </row>
    <row r="3484" spans="1:8" x14ac:dyDescent="0.3">
      <c r="A3484">
        <f t="shared" si="142"/>
        <v>40</v>
      </c>
      <c r="B3484">
        <v>1248</v>
      </c>
      <c r="C3484" s="1">
        <v>22.340375679988721</v>
      </c>
      <c r="D3484" s="9">
        <v>17.378666666668845</v>
      </c>
      <c r="E3484" s="1">
        <v>1.9736899999999999</v>
      </c>
      <c r="F3484" s="1">
        <v>3.1266600000000002</v>
      </c>
      <c r="G3484" s="1">
        <v>13.1004</v>
      </c>
      <c r="H3484" s="1">
        <v>4.6392699999999998</v>
      </c>
    </row>
    <row r="3485" spans="1:8" x14ac:dyDescent="0.3">
      <c r="A3485" t="e">
        <f t="shared" si="142"/>
        <v>#REF!</v>
      </c>
      <c r="B3485">
        <v>1298</v>
      </c>
      <c r="C3485" s="1">
        <v>22.79158776042436</v>
      </c>
      <c r="D3485" s="9">
        <v>17.425888888891155</v>
      </c>
      <c r="E3485" s="1">
        <v>1.71404</v>
      </c>
      <c r="F3485" s="1">
        <v>3.2866399999999998</v>
      </c>
      <c r="G3485" s="1">
        <v>13.033899999999999</v>
      </c>
      <c r="H3485" s="1">
        <v>5.3287000000000004</v>
      </c>
    </row>
    <row r="3486" spans="1:8" x14ac:dyDescent="0.3">
      <c r="A3486">
        <f t="shared" si="142"/>
        <v>31</v>
      </c>
      <c r="B3486">
        <v>1348</v>
      </c>
      <c r="C3486" s="1">
        <v>23.070266669451001</v>
      </c>
      <c r="D3486" s="9">
        <v>17.473111111113464</v>
      </c>
      <c r="E3486" s="1">
        <v>1.7467999999999999</v>
      </c>
      <c r="F3486" s="1">
        <v>3.6303000000000001</v>
      </c>
      <c r="G3486" s="1">
        <v>13.1035</v>
      </c>
      <c r="H3486" s="1">
        <v>5.6936</v>
      </c>
    </row>
    <row r="3487" spans="1:8" x14ac:dyDescent="0.3">
      <c r="A3487" t="e">
        <f t="shared" si="142"/>
        <v>#REF!</v>
      </c>
      <c r="B3487">
        <v>1398</v>
      </c>
      <c r="C3487" s="1">
        <v>23.23</v>
      </c>
      <c r="D3487" s="9">
        <v>17.520333333335774</v>
      </c>
      <c r="E3487" s="1">
        <v>2.0706600000000002</v>
      </c>
      <c r="F3487" s="1">
        <v>4.0231300000000001</v>
      </c>
      <c r="G3487" s="1">
        <v>13.178100000000001</v>
      </c>
      <c r="H3487" s="1">
        <v>5.8872299999999997</v>
      </c>
    </row>
    <row r="3488" spans="1:8" x14ac:dyDescent="0.3">
      <c r="A3488">
        <f t="shared" si="142"/>
        <v>47</v>
      </c>
      <c r="B3488">
        <v>1448</v>
      </c>
      <c r="C3488" s="1">
        <v>23.266567626022951</v>
      </c>
      <c r="D3488" s="9">
        <v>17.567555555558084</v>
      </c>
      <c r="E3488" s="1">
        <v>2.5767000000000002</v>
      </c>
      <c r="F3488" s="1">
        <v>4.3334999999999999</v>
      </c>
      <c r="G3488" s="1">
        <v>13.1112</v>
      </c>
      <c r="H3488" s="1">
        <v>6.07524</v>
      </c>
    </row>
    <row r="3489" spans="1:8" x14ac:dyDescent="0.3">
      <c r="A3489" t="e">
        <f t="shared" si="142"/>
        <v>#REF!</v>
      </c>
      <c r="B3489">
        <v>1498</v>
      </c>
      <c r="C3489" s="1">
        <v>23.1267505668295</v>
      </c>
      <c r="D3489" s="9">
        <v>17.614777777780393</v>
      </c>
      <c r="E3489" s="1">
        <v>3.00576</v>
      </c>
      <c r="F3489" s="1">
        <v>4.5609799999999998</v>
      </c>
      <c r="G3489" s="1">
        <v>13.0549</v>
      </c>
      <c r="H3489" s="1">
        <v>6.1387099999999997</v>
      </c>
    </row>
    <row r="3490" spans="1:8" x14ac:dyDescent="0.3">
      <c r="A3490">
        <f t="shared" si="142"/>
        <v>38</v>
      </c>
      <c r="B3490">
        <v>1548</v>
      </c>
      <c r="C3490" s="1">
        <v>22.87327955021243</v>
      </c>
      <c r="D3490" s="9">
        <v>17.662000000002703</v>
      </c>
      <c r="E3490" s="1">
        <v>3.1736300000000002</v>
      </c>
      <c r="F3490" s="1">
        <v>4.7779999999999996</v>
      </c>
      <c r="G3490" s="1">
        <v>13.1699</v>
      </c>
      <c r="H3490" s="1">
        <v>5.9173900000000001</v>
      </c>
    </row>
    <row r="3491" spans="1:8" x14ac:dyDescent="0.3">
      <c r="A3491" t="e">
        <f t="shared" si="142"/>
        <v>#REF!</v>
      </c>
      <c r="B3491">
        <v>1598</v>
      </c>
      <c r="C3491" s="1">
        <v>22.51738382946467</v>
      </c>
      <c r="D3491" s="9">
        <v>17.709222222225012</v>
      </c>
      <c r="E3491" s="1">
        <v>3.3831799999999999</v>
      </c>
      <c r="F3491" s="1">
        <v>5.2182599999999999</v>
      </c>
      <c r="G3491" s="1">
        <v>13.3185</v>
      </c>
      <c r="H3491" s="1">
        <v>5.39316</v>
      </c>
    </row>
    <row r="3492" spans="1:8" x14ac:dyDescent="0.3">
      <c r="A3492">
        <f t="shared" si="142"/>
        <v>29</v>
      </c>
      <c r="B3492">
        <v>1648</v>
      </c>
      <c r="C3492" s="1">
        <v>22.088938737488849</v>
      </c>
      <c r="D3492" s="9">
        <v>17.756444444447322</v>
      </c>
      <c r="E3492" s="1">
        <v>3.9595099999999999</v>
      </c>
      <c r="F3492" s="1">
        <v>6.0683499999999997</v>
      </c>
      <c r="G3492" s="1">
        <v>13.3474</v>
      </c>
      <c r="H3492" s="1">
        <v>4.5978599999999998</v>
      </c>
    </row>
    <row r="3493" spans="1:8" x14ac:dyDescent="0.3">
      <c r="A3493" t="e">
        <f t="shared" ref="A3493:A3524" si="143">A3443</f>
        <v>#REF!</v>
      </c>
      <c r="B3493">
        <v>1698</v>
      </c>
      <c r="C3493" s="1">
        <v>21.708981577907849</v>
      </c>
      <c r="D3493" s="9">
        <v>17.803666666669631</v>
      </c>
      <c r="E3493" s="1">
        <v>4.7770000000000001</v>
      </c>
      <c r="F3493" s="1">
        <v>7.1363099999999999</v>
      </c>
      <c r="G3493" s="1">
        <v>13.3721</v>
      </c>
      <c r="H3493" s="1">
        <v>3.6159699999999999</v>
      </c>
    </row>
    <row r="3494" spans="1:8" x14ac:dyDescent="0.3">
      <c r="A3494">
        <f t="shared" si="143"/>
        <v>45</v>
      </c>
      <c r="B3494">
        <v>1748</v>
      </c>
      <c r="C3494" s="1">
        <v>21.272803037724682</v>
      </c>
      <c r="D3494" s="9">
        <v>17.850888888891941</v>
      </c>
      <c r="E3494" s="1">
        <v>5.5618600000000002</v>
      </c>
      <c r="F3494" s="1">
        <v>8.1367600000000007</v>
      </c>
      <c r="G3494" s="1">
        <v>13.513299999999999</v>
      </c>
      <c r="H3494" s="1">
        <v>2.53668</v>
      </c>
    </row>
    <row r="3495" spans="1:8" x14ac:dyDescent="0.3">
      <c r="A3495" t="e">
        <f t="shared" si="143"/>
        <v>#REF!</v>
      </c>
      <c r="B3495">
        <v>1798</v>
      </c>
      <c r="C3495" s="1">
        <v>20.929885451868639</v>
      </c>
      <c r="D3495" s="9">
        <v>17.89811111111425</v>
      </c>
      <c r="E3495" s="1">
        <v>5.9173299999999998</v>
      </c>
      <c r="F3495" s="1">
        <v>8.8109400000000004</v>
      </c>
      <c r="G3495" s="1">
        <v>13.6181</v>
      </c>
      <c r="H3495" s="1">
        <v>1.41124</v>
      </c>
    </row>
    <row r="3496" spans="1:8" x14ac:dyDescent="0.3">
      <c r="A3496">
        <f t="shared" si="143"/>
        <v>36</v>
      </c>
      <c r="B3496">
        <v>1848</v>
      </c>
      <c r="C3496" s="1">
        <v>20.559842110755248</v>
      </c>
      <c r="D3496" s="9">
        <v>17.94533333333656</v>
      </c>
      <c r="E3496" s="1">
        <v>5.5462300000000004</v>
      </c>
      <c r="F3496" s="1">
        <v>9.0078099999999992</v>
      </c>
      <c r="G3496" s="1">
        <v>13.5374</v>
      </c>
      <c r="H3496" s="1">
        <v>0.264708</v>
      </c>
    </row>
    <row r="3497" spans="1:8" x14ac:dyDescent="0.3">
      <c r="A3497" t="e">
        <f t="shared" si="143"/>
        <v>#REF!</v>
      </c>
      <c r="B3497">
        <v>1898</v>
      </c>
      <c r="C3497" s="1">
        <v>20.17458196181698</v>
      </c>
      <c r="D3497" s="9">
        <v>17.992555555558869</v>
      </c>
      <c r="E3497" s="1">
        <v>4.70336</v>
      </c>
      <c r="F3497" s="1">
        <v>8.9969400000000004</v>
      </c>
      <c r="G3497" s="1">
        <v>13.4367</v>
      </c>
      <c r="H3497" s="1">
        <v>-0.94567599999999996</v>
      </c>
    </row>
    <row r="3498" spans="1:8" x14ac:dyDescent="0.3">
      <c r="A3498">
        <f t="shared" si="143"/>
        <v>27</v>
      </c>
      <c r="B3498">
        <v>1948</v>
      </c>
      <c r="C3498" s="1">
        <v>19.80736794370215</v>
      </c>
      <c r="D3498" s="9">
        <v>18.039777777781179</v>
      </c>
      <c r="E3498" s="1">
        <v>3.7742300000000002</v>
      </c>
      <c r="F3498" s="1">
        <v>9.0627300000000002</v>
      </c>
      <c r="G3498" s="1">
        <v>13.4962</v>
      </c>
      <c r="H3498" s="1">
        <v>-2.24837</v>
      </c>
    </row>
    <row r="3499" spans="1:8" x14ac:dyDescent="0.3">
      <c r="A3499" t="e">
        <f t="shared" si="143"/>
        <v>#REF!</v>
      </c>
      <c r="B3499">
        <v>1998</v>
      </c>
      <c r="C3499" s="1">
        <v>19.530437144740091</v>
      </c>
      <c r="D3499" s="9">
        <v>18.087000000003489</v>
      </c>
      <c r="E3499" s="1">
        <v>3.08779</v>
      </c>
      <c r="F3499" s="1">
        <v>9.0945499999999999</v>
      </c>
      <c r="G3499" s="1">
        <v>13.614800000000001</v>
      </c>
      <c r="H3499" s="1">
        <v>-3.5395500000000002</v>
      </c>
    </row>
    <row r="3500" spans="1:8" x14ac:dyDescent="0.3">
      <c r="A3500">
        <f t="shared" si="143"/>
        <v>43</v>
      </c>
      <c r="B3500">
        <v>2048</v>
      </c>
      <c r="C3500" s="1">
        <v>19.343703214691121</v>
      </c>
      <c r="D3500" s="9">
        <v>18.134222222225798</v>
      </c>
      <c r="E3500" s="1">
        <v>2.84965</v>
      </c>
      <c r="F3500" s="1">
        <v>8.9391400000000001</v>
      </c>
      <c r="G3500" s="1">
        <v>13.669600000000001</v>
      </c>
      <c r="H3500" s="1">
        <v>-4.6915100000000001</v>
      </c>
    </row>
    <row r="3501" spans="1:8" x14ac:dyDescent="0.3">
      <c r="A3501" t="e">
        <f t="shared" si="143"/>
        <v>#REF!</v>
      </c>
      <c r="B3501">
        <v>2098</v>
      </c>
      <c r="C3501" s="1">
        <v>19.21</v>
      </c>
      <c r="D3501" s="9">
        <v>18.181444444448108</v>
      </c>
      <c r="E3501" s="1">
        <v>2.8153000000000001</v>
      </c>
      <c r="F3501" s="1">
        <v>8.6923600000000008</v>
      </c>
      <c r="G3501" s="1">
        <v>13.7517</v>
      </c>
      <c r="H3501" s="1">
        <v>-5.6193400000000002</v>
      </c>
    </row>
    <row r="3502" spans="1:8" x14ac:dyDescent="0.3">
      <c r="A3502">
        <f t="shared" si="143"/>
        <v>34</v>
      </c>
      <c r="B3502">
        <v>2148</v>
      </c>
      <c r="C3502" s="1">
        <v>19.2</v>
      </c>
      <c r="D3502" s="9">
        <v>18.228666666670417</v>
      </c>
      <c r="E3502" s="1">
        <v>2.7145999999999999</v>
      </c>
      <c r="F3502" s="1">
        <v>8.5024499999999996</v>
      </c>
      <c r="G3502" s="1">
        <v>13.946300000000001</v>
      </c>
      <c r="H3502" s="1">
        <v>-6.2317499999999999</v>
      </c>
    </row>
    <row r="3503" spans="1:8" x14ac:dyDescent="0.3">
      <c r="A3503">
        <f t="shared" si="143"/>
        <v>0</v>
      </c>
      <c r="B3503">
        <v>2198</v>
      </c>
      <c r="C3503" s="1">
        <v>19.16</v>
      </c>
      <c r="D3503" s="9">
        <v>18.275888888892727</v>
      </c>
      <c r="E3503" s="1">
        <v>2.65272</v>
      </c>
      <c r="F3503" s="1">
        <v>8.4673200000000008</v>
      </c>
      <c r="G3503" s="1">
        <v>14.084899999999999</v>
      </c>
      <c r="H3503" s="1">
        <v>-6.36571</v>
      </c>
    </row>
    <row r="3504" spans="1:8" x14ac:dyDescent="0.3">
      <c r="A3504">
        <f t="shared" si="143"/>
        <v>25</v>
      </c>
      <c r="B3504">
        <v>2248</v>
      </c>
      <c r="C3504" s="1">
        <v>19.319964248850169</v>
      </c>
      <c r="D3504" s="9">
        <v>18.323111111115036</v>
      </c>
      <c r="E3504" s="1">
        <v>2.7624200000000001</v>
      </c>
      <c r="F3504" s="1">
        <v>8.6116899999999994</v>
      </c>
      <c r="G3504" s="1">
        <v>14.009600000000001</v>
      </c>
      <c r="H3504" s="1">
        <v>-5.9143800000000004</v>
      </c>
    </row>
    <row r="3505" spans="1:8" x14ac:dyDescent="0.3">
      <c r="A3505" t="e">
        <f t="shared" si="143"/>
        <v>#REF!</v>
      </c>
      <c r="B3505">
        <v>2298</v>
      </c>
      <c r="C3505" s="1">
        <v>19.560710188005341</v>
      </c>
      <c r="D3505" s="9">
        <v>18.370333333337346</v>
      </c>
      <c r="E3505" s="1">
        <v>2.89181</v>
      </c>
      <c r="F3505" s="1">
        <v>8.7121600000000008</v>
      </c>
      <c r="G3505" s="1">
        <v>13.8744</v>
      </c>
      <c r="H3505" s="1">
        <v>-5.0757000000000003</v>
      </c>
    </row>
    <row r="3506" spans="1:8" x14ac:dyDescent="0.3">
      <c r="A3506">
        <f t="shared" si="143"/>
        <v>41</v>
      </c>
      <c r="B3506">
        <v>2348</v>
      </c>
      <c r="C3506" s="1">
        <v>19.95178673099338</v>
      </c>
      <c r="D3506" s="9">
        <v>18.417555555559655</v>
      </c>
      <c r="E3506" s="1">
        <v>2.8800400000000002</v>
      </c>
      <c r="F3506" s="1">
        <v>8.5558599999999991</v>
      </c>
      <c r="G3506" s="1">
        <v>13.8462</v>
      </c>
      <c r="H3506" s="1">
        <v>-4.0857700000000001</v>
      </c>
    </row>
    <row r="3507" spans="1:8" x14ac:dyDescent="0.3">
      <c r="A3507" t="e">
        <f t="shared" si="143"/>
        <v>#REF!</v>
      </c>
      <c r="B3507">
        <v>2398</v>
      </c>
      <c r="C3507" s="1">
        <v>20.404508262223771</v>
      </c>
      <c r="D3507" s="9">
        <v>18.464777777781965</v>
      </c>
      <c r="E3507" s="1">
        <v>2.8294899999999998</v>
      </c>
      <c r="F3507" s="1">
        <v>8.2359200000000001</v>
      </c>
      <c r="G3507" s="1">
        <v>13.8155</v>
      </c>
      <c r="H3507" s="1">
        <v>-3.0188600000000001</v>
      </c>
    </row>
    <row r="3508" spans="1:8" x14ac:dyDescent="0.3">
      <c r="A3508">
        <f t="shared" si="143"/>
        <v>32</v>
      </c>
      <c r="B3508">
        <v>2448</v>
      </c>
      <c r="C3508" s="1">
        <v>21.0313910447532</v>
      </c>
      <c r="D3508" s="9">
        <v>18.512000000004274</v>
      </c>
      <c r="E3508" s="1">
        <v>2.8347600000000002</v>
      </c>
      <c r="F3508" s="1">
        <v>7.9295799999999996</v>
      </c>
      <c r="G3508" s="1">
        <v>13.677199999999999</v>
      </c>
      <c r="H3508" s="1">
        <v>-1.8995899999999999</v>
      </c>
    </row>
    <row r="3509" spans="1:8" x14ac:dyDescent="0.3">
      <c r="A3509" t="e">
        <f t="shared" si="143"/>
        <v>#REF!</v>
      </c>
      <c r="B3509">
        <v>2498</v>
      </c>
      <c r="C3509" s="1">
        <v>21.54263902146398</v>
      </c>
      <c r="D3509" s="9">
        <v>18.559222222226584</v>
      </c>
      <c r="E3509" s="1">
        <v>2.6830500000000002</v>
      </c>
      <c r="F3509" s="1">
        <v>7.8365900000000002</v>
      </c>
      <c r="G3509" s="1">
        <v>13.6309</v>
      </c>
      <c r="H3509" s="1">
        <v>-0.71832399999999996</v>
      </c>
    </row>
    <row r="3510" spans="1:8" x14ac:dyDescent="0.3">
      <c r="A3510">
        <f t="shared" si="143"/>
        <v>48</v>
      </c>
      <c r="B3510">
        <v>2548</v>
      </c>
      <c r="C3510" s="1">
        <v>22.031666421110302</v>
      </c>
      <c r="D3510" s="9">
        <v>18.606444444448893</v>
      </c>
      <c r="E3510" s="1">
        <v>2.1730399999999999</v>
      </c>
      <c r="F3510" s="1">
        <v>8.0658200000000004</v>
      </c>
      <c r="G3510" s="1">
        <v>13.862299999999999</v>
      </c>
      <c r="H3510" s="1">
        <v>0.529308</v>
      </c>
    </row>
    <row r="3511" spans="1:8" x14ac:dyDescent="0.3">
      <c r="A3511" t="e">
        <f t="shared" si="143"/>
        <v>#REF!</v>
      </c>
      <c r="B3511">
        <v>2598</v>
      </c>
      <c r="C3511" s="1">
        <v>22.397955226623971</v>
      </c>
      <c r="D3511" s="9">
        <v>18.653666666671203</v>
      </c>
      <c r="E3511" s="1">
        <v>1.4699800000000001</v>
      </c>
      <c r="F3511" s="1">
        <v>8.3317200000000007</v>
      </c>
      <c r="G3511" s="1">
        <v>14.1868</v>
      </c>
      <c r="H3511" s="1">
        <v>1.7914399999999999</v>
      </c>
    </row>
    <row r="3512" spans="1:8" x14ac:dyDescent="0.3">
      <c r="A3512">
        <f t="shared" si="143"/>
        <v>39</v>
      </c>
      <c r="B3512">
        <v>2648</v>
      </c>
      <c r="C3512" s="1">
        <v>22.7233777201001</v>
      </c>
      <c r="D3512" s="9">
        <v>18.700888888893513</v>
      </c>
      <c r="E3512" s="1">
        <v>0.84270500000000004</v>
      </c>
      <c r="F3512" s="1">
        <v>8.3321699999999996</v>
      </c>
      <c r="G3512" s="1">
        <v>14.355</v>
      </c>
      <c r="H3512" s="1">
        <v>2.9975900000000002</v>
      </c>
    </row>
    <row r="3513" spans="1:8" x14ac:dyDescent="0.3">
      <c r="A3513" t="e">
        <f t="shared" si="143"/>
        <v>#REF!</v>
      </c>
      <c r="B3513">
        <v>2698</v>
      </c>
      <c r="C3513" s="1">
        <v>23.2</v>
      </c>
      <c r="D3513" s="9">
        <v>18.748111111115822</v>
      </c>
      <c r="E3513" s="1">
        <v>0.60182400000000003</v>
      </c>
      <c r="F3513" s="1">
        <v>8.1071899999999992</v>
      </c>
      <c r="G3513" s="1">
        <v>14.236000000000001</v>
      </c>
      <c r="H3513" s="1">
        <v>4.0595100000000004</v>
      </c>
    </row>
    <row r="3514" spans="1:8" x14ac:dyDescent="0.3">
      <c r="A3514">
        <f t="shared" si="143"/>
        <v>30</v>
      </c>
      <c r="B3514">
        <v>2748</v>
      </c>
      <c r="C3514" s="1">
        <v>23.649934499678331</v>
      </c>
      <c r="D3514" s="9">
        <v>18.795333333338132</v>
      </c>
      <c r="E3514" s="1">
        <v>0.96260500000000004</v>
      </c>
      <c r="F3514" s="1">
        <v>7.8304799999999997</v>
      </c>
      <c r="G3514" s="1">
        <v>13.8027</v>
      </c>
      <c r="H3514" s="1">
        <v>4.8930499999999997</v>
      </c>
    </row>
    <row r="3515" spans="1:8" x14ac:dyDescent="0.3">
      <c r="A3515" t="e">
        <f t="shared" si="143"/>
        <v>#REF!</v>
      </c>
      <c r="B3515">
        <v>2798</v>
      </c>
      <c r="C3515" s="1">
        <v>23.98774768763241</v>
      </c>
      <c r="D3515" s="9">
        <v>18.842555555560441</v>
      </c>
      <c r="E3515" s="1">
        <v>1.7122299999999999</v>
      </c>
      <c r="F3515" s="1">
        <v>7.8651</v>
      </c>
      <c r="G3515" s="1">
        <v>13.325699999999999</v>
      </c>
      <c r="H3515" s="1">
        <v>5.4482200000000001</v>
      </c>
    </row>
    <row r="3516" spans="1:8" x14ac:dyDescent="0.3">
      <c r="A3516">
        <f t="shared" si="143"/>
        <v>46</v>
      </c>
      <c r="B3516">
        <v>2848</v>
      </c>
      <c r="C3516" s="1">
        <v>24.20851437603795</v>
      </c>
      <c r="D3516" s="9">
        <v>18.889777777782751</v>
      </c>
      <c r="E3516" s="1">
        <v>2.5325600000000001</v>
      </c>
      <c r="F3516" s="1">
        <v>8.5160300000000007</v>
      </c>
      <c r="G3516" s="1">
        <v>13.122999999999999</v>
      </c>
      <c r="H3516" s="1">
        <v>5.7317799999999997</v>
      </c>
    </row>
    <row r="3517" spans="1:8" x14ac:dyDescent="0.3">
      <c r="A3517" t="e">
        <f t="shared" si="143"/>
        <v>#REF!</v>
      </c>
      <c r="B3517">
        <v>2898</v>
      </c>
      <c r="C3517" s="1">
        <v>24.310792331184221</v>
      </c>
      <c r="D3517" s="9">
        <v>18.93700000000506</v>
      </c>
      <c r="E3517" s="1">
        <v>3.1166100000000001</v>
      </c>
      <c r="F3517" s="1">
        <v>9.6592300000000009</v>
      </c>
      <c r="G3517" s="1">
        <v>13.4016</v>
      </c>
      <c r="H3517" s="1">
        <v>5.9426199999999998</v>
      </c>
    </row>
    <row r="3518" spans="1:8" x14ac:dyDescent="0.3">
      <c r="A3518">
        <f t="shared" si="143"/>
        <v>37</v>
      </c>
      <c r="B3518">
        <v>2948</v>
      </c>
      <c r="C3518" s="1">
        <v>24.159333545238351</v>
      </c>
      <c r="D3518" s="9">
        <v>18.98422222222737</v>
      </c>
      <c r="E3518" s="1">
        <v>3.2900900000000002</v>
      </c>
      <c r="F3518" s="1">
        <v>11.0387</v>
      </c>
      <c r="G3518" s="1">
        <v>14.2577</v>
      </c>
      <c r="H3518" s="1">
        <v>6.2617500000000001</v>
      </c>
    </row>
    <row r="3519" spans="1:8" x14ac:dyDescent="0.3">
      <c r="A3519" t="e">
        <f t="shared" si="143"/>
        <v>#REF!</v>
      </c>
      <c r="B3519">
        <v>2998</v>
      </c>
      <c r="C3519" s="1">
        <v>24</v>
      </c>
      <c r="D3519" s="9">
        <v>19.031444444449679</v>
      </c>
      <c r="E3519" s="1">
        <v>3.4004699999999999</v>
      </c>
      <c r="F3519" s="1">
        <v>12.3033</v>
      </c>
      <c r="G3519" s="1">
        <v>15.4549</v>
      </c>
      <c r="H3519" s="1">
        <v>6.6082299999999998</v>
      </c>
    </row>
    <row r="3520" spans="1:8" x14ac:dyDescent="0.3">
      <c r="A3520">
        <f t="shared" si="143"/>
        <v>28</v>
      </c>
      <c r="B3520">
        <v>3048</v>
      </c>
      <c r="C3520" s="1">
        <v>23.85712881679796</v>
      </c>
      <c r="D3520" s="9">
        <v>19.078666666671989</v>
      </c>
      <c r="E3520" s="1">
        <v>3.8365399999999998</v>
      </c>
      <c r="F3520" s="1">
        <v>13.108499999999999</v>
      </c>
      <c r="G3520" s="1">
        <v>16.6709</v>
      </c>
      <c r="H3520" s="1">
        <v>6.8949400000000001</v>
      </c>
    </row>
    <row r="3521" spans="1:8" x14ac:dyDescent="0.3">
      <c r="A3521" t="e">
        <f t="shared" si="143"/>
        <v>#REF!</v>
      </c>
      <c r="B3521">
        <v>3098</v>
      </c>
      <c r="C3521" s="1">
        <v>23.555633985377689</v>
      </c>
      <c r="D3521" s="9">
        <v>19.125888888894298</v>
      </c>
      <c r="E3521" s="1">
        <v>4.6232100000000003</v>
      </c>
      <c r="F3521" s="1">
        <v>13.245200000000001</v>
      </c>
      <c r="G3521" s="1">
        <v>17.577999999999999</v>
      </c>
      <c r="H3521" s="1">
        <v>7.2668600000000003</v>
      </c>
    </row>
    <row r="3522" spans="1:8" x14ac:dyDescent="0.3">
      <c r="A3522">
        <f t="shared" si="143"/>
        <v>44</v>
      </c>
      <c r="B3522">
        <v>3148</v>
      </c>
      <c r="C3522" s="1">
        <v>23.160464059357452</v>
      </c>
      <c r="D3522" s="9">
        <v>19.173111111116608</v>
      </c>
      <c r="E3522" s="1">
        <v>5.6590699999999998</v>
      </c>
      <c r="F3522" s="1">
        <v>12.6486</v>
      </c>
      <c r="G3522" s="1">
        <v>17.942900000000002</v>
      </c>
      <c r="H3522" s="1">
        <v>7.8843800000000002</v>
      </c>
    </row>
    <row r="3523" spans="1:8" x14ac:dyDescent="0.3">
      <c r="A3523" t="e">
        <f t="shared" si="143"/>
        <v>#REF!</v>
      </c>
      <c r="B3523">
        <v>3198</v>
      </c>
      <c r="C3523" s="1">
        <v>22.799921046270061</v>
      </c>
      <c r="D3523" s="9">
        <v>19.220333333338917</v>
      </c>
      <c r="E3523" s="1">
        <v>6.7276999999999996</v>
      </c>
      <c r="F3523" s="1">
        <v>11.6175</v>
      </c>
      <c r="G3523" s="1">
        <v>17.851400000000002</v>
      </c>
      <c r="H3523" s="1">
        <v>8.7678100000000008</v>
      </c>
    </row>
    <row r="3524" spans="1:8" x14ac:dyDescent="0.3">
      <c r="A3524">
        <f t="shared" si="143"/>
        <v>35</v>
      </c>
      <c r="B3524">
        <v>3248</v>
      </c>
      <c r="C3524" s="1">
        <v>22.440417483793031</v>
      </c>
      <c r="D3524" s="9">
        <v>19.267555555561227</v>
      </c>
      <c r="E3524" s="1">
        <v>7.65815</v>
      </c>
      <c r="F3524" s="1">
        <v>10.5123</v>
      </c>
      <c r="G3524" s="1">
        <v>17.475000000000001</v>
      </c>
      <c r="H3524" s="1">
        <v>9.8892299999999995</v>
      </c>
    </row>
    <row r="3525" spans="1:8" x14ac:dyDescent="0.3">
      <c r="A3525" t="e">
        <f t="shared" ref="A3525:A3531" si="144">A3475</f>
        <v>#REF!</v>
      </c>
      <c r="B3525">
        <v>3298</v>
      </c>
      <c r="C3525" s="1">
        <v>22.021076341069431</v>
      </c>
      <c r="D3525" s="9">
        <v>19.314777777783537</v>
      </c>
      <c r="E3525" s="1">
        <v>8.6021599999999996</v>
      </c>
      <c r="F3525" s="1">
        <v>9.7803799999999992</v>
      </c>
      <c r="G3525" s="1">
        <v>17.082599999999999</v>
      </c>
      <c r="H3525" s="1">
        <v>11.1807</v>
      </c>
    </row>
    <row r="3526" spans="1:8" x14ac:dyDescent="0.3">
      <c r="A3526">
        <f t="shared" si="144"/>
        <v>26</v>
      </c>
      <c r="B3526">
        <v>3348</v>
      </c>
      <c r="C3526" s="1">
        <v>21.702214259831589</v>
      </c>
      <c r="D3526" s="9">
        <v>19.362000000005846</v>
      </c>
      <c r="E3526" s="1">
        <v>10.02</v>
      </c>
      <c r="F3526" s="1">
        <v>10.489599999999999</v>
      </c>
      <c r="G3526" s="1">
        <v>17.128299999999999</v>
      </c>
      <c r="H3526" s="1">
        <v>12.6038</v>
      </c>
    </row>
    <row r="3527" spans="1:8" x14ac:dyDescent="0.3">
      <c r="A3527" t="e">
        <f t="shared" si="144"/>
        <v>#REF!</v>
      </c>
      <c r="B3527">
        <v>3398</v>
      </c>
      <c r="C3527" s="1">
        <v>21.38107535201684</v>
      </c>
      <c r="D3527" s="9">
        <v>19.409222222228156</v>
      </c>
      <c r="E3527" s="1">
        <v>11.770799999999999</v>
      </c>
      <c r="F3527" s="1">
        <v>11.996700000000001</v>
      </c>
      <c r="G3527" s="1">
        <v>17.3916</v>
      </c>
      <c r="H3527" s="1">
        <v>14.027100000000001</v>
      </c>
    </row>
    <row r="3528" spans="1:8" x14ac:dyDescent="0.3">
      <c r="A3528">
        <f t="shared" si="144"/>
        <v>42</v>
      </c>
      <c r="B3528">
        <v>3448</v>
      </c>
      <c r="C3528" s="1">
        <v>20.943449873966639</v>
      </c>
      <c r="D3528" s="9">
        <v>19.456444444450465</v>
      </c>
      <c r="E3528" s="1">
        <v>13.6435</v>
      </c>
      <c r="F3528" s="1">
        <v>13.7508</v>
      </c>
      <c r="G3528" s="1">
        <v>17.794899999999998</v>
      </c>
      <c r="H3528" s="1">
        <v>15.4262</v>
      </c>
    </row>
    <row r="3529" spans="1:8" x14ac:dyDescent="0.3">
      <c r="A3529" t="e">
        <f t="shared" si="144"/>
        <v>#REF!</v>
      </c>
      <c r="B3529">
        <v>3498</v>
      </c>
      <c r="C3529" s="1">
        <v>20.424934070608241</v>
      </c>
      <c r="D3529" s="9">
        <v>19.503666666672775</v>
      </c>
      <c r="E3529" s="1">
        <v>15.574999999999999</v>
      </c>
      <c r="F3529" s="1">
        <v>15.6214</v>
      </c>
      <c r="G3529" s="1">
        <v>18.309899999999999</v>
      </c>
      <c r="H3529" s="1">
        <v>16.8093</v>
      </c>
    </row>
    <row r="3530" spans="1:8" x14ac:dyDescent="0.3">
      <c r="A3530">
        <f t="shared" si="144"/>
        <v>33</v>
      </c>
      <c r="B3530">
        <v>3548</v>
      </c>
      <c r="C3530" s="1">
        <v>20.052426937151509</v>
      </c>
      <c r="D3530" s="9">
        <v>19.550888888895084</v>
      </c>
      <c r="E3530" s="1">
        <v>17.5383</v>
      </c>
      <c r="F3530" s="1">
        <v>17.5534</v>
      </c>
      <c r="G3530" s="1">
        <v>18.908899999999999</v>
      </c>
      <c r="H3530" s="1">
        <v>18.1815</v>
      </c>
    </row>
    <row r="3531" spans="1:8" x14ac:dyDescent="0.3">
      <c r="A3531" t="e">
        <f t="shared" si="144"/>
        <v>#REF!</v>
      </c>
      <c r="B3531">
        <v>3598</v>
      </c>
      <c r="C3531" s="1">
        <v>19.619151707055469</v>
      </c>
      <c r="D3531" s="9">
        <v>19.598111111117394</v>
      </c>
      <c r="E3531" s="1">
        <v>19.520399999999999</v>
      </c>
      <c r="F3531" s="1">
        <v>19.520800000000001</v>
      </c>
      <c r="G3531" s="1">
        <v>19.572299999999998</v>
      </c>
      <c r="H3531" s="1">
        <v>19.5456</v>
      </c>
    </row>
    <row r="3532" spans="1:8" x14ac:dyDescent="0.3">
      <c r="A3532">
        <v>49</v>
      </c>
      <c r="B3532">
        <v>49</v>
      </c>
      <c r="C3532" s="1">
        <v>16.190000000000001</v>
      </c>
      <c r="D3532" s="9">
        <v>16.246277777777863</v>
      </c>
      <c r="E3532" s="1">
        <v>14.388500000000001</v>
      </c>
      <c r="F3532" s="1">
        <v>14.2683</v>
      </c>
      <c r="G3532" s="1">
        <v>15.615600000000001</v>
      </c>
      <c r="H3532" s="1">
        <v>14.3713</v>
      </c>
    </row>
    <row r="3533" spans="1:8" x14ac:dyDescent="0.3">
      <c r="A3533" t="e">
        <f t="shared" ref="A3533:A3564" si="145">A3483</f>
        <v>#REF!</v>
      </c>
      <c r="B3533">
        <v>99</v>
      </c>
      <c r="C3533" s="1">
        <v>16.23</v>
      </c>
      <c r="D3533" s="9">
        <v>16.293500000000172</v>
      </c>
      <c r="E3533" s="1">
        <v>12.565</v>
      </c>
      <c r="F3533" s="1">
        <v>12.3299</v>
      </c>
      <c r="G3533" s="1">
        <v>15.077199999999999</v>
      </c>
      <c r="H3533" s="1">
        <v>12.496</v>
      </c>
    </row>
    <row r="3534" spans="1:8" x14ac:dyDescent="0.3">
      <c r="A3534">
        <f t="shared" si="145"/>
        <v>40</v>
      </c>
      <c r="B3534">
        <v>149</v>
      </c>
      <c r="C3534" s="1">
        <v>16.434825875065219</v>
      </c>
      <c r="D3534" s="9">
        <v>16.340722222222482</v>
      </c>
      <c r="E3534" s="1">
        <v>10.778</v>
      </c>
      <c r="F3534" s="1">
        <v>10.447699999999999</v>
      </c>
      <c r="G3534" s="1">
        <v>14.611800000000001</v>
      </c>
      <c r="H3534" s="1">
        <v>10.6106</v>
      </c>
    </row>
    <row r="3535" spans="1:8" x14ac:dyDescent="0.3">
      <c r="A3535" t="e">
        <f t="shared" si="145"/>
        <v>#REF!</v>
      </c>
      <c r="B3535">
        <v>199</v>
      </c>
      <c r="C3535" s="1">
        <v>16.765051279710281</v>
      </c>
      <c r="D3535" s="9">
        <v>16.387944444444791</v>
      </c>
      <c r="E3535" s="1">
        <v>9.0481099999999994</v>
      </c>
      <c r="F3535" s="1">
        <v>8.6703100000000006</v>
      </c>
      <c r="G3535" s="1">
        <v>14.237</v>
      </c>
      <c r="H3535" s="1">
        <v>8.7159600000000008</v>
      </c>
    </row>
    <row r="3536" spans="1:8" x14ac:dyDescent="0.3">
      <c r="A3536">
        <f t="shared" si="145"/>
        <v>31</v>
      </c>
      <c r="B3536">
        <v>249</v>
      </c>
      <c r="C3536" s="1">
        <v>16.87</v>
      </c>
      <c r="D3536" s="9">
        <v>16.435166666667101</v>
      </c>
      <c r="E3536" s="1">
        <v>7.4146200000000002</v>
      </c>
      <c r="F3536" s="1">
        <v>7.1112099999999998</v>
      </c>
      <c r="G3536" s="1">
        <v>13.9597</v>
      </c>
      <c r="H3536" s="1">
        <v>6.82179</v>
      </c>
    </row>
    <row r="3537" spans="1:8" x14ac:dyDescent="0.3">
      <c r="A3537" t="e">
        <f t="shared" si="145"/>
        <v>#REF!</v>
      </c>
      <c r="B3537">
        <v>299</v>
      </c>
      <c r="C3537" s="1">
        <v>17.08064866085266</v>
      </c>
      <c r="D3537" s="9">
        <v>16.48238888888941</v>
      </c>
      <c r="E3537" s="1">
        <v>6.0322100000000001</v>
      </c>
      <c r="F3537" s="1">
        <v>6.2089699999999999</v>
      </c>
      <c r="G3537" s="1">
        <v>13.806900000000001</v>
      </c>
      <c r="H3537" s="1">
        <v>5.0788799999999998</v>
      </c>
    </row>
    <row r="3538" spans="1:8" x14ac:dyDescent="0.3">
      <c r="A3538">
        <f t="shared" si="145"/>
        <v>47</v>
      </c>
      <c r="B3538">
        <v>349</v>
      </c>
      <c r="C3538" s="1">
        <v>17.298913068876619</v>
      </c>
      <c r="D3538" s="9">
        <v>16.52961111111172</v>
      </c>
      <c r="E3538" s="1">
        <v>5.1443399999999997</v>
      </c>
      <c r="F3538" s="1">
        <v>6.38889</v>
      </c>
      <c r="G3538" s="1">
        <v>13.9779</v>
      </c>
      <c r="H3538" s="1">
        <v>3.85656</v>
      </c>
    </row>
    <row r="3539" spans="1:8" x14ac:dyDescent="0.3">
      <c r="A3539" t="e">
        <f t="shared" si="145"/>
        <v>#REF!</v>
      </c>
      <c r="B3539">
        <v>399</v>
      </c>
      <c r="C3539" s="1">
        <v>17.50533805443149</v>
      </c>
      <c r="D3539" s="9">
        <v>16.576833333334029</v>
      </c>
      <c r="E3539" s="1">
        <v>4.5405899999999999</v>
      </c>
      <c r="F3539" s="1">
        <v>6.6917</v>
      </c>
      <c r="G3539" s="1">
        <v>14.071300000000001</v>
      </c>
      <c r="H3539" s="1">
        <v>3.0045299999999999</v>
      </c>
    </row>
    <row r="3540" spans="1:8" x14ac:dyDescent="0.3">
      <c r="A3540">
        <f t="shared" si="145"/>
        <v>38</v>
      </c>
      <c r="B3540">
        <v>449</v>
      </c>
      <c r="C3540" s="1">
        <v>17.815201783200379</v>
      </c>
      <c r="D3540" s="9">
        <v>16.624055555556339</v>
      </c>
      <c r="E3540" s="1">
        <v>4.1462000000000003</v>
      </c>
      <c r="F3540" s="1">
        <v>6.6963200000000001</v>
      </c>
      <c r="G3540" s="1">
        <v>13.881399999999999</v>
      </c>
      <c r="H3540" s="1">
        <v>2.4849299999999999</v>
      </c>
    </row>
    <row r="3541" spans="1:8" x14ac:dyDescent="0.3">
      <c r="A3541" t="e">
        <f t="shared" si="145"/>
        <v>#REF!</v>
      </c>
      <c r="B3541">
        <v>499</v>
      </c>
      <c r="C3541" s="1">
        <v>17.971827479308509</v>
      </c>
      <c r="D3541" s="9">
        <v>16.671277777778648</v>
      </c>
      <c r="E3541" s="1">
        <v>3.6890900000000002</v>
      </c>
      <c r="F3541" s="1">
        <v>6.3017700000000003</v>
      </c>
      <c r="G3541" s="1">
        <v>13.5403</v>
      </c>
      <c r="H3541" s="1">
        <v>2.0236299999999998</v>
      </c>
    </row>
    <row r="3542" spans="1:8" x14ac:dyDescent="0.3">
      <c r="A3542">
        <f t="shared" si="145"/>
        <v>29</v>
      </c>
      <c r="B3542">
        <v>549</v>
      </c>
      <c r="C3542" s="1">
        <v>18.16335892760295</v>
      </c>
      <c r="D3542" s="9">
        <v>16.718500000000958</v>
      </c>
      <c r="E3542" s="1">
        <v>2.9220999999999999</v>
      </c>
      <c r="F3542" s="1">
        <v>5.5021000000000004</v>
      </c>
      <c r="G3542" s="1">
        <v>13.2103</v>
      </c>
      <c r="H3542" s="1">
        <v>1.35917</v>
      </c>
    </row>
    <row r="3543" spans="1:8" x14ac:dyDescent="0.3">
      <c r="A3543" t="e">
        <f t="shared" si="145"/>
        <v>#REF!</v>
      </c>
      <c r="B3543">
        <v>599</v>
      </c>
      <c r="C3543" s="1">
        <v>18.377154093958598</v>
      </c>
      <c r="D3543" s="9">
        <v>16.765722222223268</v>
      </c>
      <c r="E3543" s="1">
        <v>2.00021</v>
      </c>
      <c r="F3543" s="1">
        <v>4.4852600000000002</v>
      </c>
      <c r="G3543" s="1">
        <v>12.8485</v>
      </c>
      <c r="H3543" s="1">
        <v>0.62746100000000005</v>
      </c>
    </row>
    <row r="3544" spans="1:8" x14ac:dyDescent="0.3">
      <c r="A3544">
        <f t="shared" si="145"/>
        <v>45</v>
      </c>
      <c r="B3544">
        <v>649</v>
      </c>
      <c r="C3544" s="1">
        <v>18.510000000000002</v>
      </c>
      <c r="D3544" s="9">
        <v>16.812944444445577</v>
      </c>
      <c r="E3544" s="1">
        <v>1.1852400000000001</v>
      </c>
      <c r="F3544" s="1">
        <v>3.4929100000000002</v>
      </c>
      <c r="G3544" s="1">
        <v>12.417199999999999</v>
      </c>
      <c r="H3544" s="1">
        <v>8.4222400000000003E-2</v>
      </c>
    </row>
    <row r="3545" spans="1:8" x14ac:dyDescent="0.3">
      <c r="A3545" t="e">
        <f t="shared" si="145"/>
        <v>#REF!</v>
      </c>
      <c r="B3545">
        <v>699</v>
      </c>
      <c r="C3545" s="1">
        <v>18.691013123846879</v>
      </c>
      <c r="D3545" s="9">
        <v>16.860166666667887</v>
      </c>
      <c r="E3545" s="1">
        <v>0.703955</v>
      </c>
      <c r="F3545" s="1">
        <v>2.7379899999999999</v>
      </c>
      <c r="G3545" s="1">
        <v>12.1349</v>
      </c>
      <c r="H3545" s="1">
        <v>1.9627800000000001E-2</v>
      </c>
    </row>
    <row r="3546" spans="1:8" x14ac:dyDescent="0.3">
      <c r="A3546">
        <f t="shared" si="145"/>
        <v>36</v>
      </c>
      <c r="B3546">
        <v>749</v>
      </c>
      <c r="C3546" s="1">
        <v>18.82</v>
      </c>
      <c r="D3546" s="9">
        <v>16.907388888890196</v>
      </c>
      <c r="E3546" s="1">
        <v>0.69057800000000003</v>
      </c>
      <c r="F3546" s="1">
        <v>2.3427099999999998</v>
      </c>
      <c r="G3546" s="1">
        <v>12.2155</v>
      </c>
      <c r="H3546" s="1">
        <v>0.62300199999999994</v>
      </c>
    </row>
    <row r="3547" spans="1:8" x14ac:dyDescent="0.3">
      <c r="A3547" t="e">
        <f t="shared" si="145"/>
        <v>#REF!</v>
      </c>
      <c r="B3547">
        <v>799</v>
      </c>
      <c r="C3547" s="1">
        <v>19.17453043634406</v>
      </c>
      <c r="D3547" s="9">
        <v>16.954611111112506</v>
      </c>
      <c r="E3547" s="1">
        <v>0.94128599999999996</v>
      </c>
      <c r="F3547" s="1">
        <v>2.0928599999999999</v>
      </c>
      <c r="G3547" s="1">
        <v>12.583600000000001</v>
      </c>
      <c r="H3547" s="1">
        <v>1.6376900000000001</v>
      </c>
    </row>
    <row r="3548" spans="1:8" x14ac:dyDescent="0.3">
      <c r="A3548">
        <f t="shared" si="145"/>
        <v>27</v>
      </c>
      <c r="B3548">
        <v>849</v>
      </c>
      <c r="C3548" s="1">
        <v>19.39107226286534</v>
      </c>
      <c r="D3548" s="9">
        <v>17.001833333334815</v>
      </c>
      <c r="E3548" s="1">
        <v>1.22539</v>
      </c>
      <c r="F3548" s="1">
        <v>1.78759</v>
      </c>
      <c r="G3548" s="1">
        <v>13.058999999999999</v>
      </c>
      <c r="H3548" s="1">
        <v>2.6909000000000001</v>
      </c>
    </row>
    <row r="3549" spans="1:8" x14ac:dyDescent="0.3">
      <c r="A3549" t="e">
        <f t="shared" si="145"/>
        <v>#REF!</v>
      </c>
      <c r="B3549">
        <v>899</v>
      </c>
      <c r="C3549" s="1">
        <v>19.703198524491441</v>
      </c>
      <c r="D3549" s="9">
        <v>17.049055555557125</v>
      </c>
      <c r="E3549" s="1">
        <v>1.55501</v>
      </c>
      <c r="F3549" s="1">
        <v>1.6309</v>
      </c>
      <c r="G3549" s="1">
        <v>13.3384</v>
      </c>
      <c r="H3549" s="1">
        <v>3.39968</v>
      </c>
    </row>
    <row r="3550" spans="1:8" x14ac:dyDescent="0.3">
      <c r="A3550">
        <f t="shared" si="145"/>
        <v>43</v>
      </c>
      <c r="B3550">
        <v>949</v>
      </c>
      <c r="C3550" s="1">
        <v>19.980646826561959</v>
      </c>
      <c r="D3550" s="9">
        <v>17.096277777779434</v>
      </c>
      <c r="E3550" s="1">
        <v>1.9568700000000001</v>
      </c>
      <c r="F3550" s="1">
        <v>1.85307</v>
      </c>
      <c r="G3550" s="1">
        <v>13.1988</v>
      </c>
      <c r="H3550" s="1">
        <v>3.4917500000000001</v>
      </c>
    </row>
    <row r="3551" spans="1:8" x14ac:dyDescent="0.3">
      <c r="A3551" t="e">
        <f t="shared" si="145"/>
        <v>#REF!</v>
      </c>
      <c r="B3551">
        <v>999</v>
      </c>
      <c r="C3551" s="1">
        <v>20.360238774659571</v>
      </c>
      <c r="D3551" s="9">
        <v>17.143500000001744</v>
      </c>
      <c r="E3551" s="1">
        <v>2.26484</v>
      </c>
      <c r="F3551" s="1">
        <v>2.3713299999999999</v>
      </c>
      <c r="G3551" s="1">
        <v>12.8752</v>
      </c>
      <c r="H3551" s="1">
        <v>3.1541899999999998</v>
      </c>
    </row>
    <row r="3552" spans="1:8" x14ac:dyDescent="0.3">
      <c r="A3552">
        <f t="shared" si="145"/>
        <v>34</v>
      </c>
      <c r="B3552">
        <v>1049</v>
      </c>
      <c r="C3552" s="1">
        <v>20.80409073494371</v>
      </c>
      <c r="D3552" s="9">
        <v>17.190722222224053</v>
      </c>
      <c r="E3552" s="1">
        <v>2.33412</v>
      </c>
      <c r="F3552" s="1">
        <v>2.9929899999999998</v>
      </c>
      <c r="G3552" s="1">
        <v>12.67</v>
      </c>
      <c r="H3552" s="1">
        <v>2.7093099999999999</v>
      </c>
    </row>
    <row r="3553" spans="1:8" x14ac:dyDescent="0.3">
      <c r="A3553">
        <f t="shared" si="145"/>
        <v>0</v>
      </c>
      <c r="B3553">
        <v>1099</v>
      </c>
      <c r="C3553" s="1">
        <v>21.17612247041685</v>
      </c>
      <c r="D3553" s="9">
        <v>17.237944444446363</v>
      </c>
      <c r="E3553" s="1">
        <v>2.3061799999999999</v>
      </c>
      <c r="F3553" s="1">
        <v>3.4027400000000001</v>
      </c>
      <c r="G3553" s="1">
        <v>12.6839</v>
      </c>
      <c r="H3553" s="1">
        <v>2.5556199999999998</v>
      </c>
    </row>
    <row r="3554" spans="1:8" x14ac:dyDescent="0.3">
      <c r="A3554">
        <f t="shared" si="145"/>
        <v>25</v>
      </c>
      <c r="B3554">
        <v>1149</v>
      </c>
      <c r="C3554" s="1">
        <v>21.511114146841521</v>
      </c>
      <c r="D3554" s="9">
        <v>17.285166666668673</v>
      </c>
      <c r="E3554" s="1">
        <v>2.3252199999999998</v>
      </c>
      <c r="F3554" s="1">
        <v>3.3755500000000001</v>
      </c>
      <c r="G3554" s="1">
        <v>12.9101</v>
      </c>
      <c r="H3554" s="1">
        <v>2.9860799999999998</v>
      </c>
    </row>
    <row r="3555" spans="1:8" x14ac:dyDescent="0.3">
      <c r="A3555" t="e">
        <f t="shared" si="145"/>
        <v>#REF!</v>
      </c>
      <c r="B3555">
        <v>1199</v>
      </c>
      <c r="C3555" s="1">
        <v>21.92944016801151</v>
      </c>
      <c r="D3555" s="9">
        <v>17.332388888890982</v>
      </c>
      <c r="E3555" s="1">
        <v>2.2523900000000001</v>
      </c>
      <c r="F3555" s="1">
        <v>3.1761599999999999</v>
      </c>
      <c r="G3555" s="1">
        <v>13.114800000000001</v>
      </c>
      <c r="H3555" s="1">
        <v>3.7914500000000002</v>
      </c>
    </row>
    <row r="3556" spans="1:8" x14ac:dyDescent="0.3">
      <c r="A3556">
        <f t="shared" si="145"/>
        <v>41</v>
      </c>
      <c r="B3556">
        <v>1249</v>
      </c>
      <c r="C3556" s="1">
        <v>22.34919238941643</v>
      </c>
      <c r="D3556" s="9">
        <v>17.379611111113292</v>
      </c>
      <c r="E3556" s="1">
        <v>1.9671700000000001</v>
      </c>
      <c r="F3556" s="1">
        <v>3.1277900000000001</v>
      </c>
      <c r="G3556" s="1">
        <v>13.098699999999999</v>
      </c>
      <c r="H3556" s="1">
        <v>4.6555099999999996</v>
      </c>
    </row>
    <row r="3557" spans="1:8" x14ac:dyDescent="0.3">
      <c r="A3557" t="e">
        <f t="shared" si="145"/>
        <v>#REF!</v>
      </c>
      <c r="B3557">
        <v>1299</v>
      </c>
      <c r="C3557" s="1">
        <v>22.795807721685119</v>
      </c>
      <c r="D3557" s="9">
        <v>17.426833333335601</v>
      </c>
      <c r="E3557" s="1">
        <v>1.7113700000000001</v>
      </c>
      <c r="F3557" s="1">
        <v>3.2919800000000001</v>
      </c>
      <c r="G3557" s="1">
        <v>13.033799999999999</v>
      </c>
      <c r="H3557" s="1">
        <v>5.3391799999999998</v>
      </c>
    </row>
    <row r="3558" spans="1:8" x14ac:dyDescent="0.3">
      <c r="A3558">
        <f t="shared" si="145"/>
        <v>32</v>
      </c>
      <c r="B3558">
        <v>1349</v>
      </c>
      <c r="C3558" s="1">
        <v>23.074443168292021</v>
      </c>
      <c r="D3558" s="9">
        <v>17.474055555557911</v>
      </c>
      <c r="E3558" s="1">
        <v>1.7506699999999999</v>
      </c>
      <c r="F3558" s="1">
        <v>3.63822</v>
      </c>
      <c r="G3558" s="1">
        <v>13.105700000000001</v>
      </c>
      <c r="H3558" s="1">
        <v>5.6983800000000002</v>
      </c>
    </row>
    <row r="3559" spans="1:8" x14ac:dyDescent="0.3">
      <c r="A3559" t="e">
        <f t="shared" si="145"/>
        <v>#REF!</v>
      </c>
      <c r="B3559">
        <v>1399</v>
      </c>
      <c r="C3559" s="1">
        <v>23.226268687027769</v>
      </c>
      <c r="D3559" s="9">
        <v>17.52127777778022</v>
      </c>
      <c r="E3559" s="1">
        <v>2.0796000000000001</v>
      </c>
      <c r="F3559" s="1">
        <v>4.0303699999999996</v>
      </c>
      <c r="G3559" s="1">
        <v>13.1782</v>
      </c>
      <c r="H3559" s="1">
        <v>5.8909500000000001</v>
      </c>
    </row>
    <row r="3560" spans="1:8" x14ac:dyDescent="0.3">
      <c r="A3560">
        <f t="shared" si="145"/>
        <v>48</v>
      </c>
      <c r="B3560">
        <v>1449</v>
      </c>
      <c r="C3560" s="1">
        <v>23.262569752891459</v>
      </c>
      <c r="D3560" s="9">
        <v>17.56850000000253</v>
      </c>
      <c r="E3560" s="1">
        <v>2.5870299999999999</v>
      </c>
      <c r="F3560" s="1">
        <v>4.3387500000000001</v>
      </c>
      <c r="G3560" s="1">
        <v>13.1092</v>
      </c>
      <c r="H3560" s="1">
        <v>6.0783800000000001</v>
      </c>
    </row>
    <row r="3561" spans="1:8" x14ac:dyDescent="0.3">
      <c r="A3561" t="e">
        <f t="shared" si="145"/>
        <v>#REF!</v>
      </c>
      <c r="B3561">
        <v>1499</v>
      </c>
      <c r="C3561" s="1">
        <v>23.122723359013492</v>
      </c>
      <c r="D3561" s="9">
        <v>17.615722222224839</v>
      </c>
      <c r="E3561" s="1">
        <v>3.0114999999999998</v>
      </c>
      <c r="F3561" s="1">
        <v>4.5649199999999999</v>
      </c>
      <c r="G3561" s="1">
        <v>13.055400000000001</v>
      </c>
      <c r="H3561" s="1">
        <v>6.1373800000000003</v>
      </c>
    </row>
    <row r="3562" spans="1:8" x14ac:dyDescent="0.3">
      <c r="A3562">
        <f t="shared" si="145"/>
        <v>39</v>
      </c>
      <c r="B3562">
        <v>1549</v>
      </c>
      <c r="C3562" s="1">
        <v>22.86916788501026</v>
      </c>
      <c r="D3562" s="9">
        <v>17.662944444447149</v>
      </c>
      <c r="E3562" s="1">
        <v>3.17598</v>
      </c>
      <c r="F3562" s="1">
        <v>4.7836999999999996</v>
      </c>
      <c r="G3562" s="1">
        <v>13.173299999999999</v>
      </c>
      <c r="H3562" s="1">
        <v>5.9098100000000002</v>
      </c>
    </row>
    <row r="3563" spans="1:8" x14ac:dyDescent="0.3">
      <c r="A3563" t="e">
        <f t="shared" si="145"/>
        <v>#REF!</v>
      </c>
      <c r="B3563">
        <v>1599</v>
      </c>
      <c r="C3563" s="1">
        <v>22.5093199311343</v>
      </c>
      <c r="D3563" s="9">
        <v>17.710166666669458</v>
      </c>
      <c r="E3563" s="1">
        <v>3.3907600000000002</v>
      </c>
      <c r="F3563" s="1">
        <v>5.2312399999999997</v>
      </c>
      <c r="G3563" s="1">
        <v>13.3203</v>
      </c>
      <c r="H3563" s="1">
        <v>5.3797199999999998</v>
      </c>
    </row>
    <row r="3564" spans="1:8" x14ac:dyDescent="0.3">
      <c r="A3564">
        <f t="shared" si="145"/>
        <v>30</v>
      </c>
      <c r="B3564">
        <v>1649</v>
      </c>
      <c r="C3564" s="1">
        <v>22.084974809235948</v>
      </c>
      <c r="D3564" s="9">
        <v>17.757388888891768</v>
      </c>
      <c r="E3564" s="1">
        <v>3.97431</v>
      </c>
      <c r="F3564" s="1">
        <v>6.0885400000000001</v>
      </c>
      <c r="G3564" s="1">
        <v>13.3474</v>
      </c>
      <c r="H3564" s="1">
        <v>4.5797299999999996</v>
      </c>
    </row>
    <row r="3565" spans="1:8" x14ac:dyDescent="0.3">
      <c r="A3565" t="e">
        <f t="shared" ref="A3565:A3596" si="146">A3515</f>
        <v>#REF!</v>
      </c>
      <c r="B3565">
        <v>1699</v>
      </c>
      <c r="C3565" s="1">
        <v>21.697011407572329</v>
      </c>
      <c r="D3565" s="9">
        <v>17.804611111114077</v>
      </c>
      <c r="E3565" s="1">
        <v>4.79413</v>
      </c>
      <c r="F3565" s="1">
        <v>7.1578900000000001</v>
      </c>
      <c r="G3565" s="1">
        <v>13.373799999999999</v>
      </c>
      <c r="H3565" s="1">
        <v>3.5951</v>
      </c>
    </row>
    <row r="3566" spans="1:8" x14ac:dyDescent="0.3">
      <c r="A3566">
        <f t="shared" si="146"/>
        <v>46</v>
      </c>
      <c r="B3566">
        <v>1749</v>
      </c>
      <c r="C3566" s="1">
        <v>21.268882591442711</v>
      </c>
      <c r="D3566" s="9">
        <v>17.851833333336387</v>
      </c>
      <c r="E3566" s="1">
        <v>5.5746099999999998</v>
      </c>
      <c r="F3566" s="1">
        <v>8.15428</v>
      </c>
      <c r="G3566" s="1">
        <v>13.516500000000001</v>
      </c>
      <c r="H3566" s="1">
        <v>2.5144799999999998</v>
      </c>
    </row>
    <row r="3567" spans="1:8" x14ac:dyDescent="0.3">
      <c r="A3567" t="e">
        <f t="shared" si="146"/>
        <v>#REF!</v>
      </c>
      <c r="B3567">
        <v>1799</v>
      </c>
      <c r="C3567" s="1">
        <v>20.921905784062201</v>
      </c>
      <c r="D3567" s="9">
        <v>17.899055555558697</v>
      </c>
      <c r="E3567" s="1">
        <v>5.9171199999999997</v>
      </c>
      <c r="F3567" s="1">
        <v>8.8193699999999993</v>
      </c>
      <c r="G3567" s="1">
        <v>13.6183</v>
      </c>
      <c r="H3567" s="1">
        <v>1.3885400000000001</v>
      </c>
    </row>
    <row r="3568" spans="1:8" x14ac:dyDescent="0.3">
      <c r="A3568">
        <f t="shared" si="146"/>
        <v>37</v>
      </c>
      <c r="B3568">
        <v>1849</v>
      </c>
      <c r="C3568" s="1">
        <v>20.551815204565699</v>
      </c>
      <c r="D3568" s="9">
        <v>17.946277777781006</v>
      </c>
      <c r="E3568" s="1">
        <v>5.5326700000000004</v>
      </c>
      <c r="F3568" s="1">
        <v>9.0083699999999993</v>
      </c>
      <c r="G3568" s="1">
        <v>13.534800000000001</v>
      </c>
      <c r="H3568" s="1">
        <v>0.24132799999999999</v>
      </c>
    </row>
    <row r="3569" spans="1:8" x14ac:dyDescent="0.3">
      <c r="A3569" t="e">
        <f t="shared" si="146"/>
        <v>#REF!</v>
      </c>
      <c r="B3569">
        <v>1899</v>
      </c>
      <c r="C3569" s="1">
        <v>20.16459938344639</v>
      </c>
      <c r="D3569" s="9">
        <v>17.993500000003316</v>
      </c>
      <c r="E3569" s="1">
        <v>4.6844299999999999</v>
      </c>
      <c r="F3569" s="1">
        <v>8.9972100000000008</v>
      </c>
      <c r="G3569" s="1">
        <v>13.436199999999999</v>
      </c>
      <c r="H3569" s="1">
        <v>-0.97094999999999998</v>
      </c>
    </row>
    <row r="3570" spans="1:8" x14ac:dyDescent="0.3">
      <c r="A3570">
        <f t="shared" si="146"/>
        <v>28</v>
      </c>
      <c r="B3570">
        <v>1949</v>
      </c>
      <c r="C3570" s="1">
        <v>19.803245371381919</v>
      </c>
      <c r="D3570" s="9">
        <v>18.040722222225625</v>
      </c>
      <c r="E3570" s="1">
        <v>3.7570700000000001</v>
      </c>
      <c r="F3570" s="1">
        <v>9.0644100000000005</v>
      </c>
      <c r="G3570" s="1">
        <v>13.4986</v>
      </c>
      <c r="H3570" s="1">
        <v>-2.2747700000000002</v>
      </c>
    </row>
    <row r="3571" spans="1:8" x14ac:dyDescent="0.3">
      <c r="A3571" t="e">
        <f t="shared" si="146"/>
        <v>#REF!</v>
      </c>
      <c r="B3571">
        <v>1999</v>
      </c>
      <c r="C3571" s="1">
        <v>19.522658393153399</v>
      </c>
      <c r="D3571" s="9">
        <v>18.087944444447935</v>
      </c>
      <c r="E3571" s="1">
        <v>3.0787</v>
      </c>
      <c r="F3571" s="1">
        <v>9.0933799999999998</v>
      </c>
      <c r="G3571" s="1">
        <v>13.6166</v>
      </c>
      <c r="H3571" s="1">
        <v>-3.5642999999999998</v>
      </c>
    </row>
    <row r="3572" spans="1:8" x14ac:dyDescent="0.3">
      <c r="A3572">
        <f t="shared" si="146"/>
        <v>44</v>
      </c>
      <c r="B3572">
        <v>2049</v>
      </c>
      <c r="C3572" s="1">
        <v>19.33565239793576</v>
      </c>
      <c r="D3572" s="9">
        <v>18.135166666670244</v>
      </c>
      <c r="E3572" s="1">
        <v>2.8481700000000001</v>
      </c>
      <c r="F3572" s="1">
        <v>8.9345700000000008</v>
      </c>
      <c r="G3572" s="1">
        <v>13.670400000000001</v>
      </c>
      <c r="H3572" s="1">
        <v>-4.7125000000000004</v>
      </c>
    </row>
    <row r="3573" spans="1:8" x14ac:dyDescent="0.3">
      <c r="A3573" t="e">
        <f t="shared" si="146"/>
        <v>#REF!</v>
      </c>
      <c r="B3573">
        <v>2099</v>
      </c>
      <c r="C3573" s="1">
        <v>19.21</v>
      </c>
      <c r="D3573" s="9">
        <v>18.182388888892554</v>
      </c>
      <c r="E3573" s="1">
        <v>2.8142100000000001</v>
      </c>
      <c r="F3573" s="1">
        <v>8.6875900000000001</v>
      </c>
      <c r="G3573" s="1">
        <v>13.7546</v>
      </c>
      <c r="H3573" s="1">
        <v>-5.6351100000000001</v>
      </c>
    </row>
    <row r="3574" spans="1:8" x14ac:dyDescent="0.3">
      <c r="A3574">
        <f t="shared" si="146"/>
        <v>35</v>
      </c>
      <c r="B3574">
        <v>2149</v>
      </c>
      <c r="C3574" s="1">
        <v>19.2</v>
      </c>
      <c r="D3574" s="9">
        <v>18.229611111114863</v>
      </c>
      <c r="E3574" s="1">
        <v>2.7122999999999999</v>
      </c>
      <c r="F3574" s="1">
        <v>8.4999400000000005</v>
      </c>
      <c r="G3574" s="1">
        <v>13.9504</v>
      </c>
      <c r="H3574" s="1">
        <v>-6.2397200000000002</v>
      </c>
    </row>
    <row r="3575" spans="1:8" x14ac:dyDescent="0.3">
      <c r="A3575" t="e">
        <f t="shared" si="146"/>
        <v>#REF!</v>
      </c>
      <c r="B3575">
        <v>2199</v>
      </c>
      <c r="C3575" s="1">
        <v>19.16</v>
      </c>
      <c r="D3575" s="9">
        <v>18.276833333337173</v>
      </c>
      <c r="E3575" s="1">
        <v>2.65326</v>
      </c>
      <c r="F3575" s="1">
        <v>8.4687800000000006</v>
      </c>
      <c r="G3575" s="1">
        <v>14.0855</v>
      </c>
      <c r="H3575" s="1">
        <v>-6.3622699999999996</v>
      </c>
    </row>
    <row r="3576" spans="1:8" x14ac:dyDescent="0.3">
      <c r="A3576">
        <f t="shared" si="146"/>
        <v>26</v>
      </c>
      <c r="B3576">
        <v>2249</v>
      </c>
      <c r="C3576" s="1">
        <v>19.32393675751776</v>
      </c>
      <c r="D3576" s="9">
        <v>18.324055555559482</v>
      </c>
      <c r="E3576" s="1">
        <v>2.7655599999999998</v>
      </c>
      <c r="F3576" s="1">
        <v>8.6150800000000007</v>
      </c>
      <c r="G3576" s="1">
        <v>14.0067</v>
      </c>
      <c r="H3576" s="1">
        <v>-5.9004799999999999</v>
      </c>
    </row>
    <row r="3577" spans="1:8" x14ac:dyDescent="0.3">
      <c r="A3577" t="e">
        <f t="shared" si="146"/>
        <v>#REF!</v>
      </c>
      <c r="B3577">
        <v>2299</v>
      </c>
      <c r="C3577" s="1">
        <v>19.564787510346211</v>
      </c>
      <c r="D3577" s="9">
        <v>18.371277777781792</v>
      </c>
      <c r="E3577" s="1">
        <v>2.8930600000000002</v>
      </c>
      <c r="F3577" s="1">
        <v>8.7117500000000003</v>
      </c>
      <c r="G3577" s="1">
        <v>13.8727</v>
      </c>
      <c r="H3577" s="1">
        <v>-5.05687</v>
      </c>
    </row>
    <row r="3578" spans="1:8" x14ac:dyDescent="0.3">
      <c r="A3578">
        <f t="shared" si="146"/>
        <v>42</v>
      </c>
      <c r="B3578">
        <v>2349</v>
      </c>
      <c r="C3578" s="1">
        <v>19.9599087892854</v>
      </c>
      <c r="D3578" s="9">
        <v>18.418500000004101</v>
      </c>
      <c r="E3578" s="1">
        <v>2.8788399999999998</v>
      </c>
      <c r="F3578" s="1">
        <v>8.5504899999999999</v>
      </c>
      <c r="G3578" s="1">
        <v>13.8462</v>
      </c>
      <c r="H3578" s="1">
        <v>-4.06508</v>
      </c>
    </row>
    <row r="3579" spans="1:8" x14ac:dyDescent="0.3">
      <c r="A3579" t="e">
        <f t="shared" si="146"/>
        <v>#REF!</v>
      </c>
      <c r="B3579">
        <v>2399</v>
      </c>
      <c r="C3579" s="1">
        <v>20.408406456969779</v>
      </c>
      <c r="D3579" s="9">
        <v>18.465722222226411</v>
      </c>
      <c r="E3579" s="1">
        <v>2.82925</v>
      </c>
      <c r="F3579" s="1">
        <v>8.2290299999999998</v>
      </c>
      <c r="G3579" s="1">
        <v>13.813700000000001</v>
      </c>
      <c r="H3579" s="1">
        <v>-2.9969700000000001</v>
      </c>
    </row>
    <row r="3580" spans="1:8" x14ac:dyDescent="0.3">
      <c r="A3580">
        <f t="shared" si="146"/>
        <v>33</v>
      </c>
      <c r="B3580">
        <v>2449</v>
      </c>
      <c r="C3580" s="1">
        <v>21.04290996815374</v>
      </c>
      <c r="D3580" s="9">
        <v>18.512944444448721</v>
      </c>
      <c r="E3580" s="1">
        <v>2.8342399999999999</v>
      </c>
      <c r="F3580" s="1">
        <v>7.9249499999999999</v>
      </c>
      <c r="G3580" s="1">
        <v>13.6745</v>
      </c>
      <c r="H3580" s="1">
        <v>-1.87663</v>
      </c>
    </row>
    <row r="3581" spans="1:8" x14ac:dyDescent="0.3">
      <c r="A3581" t="e">
        <f t="shared" si="146"/>
        <v>#REF!</v>
      </c>
      <c r="B3581">
        <v>2499</v>
      </c>
      <c r="C3581" s="1">
        <v>21.552638047455591</v>
      </c>
      <c r="D3581" s="9">
        <v>18.56016666667103</v>
      </c>
      <c r="E3581" s="1">
        <v>2.6764100000000002</v>
      </c>
      <c r="F3581" s="1">
        <v>7.8383200000000004</v>
      </c>
      <c r="G3581" s="1">
        <v>13.6328</v>
      </c>
      <c r="H3581" s="1">
        <v>-0.69394100000000003</v>
      </c>
    </row>
    <row r="3582" spans="1:8" x14ac:dyDescent="0.3">
      <c r="A3582">
        <f t="shared" si="146"/>
        <v>49</v>
      </c>
      <c r="B3582">
        <v>2549</v>
      </c>
      <c r="C3582" s="1">
        <v>22.03922200185113</v>
      </c>
      <c r="D3582" s="9">
        <v>18.60738888889334</v>
      </c>
      <c r="E3582" s="1">
        <v>2.1600100000000002</v>
      </c>
      <c r="F3582" s="1">
        <v>8.0720700000000001</v>
      </c>
      <c r="G3582" s="1">
        <v>13.8688</v>
      </c>
      <c r="H3582" s="1">
        <v>0.55462900000000004</v>
      </c>
    </row>
    <row r="3583" spans="1:8" x14ac:dyDescent="0.3">
      <c r="A3583" t="e">
        <f t="shared" si="146"/>
        <v>#REF!</v>
      </c>
      <c r="B3583">
        <v>2599</v>
      </c>
      <c r="C3583" s="1">
        <v>22.405457467918559</v>
      </c>
      <c r="D3583" s="9">
        <v>18.654611111115649</v>
      </c>
      <c r="E3583" s="1">
        <v>1.4557199999999999</v>
      </c>
      <c r="F3583" s="1">
        <v>8.3347599999999993</v>
      </c>
      <c r="G3583" s="1">
        <v>14.192299999999999</v>
      </c>
      <c r="H3583" s="1">
        <v>1.8163800000000001</v>
      </c>
    </row>
    <row r="3584" spans="1:8" x14ac:dyDescent="0.3">
      <c r="A3584">
        <f t="shared" si="146"/>
        <v>40</v>
      </c>
      <c r="B3584">
        <v>2649</v>
      </c>
      <c r="C3584" s="1">
        <v>22.74218567210221</v>
      </c>
      <c r="D3584" s="9">
        <v>18.701833333337959</v>
      </c>
      <c r="E3584" s="1">
        <v>0.83303000000000005</v>
      </c>
      <c r="F3584" s="1">
        <v>8.3294599999999992</v>
      </c>
      <c r="G3584" s="1">
        <v>14.3558</v>
      </c>
      <c r="H3584" s="1">
        <v>3.0205500000000001</v>
      </c>
    </row>
    <row r="3585" spans="1:8" x14ac:dyDescent="0.3">
      <c r="A3585" t="e">
        <f t="shared" si="146"/>
        <v>#REF!</v>
      </c>
      <c r="B3585">
        <v>2699</v>
      </c>
      <c r="C3585" s="1">
        <v>23.20591699178782</v>
      </c>
      <c r="D3585" s="9">
        <v>18.749055555560268</v>
      </c>
      <c r="E3585" s="1">
        <v>0.60315399999999997</v>
      </c>
      <c r="F3585" s="1">
        <v>8.1012599999999999</v>
      </c>
      <c r="G3585" s="1">
        <v>14.23</v>
      </c>
      <c r="H3585" s="1">
        <v>4.07864</v>
      </c>
    </row>
    <row r="3586" spans="1:8" x14ac:dyDescent="0.3">
      <c r="A3586">
        <f t="shared" si="146"/>
        <v>31</v>
      </c>
      <c r="B3586">
        <v>2749</v>
      </c>
      <c r="C3586" s="1">
        <v>23.66154979615612</v>
      </c>
      <c r="D3586" s="9">
        <v>18.796277777782578</v>
      </c>
      <c r="E3586" s="1">
        <v>0.97485599999999994</v>
      </c>
      <c r="F3586" s="1">
        <v>7.8267499999999997</v>
      </c>
      <c r="G3586" s="1">
        <v>13.792400000000001</v>
      </c>
      <c r="H3586" s="1">
        <v>4.9070200000000002</v>
      </c>
    </row>
    <row r="3587" spans="1:8" x14ac:dyDescent="0.3">
      <c r="A3587" t="e">
        <f t="shared" si="146"/>
        <v>#REF!</v>
      </c>
      <c r="B3587">
        <v>2799</v>
      </c>
      <c r="C3587" s="1">
        <v>23.993538553160011</v>
      </c>
      <c r="D3587" s="9">
        <v>18.843500000004887</v>
      </c>
      <c r="E3587" s="1">
        <v>1.72898</v>
      </c>
      <c r="F3587" s="1">
        <v>7.8717899999999998</v>
      </c>
      <c r="G3587" s="1">
        <v>13.318099999999999</v>
      </c>
      <c r="H3587" s="1">
        <v>5.4561999999999999</v>
      </c>
    </row>
    <row r="3588" spans="1:8" x14ac:dyDescent="0.3">
      <c r="A3588">
        <f t="shared" si="146"/>
        <v>47</v>
      </c>
      <c r="B3588">
        <v>2849</v>
      </c>
      <c r="C3588" s="1">
        <v>24.212519131375469</v>
      </c>
      <c r="D3588" s="9">
        <v>18.890722222227197</v>
      </c>
      <c r="E3588" s="1">
        <v>2.5475699999999999</v>
      </c>
      <c r="F3588" s="1">
        <v>8.5348400000000009</v>
      </c>
      <c r="G3588" s="1">
        <v>13.1233</v>
      </c>
      <c r="H3588" s="1">
        <v>5.7358900000000004</v>
      </c>
    </row>
    <row r="3589" spans="1:8" x14ac:dyDescent="0.3">
      <c r="A3589" t="e">
        <f t="shared" si="146"/>
        <v>#REF!</v>
      </c>
      <c r="B3589">
        <v>2899</v>
      </c>
      <c r="C3589" s="1">
        <v>24.306353849574499</v>
      </c>
      <c r="D3589" s="9">
        <v>18.937944444449506</v>
      </c>
      <c r="E3589" s="1">
        <v>3.1237900000000001</v>
      </c>
      <c r="F3589" s="1">
        <v>9.6855200000000004</v>
      </c>
      <c r="G3589" s="1">
        <v>13.4133</v>
      </c>
      <c r="H3589" s="1">
        <v>5.9477900000000004</v>
      </c>
    </row>
    <row r="3590" spans="1:8" x14ac:dyDescent="0.3">
      <c r="A3590">
        <f t="shared" si="146"/>
        <v>38</v>
      </c>
      <c r="B3590">
        <v>2949</v>
      </c>
      <c r="C3590" s="1">
        <v>24.155310031825969</v>
      </c>
      <c r="D3590" s="9">
        <v>18.985166666671816</v>
      </c>
      <c r="E3590" s="1">
        <v>3.2913199999999998</v>
      </c>
      <c r="F3590" s="1">
        <v>11.0664</v>
      </c>
      <c r="G3590" s="1">
        <v>14.279299999999999</v>
      </c>
      <c r="H3590" s="1">
        <v>6.2689000000000004</v>
      </c>
    </row>
    <row r="3591" spans="1:8" x14ac:dyDescent="0.3">
      <c r="A3591" t="e">
        <f t="shared" si="146"/>
        <v>#REF!</v>
      </c>
      <c r="B3591">
        <v>2999</v>
      </c>
      <c r="C3591" s="1">
        <v>24</v>
      </c>
      <c r="D3591" s="9">
        <v>19.032388888894126</v>
      </c>
      <c r="E3591" s="1">
        <v>3.4053300000000002</v>
      </c>
      <c r="F3591" s="1">
        <v>12.3248</v>
      </c>
      <c r="G3591" s="1">
        <v>15.4801</v>
      </c>
      <c r="H3591" s="1">
        <v>6.6144299999999996</v>
      </c>
    </row>
    <row r="3592" spans="1:8" x14ac:dyDescent="0.3">
      <c r="A3592">
        <f t="shared" si="146"/>
        <v>29</v>
      </c>
      <c r="B3592">
        <v>3049</v>
      </c>
      <c r="C3592" s="1">
        <v>23.852844491857621</v>
      </c>
      <c r="D3592" s="9">
        <v>19.079611111116435</v>
      </c>
      <c r="E3592" s="1">
        <v>3.8490700000000002</v>
      </c>
      <c r="F3592" s="1">
        <v>13.118399999999999</v>
      </c>
      <c r="G3592" s="1">
        <v>16.693100000000001</v>
      </c>
      <c r="H3592" s="1">
        <v>6.9008799999999999</v>
      </c>
    </row>
    <row r="3593" spans="1:8" x14ac:dyDescent="0.3">
      <c r="A3593" t="e">
        <f t="shared" si="146"/>
        <v>#REF!</v>
      </c>
      <c r="B3593">
        <v>3099</v>
      </c>
      <c r="C3593" s="1">
        <v>23.548582425581241</v>
      </c>
      <c r="D3593" s="9">
        <v>19.126833333338745</v>
      </c>
      <c r="E3593" s="1">
        <v>4.6420399999999997</v>
      </c>
      <c r="F3593" s="1">
        <v>13.24</v>
      </c>
      <c r="G3593" s="1">
        <v>17.590800000000002</v>
      </c>
      <c r="H3593" s="1">
        <v>7.2765199999999997</v>
      </c>
    </row>
    <row r="3594" spans="1:8" x14ac:dyDescent="0.3">
      <c r="A3594">
        <f t="shared" si="146"/>
        <v>45</v>
      </c>
      <c r="B3594">
        <v>3149</v>
      </c>
      <c r="C3594" s="1">
        <v>23.152238244281989</v>
      </c>
      <c r="D3594" s="9">
        <v>19.174055555561054</v>
      </c>
      <c r="E3594" s="1">
        <v>5.6809099999999999</v>
      </c>
      <c r="F3594" s="1">
        <v>12.631</v>
      </c>
      <c r="G3594" s="1">
        <v>17.945</v>
      </c>
      <c r="H3594" s="1">
        <v>7.8994900000000001</v>
      </c>
    </row>
    <row r="3595" spans="1:8" x14ac:dyDescent="0.3">
      <c r="A3595" t="e">
        <f t="shared" si="146"/>
        <v>#REF!</v>
      </c>
      <c r="B3595">
        <v>3199</v>
      </c>
      <c r="C3595" s="1">
        <v>22.795823810674921</v>
      </c>
      <c r="D3595" s="9">
        <v>19.221277777783364</v>
      </c>
      <c r="E3595" s="1">
        <v>6.7478199999999999</v>
      </c>
      <c r="F3595" s="1">
        <v>11.595000000000001</v>
      </c>
      <c r="G3595" s="1">
        <v>17.846</v>
      </c>
      <c r="H3595" s="1">
        <v>8.7880900000000004</v>
      </c>
    </row>
    <row r="3596" spans="1:8" x14ac:dyDescent="0.3">
      <c r="A3596">
        <f t="shared" si="146"/>
        <v>36</v>
      </c>
      <c r="B3596">
        <v>3249</v>
      </c>
      <c r="C3596" s="1">
        <v>22.431831994538889</v>
      </c>
      <c r="D3596" s="9">
        <v>19.268500000005673</v>
      </c>
      <c r="E3596" s="1">
        <v>7.67591</v>
      </c>
      <c r="F3596" s="1">
        <v>10.491899999999999</v>
      </c>
      <c r="G3596" s="1">
        <v>17.466200000000001</v>
      </c>
      <c r="H3596" s="1">
        <v>9.9135799999999996</v>
      </c>
    </row>
    <row r="3597" spans="1:8" x14ac:dyDescent="0.3">
      <c r="A3597" t="e">
        <f t="shared" ref="A3597:A3603" si="147">A3547</f>
        <v>#REF!</v>
      </c>
      <c r="B3597">
        <v>3299</v>
      </c>
      <c r="C3597" s="1">
        <v>22.012575108390688</v>
      </c>
      <c r="D3597" s="9">
        <v>19.315722222227983</v>
      </c>
      <c r="E3597" s="1">
        <v>8.6242400000000004</v>
      </c>
      <c r="F3597" s="1">
        <v>9.7767900000000001</v>
      </c>
      <c r="G3597" s="1">
        <v>17.078099999999999</v>
      </c>
      <c r="H3597" s="1">
        <v>11.208</v>
      </c>
    </row>
    <row r="3598" spans="1:8" x14ac:dyDescent="0.3">
      <c r="A3598">
        <f t="shared" si="147"/>
        <v>27</v>
      </c>
      <c r="B3598">
        <v>3349</v>
      </c>
      <c r="C3598" s="1">
        <v>21.695909576437408</v>
      </c>
      <c r="D3598" s="9">
        <v>19.362944444450292</v>
      </c>
      <c r="E3598" s="1">
        <v>10.053000000000001</v>
      </c>
      <c r="F3598" s="1">
        <v>10.5158</v>
      </c>
      <c r="G3598" s="1">
        <v>17.132200000000001</v>
      </c>
      <c r="H3598" s="1">
        <v>12.6325</v>
      </c>
    </row>
    <row r="3599" spans="1:8" x14ac:dyDescent="0.3">
      <c r="A3599" t="e">
        <f t="shared" si="147"/>
        <v>#REF!</v>
      </c>
      <c r="B3599">
        <v>3399</v>
      </c>
      <c r="C3599" s="1">
        <v>21.372566081731971</v>
      </c>
      <c r="D3599" s="9">
        <v>19.410166666672602</v>
      </c>
      <c r="E3599" s="1">
        <v>11.807399999999999</v>
      </c>
      <c r="F3599" s="1">
        <v>12.03</v>
      </c>
      <c r="G3599" s="1">
        <v>17.398299999999999</v>
      </c>
      <c r="H3599" s="1">
        <v>14.055199999999999</v>
      </c>
    </row>
    <row r="3600" spans="1:8" x14ac:dyDescent="0.3">
      <c r="A3600">
        <f t="shared" si="147"/>
        <v>43</v>
      </c>
      <c r="B3600">
        <v>3449</v>
      </c>
      <c r="C3600" s="1">
        <v>20.93086751192175</v>
      </c>
      <c r="D3600" s="9">
        <v>19.457388888894911</v>
      </c>
      <c r="E3600" s="1">
        <v>13.681699999999999</v>
      </c>
      <c r="F3600" s="1">
        <v>13.7873</v>
      </c>
      <c r="G3600" s="1">
        <v>17.804200000000002</v>
      </c>
      <c r="H3600" s="1">
        <v>15.454000000000001</v>
      </c>
    </row>
    <row r="3601" spans="1:8" x14ac:dyDescent="0.3">
      <c r="A3601" t="e">
        <f t="shared" si="147"/>
        <v>#REF!</v>
      </c>
      <c r="B3601">
        <v>3499</v>
      </c>
      <c r="C3601" s="1">
        <v>20.418459391035508</v>
      </c>
      <c r="D3601" s="9">
        <v>19.504611111117221</v>
      </c>
      <c r="E3601" s="1">
        <v>15.614000000000001</v>
      </c>
      <c r="F3601" s="1">
        <v>15.6595</v>
      </c>
      <c r="G3601" s="1">
        <v>18.321100000000001</v>
      </c>
      <c r="H3601" s="1">
        <v>16.8369</v>
      </c>
    </row>
    <row r="3602" spans="1:8" x14ac:dyDescent="0.3">
      <c r="A3602">
        <f t="shared" si="147"/>
        <v>34</v>
      </c>
      <c r="B3602">
        <v>3549</v>
      </c>
      <c r="C3602" s="1">
        <v>20.044731047910751</v>
      </c>
      <c r="D3602" s="9">
        <v>19.55183333333953</v>
      </c>
      <c r="E3602" s="1">
        <v>17.5778</v>
      </c>
      <c r="F3602" s="1">
        <v>17.592400000000001</v>
      </c>
      <c r="G3602" s="1">
        <v>18.921600000000002</v>
      </c>
      <c r="H3602" s="1">
        <v>18.2088</v>
      </c>
    </row>
    <row r="3603" spans="1:8" x14ac:dyDescent="0.3">
      <c r="A3603">
        <f t="shared" si="147"/>
        <v>0</v>
      </c>
      <c r="B3603">
        <v>3599</v>
      </c>
      <c r="C3603" s="1">
        <v>19.60957585352774</v>
      </c>
      <c r="D3603" s="9">
        <v>19.59905555556184</v>
      </c>
      <c r="E3603" s="1">
        <v>19.560199999999998</v>
      </c>
      <c r="F3603" s="1">
        <v>19.560400000000001</v>
      </c>
      <c r="G3603" s="1">
        <v>19.586200000000002</v>
      </c>
      <c r="H3603" s="1">
        <v>19.572800000000001</v>
      </c>
    </row>
  </sheetData>
  <sortState xmlns:xlrd2="http://schemas.microsoft.com/office/spreadsheetml/2017/richdata2" ref="A2:H3602">
    <sortCondition ref="A1"/>
  </sortState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122"/>
  <sheetViews>
    <sheetView tabSelected="1" topLeftCell="G11" zoomScale="115" zoomScaleNormal="115" workbookViewId="0">
      <selection activeCell="P15" sqref="P15"/>
    </sheetView>
  </sheetViews>
  <sheetFormatPr defaultRowHeight="14" x14ac:dyDescent="0.3"/>
  <cols>
    <col min="4" max="4" width="14.08203125" bestFit="1" customWidth="1"/>
    <col min="13" max="14" width="19.25" bestFit="1" customWidth="1"/>
    <col min="16" max="16" width="11.6640625" bestFit="1" customWidth="1"/>
  </cols>
  <sheetData>
    <row r="2" spans="1:21" ht="14.5" thickBot="1" x14ac:dyDescent="0.35">
      <c r="B2" t="s">
        <v>75</v>
      </c>
      <c r="F2" t="s">
        <v>90</v>
      </c>
    </row>
    <row r="3" spans="1:21" ht="28.5" thickTop="1" thickBot="1" x14ac:dyDescent="0.35">
      <c r="A3" s="24"/>
      <c r="B3" s="24" t="s">
        <v>63</v>
      </c>
      <c r="C3" s="24" t="s">
        <v>64</v>
      </c>
      <c r="D3" s="24" t="s">
        <v>65</v>
      </c>
      <c r="E3" s="24" t="s">
        <v>63</v>
      </c>
      <c r="F3" s="24" t="s">
        <v>64</v>
      </c>
      <c r="G3" s="24" t="s">
        <v>65</v>
      </c>
    </row>
    <row r="4" spans="1:21" x14ac:dyDescent="0.3">
      <c r="A4" t="s">
        <v>86</v>
      </c>
      <c r="B4" s="6">
        <v>158.86600000000001</v>
      </c>
      <c r="C4" s="6">
        <v>147.45500000000001</v>
      </c>
      <c r="D4" s="6">
        <f>B4+C4</f>
        <v>306.32100000000003</v>
      </c>
      <c r="E4" s="6">
        <v>149.65</v>
      </c>
      <c r="F4" s="6">
        <v>142.37899999999999</v>
      </c>
      <c r="G4" s="6">
        <f t="shared" ref="G4:G5" si="0">F4+E4</f>
        <v>292.029</v>
      </c>
    </row>
    <row r="5" spans="1:21" x14ac:dyDescent="0.3">
      <c r="A5" t="s">
        <v>87</v>
      </c>
      <c r="B5" s="6">
        <v>159.56700000000001</v>
      </c>
      <c r="C5" s="6">
        <v>150.321</v>
      </c>
      <c r="D5" s="6">
        <f>B5+C5</f>
        <v>309.88800000000003</v>
      </c>
      <c r="E5" s="6">
        <v>150.238</v>
      </c>
      <c r="F5" s="6">
        <v>144.86600000000001</v>
      </c>
      <c r="G5" s="6">
        <f t="shared" si="0"/>
        <v>295.10400000000004</v>
      </c>
    </row>
    <row r="6" spans="1:21" ht="14.5" thickBot="1" x14ac:dyDescent="0.35">
      <c r="A6" s="33" t="s">
        <v>85</v>
      </c>
      <c r="B6" s="15">
        <v>149.12961657688601</v>
      </c>
      <c r="C6" s="15">
        <v>137.83099999999999</v>
      </c>
      <c r="D6" s="15">
        <f>B6+C6</f>
        <v>286.96061657688597</v>
      </c>
      <c r="E6" s="15">
        <v>145.95599999999999</v>
      </c>
      <c r="F6" s="15">
        <v>136.74199999999999</v>
      </c>
      <c r="G6" s="15">
        <f>F6+E6</f>
        <v>282.69799999999998</v>
      </c>
      <c r="H6" s="40">
        <f>D6/D4-1</f>
        <v>-6.3202925764521689E-2</v>
      </c>
      <c r="I6" s="40">
        <f>G6/G4-1</f>
        <v>-3.1952306106585393E-2</v>
      </c>
      <c r="M6" s="34">
        <f>B6-B4</f>
        <v>-9.7363834231140061</v>
      </c>
      <c r="N6" s="34">
        <f>C6-C4</f>
        <v>-9.6240000000000236</v>
      </c>
      <c r="P6" s="34">
        <f>E6-E4</f>
        <v>-3.6940000000000168</v>
      </c>
      <c r="Q6" s="34">
        <f>F6-F4</f>
        <v>-5.6370000000000005</v>
      </c>
    </row>
    <row r="7" spans="1:21" ht="14.5" thickTop="1" x14ac:dyDescent="0.3">
      <c r="A7" s="27"/>
      <c r="B7" s="27"/>
      <c r="C7" s="27"/>
      <c r="D7" s="27">
        <f>D6-D4</f>
        <v>-19.360383423114058</v>
      </c>
      <c r="E7" s="27"/>
      <c r="F7" s="27"/>
      <c r="G7" s="27">
        <f>G6-G4</f>
        <v>-9.3310000000000173</v>
      </c>
      <c r="M7" s="1">
        <v>49640</v>
      </c>
      <c r="N7">
        <v>50822</v>
      </c>
      <c r="P7" s="1">
        <v>49640</v>
      </c>
      <c r="Q7">
        <v>50822</v>
      </c>
    </row>
    <row r="8" spans="1:21" x14ac:dyDescent="0.3">
      <c r="A8" s="27"/>
      <c r="B8" s="27"/>
      <c r="C8" s="27"/>
      <c r="D8" s="27">
        <f>D6-D5</f>
        <v>-22.927383423114065</v>
      </c>
      <c r="E8" s="27"/>
      <c r="F8" s="27"/>
      <c r="G8" s="27">
        <f>G6-G5</f>
        <v>-12.406000000000063</v>
      </c>
      <c r="L8" t="s">
        <v>92</v>
      </c>
      <c r="M8" s="37">
        <f>M7*M6</f>
        <v>-483314.07312337926</v>
      </c>
      <c r="N8" s="37">
        <f>N7*N6</f>
        <v>-489110.92800000118</v>
      </c>
      <c r="P8" s="37">
        <f>P7*P6</f>
        <v>-183370.16000000085</v>
      </c>
      <c r="Q8" s="37">
        <f>Q7*Q6</f>
        <v>-286483.614</v>
      </c>
    </row>
    <row r="9" spans="1:21" x14ac:dyDescent="0.3">
      <c r="B9" t="s">
        <v>88</v>
      </c>
      <c r="L9" t="s">
        <v>93</v>
      </c>
      <c r="M9" s="37">
        <f>M8*365</f>
        <v>-176409636.69003344</v>
      </c>
      <c r="N9" s="37">
        <f>N8*365</f>
        <v>-178525488.72000042</v>
      </c>
      <c r="P9" s="37">
        <f>P8*365</f>
        <v>-66930108.400000311</v>
      </c>
      <c r="Q9" s="37">
        <f>Q8*365</f>
        <v>-104566519.11</v>
      </c>
    </row>
    <row r="10" spans="1:21" x14ac:dyDescent="0.3">
      <c r="A10" t="s">
        <v>89</v>
      </c>
      <c r="B10">
        <v>161.94800000000001</v>
      </c>
      <c r="C10">
        <v>150.57499999999999</v>
      </c>
      <c r="D10">
        <v>153.554</v>
      </c>
      <c r="E10">
        <v>139.18199999999999</v>
      </c>
      <c r="G10">
        <v>166.05252773452801</v>
      </c>
      <c r="H10">
        <v>147.28653141484099</v>
      </c>
      <c r="I10">
        <v>154.91889027301701</v>
      </c>
      <c r="J10">
        <v>137.14282109657</v>
      </c>
      <c r="L10" t="s">
        <v>94</v>
      </c>
      <c r="M10" s="37">
        <f>M9/1000</f>
        <v>-176409.63669003343</v>
      </c>
      <c r="N10" s="37">
        <f>N9/1000</f>
        <v>-178525.48872000043</v>
      </c>
      <c r="O10">
        <f>M10+N10</f>
        <v>-354935.12541003386</v>
      </c>
      <c r="P10" s="37">
        <f>P9/1000</f>
        <v>-66930.108400000317</v>
      </c>
      <c r="Q10" s="37">
        <f>Q9/1000</f>
        <v>-104566.51910999999</v>
      </c>
      <c r="R10">
        <f>P10+Q10</f>
        <v>-171496.62751000031</v>
      </c>
      <c r="S10" s="36"/>
      <c r="T10">
        <v>309.88800000000003</v>
      </c>
      <c r="U10">
        <v>299.58500000000004</v>
      </c>
    </row>
    <row r="11" spans="1:21" ht="14.5" thickBot="1" x14ac:dyDescent="0.35">
      <c r="O11">
        <f>O10*8/10000</f>
        <v>-283.94810032802707</v>
      </c>
      <c r="R11">
        <f>R10*8/10000</f>
        <v>-137.19730200800024</v>
      </c>
      <c r="T11" s="15">
        <v>286.36700000000002</v>
      </c>
      <c r="U11" s="15">
        <v>282.863</v>
      </c>
    </row>
    <row r="12" spans="1:21" ht="14.5" thickTop="1" x14ac:dyDescent="0.3"/>
    <row r="13" spans="1:21" x14ac:dyDescent="0.3">
      <c r="T13">
        <f>T11/T10</f>
        <v>0.9240983839322594</v>
      </c>
      <c r="U13">
        <f>U11/U10</f>
        <v>0.94418278618755935</v>
      </c>
    </row>
    <row r="14" spans="1:21" ht="14.5" thickBot="1" x14ac:dyDescent="0.35">
      <c r="O14" t="s">
        <v>156</v>
      </c>
      <c r="P14" t="s">
        <v>157</v>
      </c>
    </row>
    <row r="15" spans="1:21" ht="14.5" thickTop="1" x14ac:dyDescent="0.3">
      <c r="A15" s="3" t="s">
        <v>69</v>
      </c>
      <c r="B15" s="3" t="s">
        <v>76</v>
      </c>
      <c r="C15" s="3" t="s">
        <v>77</v>
      </c>
      <c r="D15" s="3" t="s">
        <v>74</v>
      </c>
      <c r="E15" s="3" t="s">
        <v>78</v>
      </c>
      <c r="F15" s="3" t="s">
        <v>73</v>
      </c>
      <c r="G15" s="3" t="s">
        <v>76</v>
      </c>
      <c r="H15" s="3" t="s">
        <v>77</v>
      </c>
      <c r="I15" s="3" t="s">
        <v>74</v>
      </c>
      <c r="J15" s="3" t="s">
        <v>78</v>
      </c>
      <c r="M15" s="3" t="s">
        <v>79</v>
      </c>
      <c r="N15" s="3" t="s">
        <v>77</v>
      </c>
      <c r="O15" s="3" t="s">
        <v>74</v>
      </c>
      <c r="P15" s="3" t="s">
        <v>78</v>
      </c>
    </row>
    <row r="16" spans="1:21" x14ac:dyDescent="0.3">
      <c r="A16" s="31">
        <v>0</v>
      </c>
      <c r="B16" s="31">
        <f>E38</f>
        <v>1</v>
      </c>
      <c r="C16" s="31">
        <f>E60</f>
        <v>0.92400000000000004</v>
      </c>
      <c r="D16" s="31">
        <f>E82</f>
        <v>0.997</v>
      </c>
      <c r="E16" s="31">
        <f>E104</f>
        <v>0.997</v>
      </c>
      <c r="F16" s="31">
        <v>18</v>
      </c>
      <c r="G16" s="31">
        <f>J38</f>
        <v>0.97299999999999998</v>
      </c>
      <c r="H16" s="31">
        <f>J60</f>
        <v>0.81299999999999994</v>
      </c>
      <c r="I16" s="31">
        <f>J82</f>
        <v>0.82699999999999996</v>
      </c>
      <c r="J16" s="31">
        <f>J104</f>
        <v>0.84499999999999997</v>
      </c>
      <c r="L16">
        <v>0</v>
      </c>
      <c r="M16">
        <f>B16</f>
        <v>1</v>
      </c>
      <c r="N16">
        <f>C16</f>
        <v>0.92400000000000004</v>
      </c>
      <c r="O16" s="43">
        <f>T16</f>
        <v>0.997</v>
      </c>
      <c r="P16" s="43">
        <f>U16</f>
        <v>0.997</v>
      </c>
      <c r="R16">
        <v>0.997</v>
      </c>
      <c r="S16">
        <v>0.997</v>
      </c>
      <c r="T16">
        <v>0.997</v>
      </c>
      <c r="U16">
        <v>0.997</v>
      </c>
    </row>
    <row r="17" spans="1:21" x14ac:dyDescent="0.3">
      <c r="A17" s="31">
        <v>1</v>
      </c>
      <c r="B17" s="31">
        <f t="shared" ref="B17:B33" si="1">E39</f>
        <v>0.99</v>
      </c>
      <c r="C17" s="31">
        <f t="shared" ref="C17:C33" si="2">E61</f>
        <v>0.82</v>
      </c>
      <c r="D17" s="31">
        <f t="shared" ref="D17:D33" si="3">E83</f>
        <v>0.873</v>
      </c>
      <c r="E17" s="31">
        <f t="shared" ref="E17:E33" si="4">E105</f>
        <v>0.89300000000000002</v>
      </c>
      <c r="F17" s="31">
        <v>19</v>
      </c>
      <c r="G17" s="31">
        <f t="shared" ref="G17:G33" si="5">J39</f>
        <v>0.97199999999999998</v>
      </c>
      <c r="H17" s="31">
        <f t="shared" ref="H17:H33" si="6">J61</f>
        <v>0.81299999999999994</v>
      </c>
      <c r="I17" s="31">
        <f t="shared" ref="I17:I33" si="7">J83</f>
        <v>0.81699999999999995</v>
      </c>
      <c r="J17" s="31">
        <f t="shared" ref="J17:J33" si="8">J105</f>
        <v>0.83399999999999996</v>
      </c>
      <c r="L17">
        <v>1</v>
      </c>
      <c r="M17">
        <f t="shared" ref="M17:M33" si="9">B17</f>
        <v>0.99</v>
      </c>
      <c r="N17">
        <f t="shared" ref="N17:N33" si="10">C17</f>
        <v>0.82</v>
      </c>
      <c r="O17" s="43">
        <f t="shared" ref="O17:O51" si="11">T17</f>
        <v>0.9547579420915896</v>
      </c>
      <c r="P17" s="43">
        <f t="shared" ref="P17:P51" si="12">U17</f>
        <v>0.96430362954467963</v>
      </c>
      <c r="R17">
        <v>0.873</v>
      </c>
      <c r="S17">
        <v>0.89300000000000002</v>
      </c>
      <c r="T17" s="43">
        <f>(R17-R16)/R$52*T$52+T16</f>
        <v>0.9547579420915896</v>
      </c>
      <c r="U17" s="43">
        <f>(S17-S16)/S$52*U$52+U16</f>
        <v>0.96430362954467963</v>
      </c>
    </row>
    <row r="18" spans="1:21" x14ac:dyDescent="0.3">
      <c r="A18" s="31">
        <v>2</v>
      </c>
      <c r="B18" s="31">
        <f t="shared" si="1"/>
        <v>0.98899999999999999</v>
      </c>
      <c r="C18" s="31">
        <f t="shared" si="2"/>
        <v>0.81399999999999995</v>
      </c>
      <c r="D18" s="31">
        <f t="shared" si="3"/>
        <v>0.86</v>
      </c>
      <c r="E18" s="31">
        <f t="shared" si="4"/>
        <v>0.875</v>
      </c>
      <c r="F18" s="31">
        <v>20</v>
      </c>
      <c r="G18" s="31">
        <f t="shared" si="5"/>
        <v>0.97</v>
      </c>
      <c r="H18" s="31">
        <f t="shared" si="6"/>
        <v>0.81100000000000005</v>
      </c>
      <c r="I18" s="31">
        <f t="shared" si="7"/>
        <v>0.81200000000000006</v>
      </c>
      <c r="J18" s="31">
        <f t="shared" si="8"/>
        <v>0.83399999999999996</v>
      </c>
      <c r="L18">
        <v>2</v>
      </c>
      <c r="M18">
        <f t="shared" si="9"/>
        <v>0.98899999999999999</v>
      </c>
      <c r="N18">
        <f t="shared" si="10"/>
        <v>0.81399999999999995</v>
      </c>
      <c r="O18" s="43">
        <f t="shared" si="11"/>
        <v>0.95032933924635299</v>
      </c>
      <c r="P18" s="43">
        <f t="shared" si="12"/>
        <v>0.95864464235048952</v>
      </c>
      <c r="R18">
        <v>0.86</v>
      </c>
      <c r="S18">
        <v>0.875</v>
      </c>
      <c r="T18" s="43">
        <f t="shared" ref="T18:T36" si="13">(R18-R17)/R$52*T$52+T17</f>
        <v>0.95032933924635299</v>
      </c>
      <c r="U18" s="43">
        <f t="shared" ref="U18:U36" si="14">(S18-S17)/S$52*U$52+U17</f>
        <v>0.95864464235048952</v>
      </c>
    </row>
    <row r="19" spans="1:21" x14ac:dyDescent="0.3">
      <c r="A19" s="31">
        <v>3</v>
      </c>
      <c r="B19" s="31">
        <f t="shared" si="1"/>
        <v>0.98399999999999999</v>
      </c>
      <c r="C19" s="31">
        <f t="shared" si="2"/>
        <v>0.81399999999999995</v>
      </c>
      <c r="D19" s="31">
        <f t="shared" si="3"/>
        <v>0.85699999999999998</v>
      </c>
      <c r="E19" s="31">
        <f t="shared" si="4"/>
        <v>0.874</v>
      </c>
      <c r="F19" s="31">
        <v>21</v>
      </c>
      <c r="G19" s="31">
        <f t="shared" si="5"/>
        <v>0.96899999999999997</v>
      </c>
      <c r="H19" s="31">
        <f t="shared" si="6"/>
        <v>0.81100000000000005</v>
      </c>
      <c r="I19" s="31">
        <f t="shared" si="7"/>
        <v>0.81200000000000006</v>
      </c>
      <c r="J19" s="31">
        <f t="shared" si="8"/>
        <v>0.83399999999999996</v>
      </c>
      <c r="L19">
        <v>3</v>
      </c>
      <c r="M19">
        <f t="shared" si="9"/>
        <v>0.98399999999999999</v>
      </c>
      <c r="N19">
        <f t="shared" si="10"/>
        <v>0.81399999999999995</v>
      </c>
      <c r="O19" s="43">
        <f t="shared" si="11"/>
        <v>0.94930735397437527</v>
      </c>
      <c r="P19" s="43">
        <f t="shared" si="12"/>
        <v>0.95833025417303452</v>
      </c>
      <c r="R19">
        <v>0.85699999999999998</v>
      </c>
      <c r="S19">
        <v>0.874</v>
      </c>
      <c r="T19" s="43">
        <f t="shared" si="13"/>
        <v>0.94930735397437527</v>
      </c>
      <c r="U19" s="43">
        <f t="shared" si="14"/>
        <v>0.95833025417303452</v>
      </c>
    </row>
    <row r="20" spans="1:21" x14ac:dyDescent="0.3">
      <c r="A20" s="31">
        <v>4</v>
      </c>
      <c r="B20" s="31">
        <f t="shared" si="1"/>
        <v>0.98299999999999998</v>
      </c>
      <c r="C20" s="31">
        <f t="shared" si="2"/>
        <v>0.81299999999999994</v>
      </c>
      <c r="D20" s="31">
        <f t="shared" si="3"/>
        <v>0.85699999999999998</v>
      </c>
      <c r="E20" s="31">
        <f t="shared" si="4"/>
        <v>0.87</v>
      </c>
      <c r="F20" s="31">
        <v>22</v>
      </c>
      <c r="G20" s="31">
        <f t="shared" si="5"/>
        <v>0.96799999999999997</v>
      </c>
      <c r="H20" s="31">
        <f t="shared" si="6"/>
        <v>0.81100000000000005</v>
      </c>
      <c r="I20" s="31">
        <f t="shared" si="7"/>
        <v>0.80600000000000005</v>
      </c>
      <c r="J20" s="31">
        <f t="shared" si="8"/>
        <v>0.83399999999999996</v>
      </c>
      <c r="L20">
        <v>4</v>
      </c>
      <c r="M20">
        <f t="shared" si="9"/>
        <v>0.98299999999999998</v>
      </c>
      <c r="N20">
        <f t="shared" si="10"/>
        <v>0.81299999999999994</v>
      </c>
      <c r="O20" s="43">
        <f t="shared" si="11"/>
        <v>0.94930735397437527</v>
      </c>
      <c r="P20" s="43">
        <f t="shared" si="12"/>
        <v>0.95707270146321455</v>
      </c>
      <c r="R20">
        <v>0.85699999999999998</v>
      </c>
      <c r="S20">
        <v>0.87</v>
      </c>
      <c r="T20" s="43">
        <f t="shared" si="13"/>
        <v>0.94930735397437527</v>
      </c>
      <c r="U20" s="43">
        <f t="shared" si="14"/>
        <v>0.95707270146321455</v>
      </c>
    </row>
    <row r="21" spans="1:21" x14ac:dyDescent="0.3">
      <c r="A21" s="31">
        <v>5</v>
      </c>
      <c r="B21" s="31">
        <f t="shared" si="1"/>
        <v>0.98299999999999998</v>
      </c>
      <c r="C21" s="31">
        <f t="shared" si="2"/>
        <v>0.81299999999999994</v>
      </c>
      <c r="D21" s="31">
        <f t="shared" si="3"/>
        <v>0.85099999999999998</v>
      </c>
      <c r="E21" s="31">
        <f t="shared" si="4"/>
        <v>0.87</v>
      </c>
      <c r="F21" s="31">
        <v>23</v>
      </c>
      <c r="G21" s="31">
        <f t="shared" si="5"/>
        <v>0.96699999999999997</v>
      </c>
      <c r="H21" s="31">
        <f t="shared" si="6"/>
        <v>0.81100000000000005</v>
      </c>
      <c r="I21" s="31">
        <f t="shared" si="7"/>
        <v>0.80400000000000005</v>
      </c>
      <c r="J21" s="31">
        <f t="shared" si="8"/>
        <v>0.83399999999999996</v>
      </c>
      <c r="L21">
        <v>5</v>
      </c>
      <c r="M21">
        <f t="shared" si="9"/>
        <v>0.98299999999999998</v>
      </c>
      <c r="N21">
        <f t="shared" si="10"/>
        <v>0.81299999999999994</v>
      </c>
      <c r="O21" s="43">
        <f t="shared" si="11"/>
        <v>0.94726338343041994</v>
      </c>
      <c r="P21" s="43">
        <f t="shared" si="12"/>
        <v>0.95707270146321455</v>
      </c>
      <c r="R21">
        <v>0.85099999999999998</v>
      </c>
      <c r="S21">
        <v>0.87</v>
      </c>
      <c r="T21" s="43">
        <f t="shared" si="13"/>
        <v>0.94726338343041994</v>
      </c>
      <c r="U21" s="43">
        <f t="shared" si="14"/>
        <v>0.95707270146321455</v>
      </c>
    </row>
    <row r="22" spans="1:21" x14ac:dyDescent="0.3">
      <c r="A22" s="31">
        <v>6</v>
      </c>
      <c r="B22" s="31">
        <f t="shared" si="1"/>
        <v>0.98099999999999998</v>
      </c>
      <c r="C22" s="31">
        <f t="shared" si="2"/>
        <v>0.81299999999999994</v>
      </c>
      <c r="D22" s="31">
        <f t="shared" si="3"/>
        <v>0.84699999999999998</v>
      </c>
      <c r="E22" s="31">
        <f t="shared" si="4"/>
        <v>0.86399999999999999</v>
      </c>
      <c r="F22" s="31">
        <v>24</v>
      </c>
      <c r="G22" s="31">
        <f t="shared" si="5"/>
        <v>0.96699999999999997</v>
      </c>
      <c r="H22" s="31">
        <f t="shared" si="6"/>
        <v>0.81100000000000005</v>
      </c>
      <c r="I22" s="31">
        <f t="shared" si="7"/>
        <v>0.79900000000000004</v>
      </c>
      <c r="J22" s="31">
        <f t="shared" si="8"/>
        <v>0.83399999999999996</v>
      </c>
      <c r="L22">
        <v>6</v>
      </c>
      <c r="M22">
        <f t="shared" si="9"/>
        <v>0.98099999999999998</v>
      </c>
      <c r="N22">
        <f t="shared" si="10"/>
        <v>0.81299999999999994</v>
      </c>
      <c r="O22" s="43">
        <f t="shared" si="11"/>
        <v>0.94590073640111638</v>
      </c>
      <c r="P22" s="43">
        <f t="shared" si="12"/>
        <v>0.95518637239848447</v>
      </c>
      <c r="R22">
        <v>0.84699999999999998</v>
      </c>
      <c r="S22">
        <v>0.86399999999999999</v>
      </c>
      <c r="T22" s="43">
        <f t="shared" si="13"/>
        <v>0.94590073640111638</v>
      </c>
      <c r="U22" s="43">
        <f t="shared" si="14"/>
        <v>0.95518637239848447</v>
      </c>
    </row>
    <row r="23" spans="1:21" x14ac:dyDescent="0.3">
      <c r="A23" s="31">
        <v>7</v>
      </c>
      <c r="B23" s="31">
        <f t="shared" si="1"/>
        <v>0.98099999999999998</v>
      </c>
      <c r="C23" s="31">
        <f t="shared" si="2"/>
        <v>0.81299999999999994</v>
      </c>
      <c r="D23" s="31">
        <f t="shared" si="3"/>
        <v>0.84699999999999998</v>
      </c>
      <c r="E23" s="31">
        <f t="shared" si="4"/>
        <v>0.86199999999999999</v>
      </c>
      <c r="F23" s="31">
        <v>25</v>
      </c>
      <c r="G23" s="31">
        <f t="shared" si="5"/>
        <v>0.96499999999999997</v>
      </c>
      <c r="H23" s="31">
        <f t="shared" si="6"/>
        <v>0.81100000000000005</v>
      </c>
      <c r="I23" s="31">
        <f t="shared" si="7"/>
        <v>0.79700000000000004</v>
      </c>
      <c r="J23" s="31">
        <f t="shared" si="8"/>
        <v>0.83399999999999996</v>
      </c>
      <c r="L23">
        <v>7</v>
      </c>
      <c r="M23">
        <f t="shared" si="9"/>
        <v>0.98099999999999998</v>
      </c>
      <c r="N23">
        <f t="shared" si="10"/>
        <v>0.81299999999999994</v>
      </c>
      <c r="O23" s="43">
        <f t="shared" si="11"/>
        <v>0.94590073640111638</v>
      </c>
      <c r="P23" s="43">
        <f t="shared" si="12"/>
        <v>0.95455759604357449</v>
      </c>
      <c r="R23">
        <v>0.84699999999999998</v>
      </c>
      <c r="S23">
        <v>0.86199999999999999</v>
      </c>
      <c r="T23" s="43">
        <f t="shared" si="13"/>
        <v>0.94590073640111638</v>
      </c>
      <c r="U23" s="43">
        <f t="shared" si="14"/>
        <v>0.95455759604357449</v>
      </c>
    </row>
    <row r="24" spans="1:21" x14ac:dyDescent="0.3">
      <c r="A24" s="31">
        <v>8</v>
      </c>
      <c r="B24" s="31">
        <f t="shared" si="1"/>
        <v>0.98099999999999998</v>
      </c>
      <c r="C24" s="31">
        <f t="shared" si="2"/>
        <v>0.81299999999999994</v>
      </c>
      <c r="D24" s="31">
        <f t="shared" si="3"/>
        <v>0.84699999999999998</v>
      </c>
      <c r="E24" s="31">
        <f t="shared" si="4"/>
        <v>0.86199999999999999</v>
      </c>
      <c r="F24" s="31">
        <v>26</v>
      </c>
      <c r="G24" s="31">
        <f t="shared" si="5"/>
        <v>0.96199999999999997</v>
      </c>
      <c r="H24" s="31">
        <f t="shared" si="6"/>
        <v>0.81100000000000005</v>
      </c>
      <c r="I24" s="31">
        <f t="shared" si="7"/>
        <v>0.79300000000000004</v>
      </c>
      <c r="J24" s="31">
        <f t="shared" si="8"/>
        <v>0.83399999999999996</v>
      </c>
      <c r="L24">
        <v>8</v>
      </c>
      <c r="M24">
        <f t="shared" si="9"/>
        <v>0.98099999999999998</v>
      </c>
      <c r="N24">
        <f t="shared" si="10"/>
        <v>0.81299999999999994</v>
      </c>
      <c r="O24" s="43">
        <f t="shared" si="11"/>
        <v>0.94590073640111638</v>
      </c>
      <c r="P24" s="43">
        <f t="shared" si="12"/>
        <v>0.95455759604357449</v>
      </c>
      <c r="R24">
        <v>0.84699999999999998</v>
      </c>
      <c r="S24">
        <v>0.86199999999999999</v>
      </c>
      <c r="T24" s="43">
        <f t="shared" si="13"/>
        <v>0.94590073640111638</v>
      </c>
      <c r="U24" s="43">
        <f t="shared" si="14"/>
        <v>0.95455759604357449</v>
      </c>
    </row>
    <row r="25" spans="1:21" x14ac:dyDescent="0.3">
      <c r="A25" s="31">
        <v>9</v>
      </c>
      <c r="B25" s="31">
        <f t="shared" si="1"/>
        <v>0.98</v>
      </c>
      <c r="C25" s="31">
        <f t="shared" si="2"/>
        <v>0.81299999999999994</v>
      </c>
      <c r="D25" s="31">
        <f t="shared" si="3"/>
        <v>0.84699999999999998</v>
      </c>
      <c r="E25" s="31">
        <f t="shared" si="4"/>
        <v>0.85599999999999998</v>
      </c>
      <c r="F25" s="31">
        <v>27</v>
      </c>
      <c r="G25" s="31">
        <f t="shared" si="5"/>
        <v>0.96199999999999997</v>
      </c>
      <c r="H25" s="31">
        <f t="shared" si="6"/>
        <v>0.81100000000000005</v>
      </c>
      <c r="I25" s="31">
        <f t="shared" si="7"/>
        <v>0.79300000000000004</v>
      </c>
      <c r="J25" s="31">
        <f t="shared" si="8"/>
        <v>0.83399999999999996</v>
      </c>
      <c r="L25">
        <v>9</v>
      </c>
      <c r="M25">
        <f t="shared" si="9"/>
        <v>0.98</v>
      </c>
      <c r="N25">
        <f t="shared" si="10"/>
        <v>0.81299999999999994</v>
      </c>
      <c r="O25" s="43">
        <f t="shared" si="11"/>
        <v>0.94590073640111638</v>
      </c>
      <c r="P25" s="43">
        <f t="shared" si="12"/>
        <v>0.95267126697884441</v>
      </c>
      <c r="R25">
        <v>0.84699999999999998</v>
      </c>
      <c r="S25">
        <v>0.85599999999999998</v>
      </c>
      <c r="T25" s="43">
        <f t="shared" si="13"/>
        <v>0.94590073640111638</v>
      </c>
      <c r="U25" s="43">
        <f t="shared" si="14"/>
        <v>0.95267126697884441</v>
      </c>
    </row>
    <row r="26" spans="1:21" x14ac:dyDescent="0.3">
      <c r="A26" s="31">
        <v>10</v>
      </c>
      <c r="B26" s="31">
        <f t="shared" si="1"/>
        <v>0.98</v>
      </c>
      <c r="C26" s="31">
        <f t="shared" si="2"/>
        <v>0.81299999999999994</v>
      </c>
      <c r="D26" s="31">
        <f t="shared" si="3"/>
        <v>0.84699999999999998</v>
      </c>
      <c r="E26" s="31">
        <f t="shared" si="4"/>
        <v>0.85499999999999998</v>
      </c>
      <c r="F26" s="31">
        <v>28</v>
      </c>
      <c r="G26" s="31">
        <f t="shared" si="5"/>
        <v>0.96199999999999997</v>
      </c>
      <c r="H26" s="31">
        <f t="shared" si="6"/>
        <v>0.80800000000000005</v>
      </c>
      <c r="I26" s="31">
        <f t="shared" si="7"/>
        <v>0.78800000000000003</v>
      </c>
      <c r="J26" s="31">
        <f t="shared" si="8"/>
        <v>0.83399999999999996</v>
      </c>
      <c r="L26">
        <v>10</v>
      </c>
      <c r="M26">
        <f t="shared" si="9"/>
        <v>0.98</v>
      </c>
      <c r="N26">
        <f t="shared" si="10"/>
        <v>0.81299999999999994</v>
      </c>
      <c r="O26" s="43">
        <f t="shared" si="11"/>
        <v>0.94590073640111638</v>
      </c>
      <c r="P26" s="43">
        <f t="shared" si="12"/>
        <v>0.95235687880138942</v>
      </c>
      <c r="R26">
        <v>0.84699999999999998</v>
      </c>
      <c r="S26">
        <v>0.85499999999999998</v>
      </c>
      <c r="T26" s="43">
        <f t="shared" si="13"/>
        <v>0.94590073640111638</v>
      </c>
      <c r="U26" s="43">
        <f t="shared" si="14"/>
        <v>0.95235687880138942</v>
      </c>
    </row>
    <row r="27" spans="1:21" x14ac:dyDescent="0.3">
      <c r="A27" s="31">
        <v>11</v>
      </c>
      <c r="B27" s="31">
        <f t="shared" si="1"/>
        <v>0.98</v>
      </c>
      <c r="C27" s="31">
        <f t="shared" si="2"/>
        <v>0.81299999999999994</v>
      </c>
      <c r="D27" s="31">
        <f t="shared" si="3"/>
        <v>0.84599999999999997</v>
      </c>
      <c r="E27" s="31">
        <f t="shared" si="4"/>
        <v>0.85199999999999998</v>
      </c>
      <c r="F27" s="31">
        <v>29</v>
      </c>
      <c r="G27" s="31">
        <f t="shared" si="5"/>
        <v>0.96199999999999997</v>
      </c>
      <c r="H27" s="31">
        <f t="shared" si="6"/>
        <v>0.80800000000000005</v>
      </c>
      <c r="I27" s="31">
        <f t="shared" si="7"/>
        <v>0.78800000000000003</v>
      </c>
      <c r="J27" s="31">
        <f t="shared" si="8"/>
        <v>0.83399999999999996</v>
      </c>
      <c r="L27">
        <v>11</v>
      </c>
      <c r="M27">
        <f t="shared" si="9"/>
        <v>0.98</v>
      </c>
      <c r="N27">
        <f t="shared" si="10"/>
        <v>0.81299999999999994</v>
      </c>
      <c r="O27" s="43">
        <f t="shared" si="11"/>
        <v>0.94556007464379044</v>
      </c>
      <c r="P27" s="43">
        <f t="shared" si="12"/>
        <v>0.95141371426902444</v>
      </c>
      <c r="R27">
        <v>0.84599999999999997</v>
      </c>
      <c r="S27">
        <v>0.85199999999999998</v>
      </c>
      <c r="T27" s="43">
        <f t="shared" si="13"/>
        <v>0.94556007464379044</v>
      </c>
      <c r="U27" s="43">
        <f t="shared" si="14"/>
        <v>0.95141371426902444</v>
      </c>
    </row>
    <row r="28" spans="1:21" x14ac:dyDescent="0.3">
      <c r="A28" s="31">
        <v>12</v>
      </c>
      <c r="B28" s="31">
        <f t="shared" si="1"/>
        <v>0.98</v>
      </c>
      <c r="C28" s="31">
        <f t="shared" si="2"/>
        <v>0.81299999999999994</v>
      </c>
      <c r="D28" s="31">
        <f t="shared" si="3"/>
        <v>0.84599999999999997</v>
      </c>
      <c r="E28" s="31">
        <f t="shared" si="4"/>
        <v>0.84499999999999997</v>
      </c>
      <c r="F28" s="31">
        <v>30</v>
      </c>
      <c r="G28" s="31">
        <f t="shared" si="5"/>
        <v>0.96199999999999997</v>
      </c>
      <c r="H28" s="31">
        <f t="shared" si="6"/>
        <v>0.80600000000000005</v>
      </c>
      <c r="I28" s="31">
        <f t="shared" si="7"/>
        <v>0.78500000000000003</v>
      </c>
      <c r="J28" s="31">
        <f t="shared" si="8"/>
        <v>0.83399999999999996</v>
      </c>
      <c r="L28">
        <v>12</v>
      </c>
      <c r="M28">
        <f t="shared" si="9"/>
        <v>0.98</v>
      </c>
      <c r="N28">
        <f t="shared" si="10"/>
        <v>0.81299999999999994</v>
      </c>
      <c r="O28" s="43">
        <f t="shared" si="11"/>
        <v>0.94556007464379044</v>
      </c>
      <c r="P28" s="43">
        <f t="shared" si="12"/>
        <v>0.94921299702683937</v>
      </c>
      <c r="R28">
        <v>0.84599999999999997</v>
      </c>
      <c r="S28">
        <v>0.84499999999999997</v>
      </c>
      <c r="T28" s="43">
        <f t="shared" si="13"/>
        <v>0.94556007464379044</v>
      </c>
      <c r="U28" s="43">
        <f t="shared" si="14"/>
        <v>0.94921299702683937</v>
      </c>
    </row>
    <row r="29" spans="1:21" x14ac:dyDescent="0.3">
      <c r="A29" s="31">
        <v>13</v>
      </c>
      <c r="B29" s="31">
        <f t="shared" si="1"/>
        <v>0.97699999999999998</v>
      </c>
      <c r="C29" s="31">
        <f t="shared" si="2"/>
        <v>0.81299999999999994</v>
      </c>
      <c r="D29" s="31">
        <f t="shared" si="3"/>
        <v>0.83699999999999997</v>
      </c>
      <c r="E29" s="31">
        <f t="shared" si="4"/>
        <v>0.84499999999999997</v>
      </c>
      <c r="F29" s="31">
        <v>31</v>
      </c>
      <c r="G29" s="31">
        <f t="shared" si="5"/>
        <v>0.96199999999999997</v>
      </c>
      <c r="H29" s="31">
        <f t="shared" si="6"/>
        <v>0.80500000000000005</v>
      </c>
      <c r="I29" s="31">
        <f t="shared" si="7"/>
        <v>0.78400000000000003</v>
      </c>
      <c r="J29" s="31">
        <f t="shared" si="8"/>
        <v>0.83399999999999996</v>
      </c>
      <c r="L29">
        <v>13</v>
      </c>
      <c r="M29">
        <f t="shared" si="9"/>
        <v>0.97699999999999998</v>
      </c>
      <c r="N29">
        <f t="shared" si="10"/>
        <v>0.81299999999999994</v>
      </c>
      <c r="O29" s="43">
        <f t="shared" si="11"/>
        <v>0.94249411882785739</v>
      </c>
      <c r="P29" s="43">
        <f t="shared" si="12"/>
        <v>0.94921299702683937</v>
      </c>
      <c r="R29">
        <v>0.83699999999999997</v>
      </c>
      <c r="S29">
        <v>0.84499999999999997</v>
      </c>
      <c r="T29" s="43">
        <f t="shared" si="13"/>
        <v>0.94249411882785739</v>
      </c>
      <c r="U29" s="43">
        <f t="shared" si="14"/>
        <v>0.94921299702683937</v>
      </c>
    </row>
    <row r="30" spans="1:21" x14ac:dyDescent="0.3">
      <c r="A30" s="31">
        <v>14</v>
      </c>
      <c r="B30" s="31">
        <f t="shared" si="1"/>
        <v>0.97599999999999998</v>
      </c>
      <c r="C30" s="31">
        <f t="shared" si="2"/>
        <v>0.81299999999999994</v>
      </c>
      <c r="D30" s="31">
        <f t="shared" si="3"/>
        <v>0.83699999999999997</v>
      </c>
      <c r="E30" s="31">
        <f t="shared" si="4"/>
        <v>0.84499999999999997</v>
      </c>
      <c r="F30" s="31">
        <v>32</v>
      </c>
      <c r="G30" s="31">
        <f t="shared" si="5"/>
        <v>0.96199999999999997</v>
      </c>
      <c r="H30" s="31">
        <f t="shared" si="6"/>
        <v>0.80500000000000005</v>
      </c>
      <c r="I30" s="31">
        <f t="shared" si="7"/>
        <v>0.78400000000000003</v>
      </c>
      <c r="J30" s="31">
        <f t="shared" si="8"/>
        <v>0.83199999999999996</v>
      </c>
      <c r="L30">
        <v>14</v>
      </c>
      <c r="M30">
        <f t="shared" si="9"/>
        <v>0.97599999999999998</v>
      </c>
      <c r="N30">
        <f t="shared" si="10"/>
        <v>0.81299999999999994</v>
      </c>
      <c r="O30" s="43">
        <f t="shared" si="11"/>
        <v>0.94249411882785739</v>
      </c>
      <c r="P30" s="43">
        <f t="shared" si="12"/>
        <v>0.94921299702683937</v>
      </c>
      <c r="R30">
        <v>0.83699999999999997</v>
      </c>
      <c r="S30">
        <v>0.84499999999999997</v>
      </c>
      <c r="T30" s="43">
        <f t="shared" si="13"/>
        <v>0.94249411882785739</v>
      </c>
      <c r="U30" s="43">
        <f t="shared" si="14"/>
        <v>0.94921299702683937</v>
      </c>
    </row>
    <row r="31" spans="1:21" x14ac:dyDescent="0.3">
      <c r="A31" s="31">
        <v>15</v>
      </c>
      <c r="B31" s="31">
        <f t="shared" si="1"/>
        <v>0.97499999999999998</v>
      </c>
      <c r="C31" s="31">
        <f t="shared" si="2"/>
        <v>0.81299999999999994</v>
      </c>
      <c r="D31" s="31">
        <f t="shared" si="3"/>
        <v>0.83299999999999996</v>
      </c>
      <c r="E31" s="31">
        <f t="shared" si="4"/>
        <v>0.84499999999999997</v>
      </c>
      <c r="F31" s="31">
        <v>33</v>
      </c>
      <c r="G31" s="31">
        <f t="shared" si="5"/>
        <v>0.96199999999999997</v>
      </c>
      <c r="H31" s="31">
        <f t="shared" si="6"/>
        <v>0.80500000000000005</v>
      </c>
      <c r="I31" s="31">
        <f t="shared" si="7"/>
        <v>0.78300000000000003</v>
      </c>
      <c r="J31" s="31">
        <f t="shared" si="8"/>
        <v>0.82899999999999996</v>
      </c>
      <c r="L31">
        <v>15</v>
      </c>
      <c r="M31">
        <f t="shared" si="9"/>
        <v>0.97499999999999998</v>
      </c>
      <c r="N31">
        <f t="shared" si="10"/>
        <v>0.81299999999999994</v>
      </c>
      <c r="O31" s="43">
        <f t="shared" si="11"/>
        <v>0.94113147179855383</v>
      </c>
      <c r="P31" s="43">
        <f t="shared" si="12"/>
        <v>0.94921299702683937</v>
      </c>
      <c r="R31">
        <v>0.83299999999999996</v>
      </c>
      <c r="S31">
        <v>0.84499999999999997</v>
      </c>
      <c r="T31" s="43">
        <f t="shared" si="13"/>
        <v>0.94113147179855383</v>
      </c>
      <c r="U31" s="43">
        <f t="shared" si="14"/>
        <v>0.94921299702683937</v>
      </c>
    </row>
    <row r="32" spans="1:21" x14ac:dyDescent="0.3">
      <c r="A32" s="31">
        <v>16</v>
      </c>
      <c r="B32" s="31">
        <f t="shared" si="1"/>
        <v>0.97399999999999998</v>
      </c>
      <c r="C32" s="31">
        <f t="shared" si="2"/>
        <v>0.81299999999999994</v>
      </c>
      <c r="D32" s="31">
        <f t="shared" si="3"/>
        <v>0.83299999999999996</v>
      </c>
      <c r="E32" s="31">
        <f t="shared" si="4"/>
        <v>0.84499999999999997</v>
      </c>
      <c r="F32" s="31">
        <v>34</v>
      </c>
      <c r="G32" s="31">
        <f t="shared" si="5"/>
        <v>0.96099999999999997</v>
      </c>
      <c r="H32" s="31">
        <f t="shared" si="6"/>
        <v>0.80500000000000005</v>
      </c>
      <c r="I32" s="31">
        <f t="shared" si="7"/>
        <v>0.78300000000000003</v>
      </c>
      <c r="J32" s="31">
        <f t="shared" si="8"/>
        <v>0.82899999999999996</v>
      </c>
      <c r="L32">
        <v>16</v>
      </c>
      <c r="M32">
        <f t="shared" si="9"/>
        <v>0.97399999999999998</v>
      </c>
      <c r="N32">
        <f t="shared" si="10"/>
        <v>0.81299999999999994</v>
      </c>
      <c r="O32" s="43">
        <f t="shared" si="11"/>
        <v>0.94113147179855383</v>
      </c>
      <c r="P32" s="43">
        <f t="shared" si="12"/>
        <v>0.94921299702683937</v>
      </c>
      <c r="R32">
        <v>0.83299999999999996</v>
      </c>
      <c r="S32">
        <v>0.84499999999999997</v>
      </c>
      <c r="T32" s="43">
        <f t="shared" si="13"/>
        <v>0.94113147179855383</v>
      </c>
      <c r="U32" s="43">
        <f t="shared" si="14"/>
        <v>0.94921299702683937</v>
      </c>
    </row>
    <row r="33" spans="1:21" ht="14.5" thickBot="1" x14ac:dyDescent="0.35">
      <c r="A33" s="33">
        <v>17</v>
      </c>
      <c r="B33" s="31">
        <f t="shared" si="1"/>
        <v>0.97299999999999998</v>
      </c>
      <c r="C33" s="31">
        <f t="shared" si="2"/>
        <v>0.81299999999999994</v>
      </c>
      <c r="D33" s="31">
        <f t="shared" si="3"/>
        <v>0.82699999999999996</v>
      </c>
      <c r="E33" s="31">
        <f t="shared" si="4"/>
        <v>0.84499999999999997</v>
      </c>
      <c r="F33" s="33">
        <v>35</v>
      </c>
      <c r="G33" s="31">
        <f t="shared" si="5"/>
        <v>0.96099999999999997</v>
      </c>
      <c r="H33" s="31">
        <f t="shared" si="6"/>
        <v>0.80500000000000005</v>
      </c>
      <c r="I33" s="31">
        <f t="shared" si="7"/>
        <v>0.78300000000000003</v>
      </c>
      <c r="J33" s="31">
        <f t="shared" si="8"/>
        <v>0.82899999999999996</v>
      </c>
      <c r="L33">
        <v>17</v>
      </c>
      <c r="M33">
        <f t="shared" si="9"/>
        <v>0.97299999999999998</v>
      </c>
      <c r="N33">
        <f t="shared" si="10"/>
        <v>0.81299999999999994</v>
      </c>
      <c r="O33" s="43">
        <f t="shared" si="11"/>
        <v>0.9390875012545985</v>
      </c>
      <c r="P33" s="43">
        <f t="shared" si="12"/>
        <v>0.94921299702683937</v>
      </c>
      <c r="R33">
        <v>0.82699999999999996</v>
      </c>
      <c r="S33">
        <v>0.84499999999999997</v>
      </c>
      <c r="T33" s="43">
        <f t="shared" si="13"/>
        <v>0.9390875012545985</v>
      </c>
      <c r="U33" s="43">
        <f t="shared" si="14"/>
        <v>0.94921299702683937</v>
      </c>
    </row>
    <row r="34" spans="1:21" ht="15" thickTop="1" thickBot="1" x14ac:dyDescent="0.35">
      <c r="L34">
        <v>18</v>
      </c>
      <c r="M34">
        <f>G16</f>
        <v>0.97299999999999998</v>
      </c>
      <c r="N34">
        <f t="shared" ref="N34" si="15">H16</f>
        <v>0.81299999999999994</v>
      </c>
      <c r="O34" s="43">
        <f t="shared" si="11"/>
        <v>0.9390875012545985</v>
      </c>
      <c r="P34" s="43">
        <f t="shared" si="12"/>
        <v>0.94921299702683937</v>
      </c>
      <c r="R34">
        <v>0.82699999999999996</v>
      </c>
      <c r="S34">
        <v>0.84499999999999997</v>
      </c>
      <c r="T34" s="43">
        <f t="shared" si="13"/>
        <v>0.9390875012545985</v>
      </c>
      <c r="U34" s="43">
        <f t="shared" si="14"/>
        <v>0.94921299702683937</v>
      </c>
    </row>
    <row r="35" spans="1:21" ht="14.5" thickTop="1" x14ac:dyDescent="0.3">
      <c r="A35" s="47" t="s">
        <v>69</v>
      </c>
      <c r="B35" s="3" t="s">
        <v>56</v>
      </c>
      <c r="C35" s="3" t="s">
        <v>71</v>
      </c>
      <c r="D35" s="3" t="s">
        <v>72</v>
      </c>
      <c r="E35" s="47" t="s">
        <v>4</v>
      </c>
      <c r="F35" s="47" t="s">
        <v>69</v>
      </c>
      <c r="G35" s="3" t="s">
        <v>56</v>
      </c>
      <c r="H35" s="3" t="s">
        <v>71</v>
      </c>
      <c r="I35" s="3" t="s">
        <v>72</v>
      </c>
      <c r="J35" s="47" t="s">
        <v>4</v>
      </c>
      <c r="L35">
        <v>19</v>
      </c>
      <c r="M35">
        <f t="shared" ref="M35:M51" si="16">G17</f>
        <v>0.97199999999999998</v>
      </c>
      <c r="N35">
        <f t="shared" ref="N35:N51" si="17">H17</f>
        <v>0.81299999999999994</v>
      </c>
      <c r="O35" s="43">
        <f t="shared" si="11"/>
        <v>0.93568088368133961</v>
      </c>
      <c r="P35" s="43">
        <f t="shared" si="12"/>
        <v>0.94575472707483432</v>
      </c>
      <c r="R35">
        <v>0.81699999999999995</v>
      </c>
      <c r="S35">
        <v>0.83399999999999996</v>
      </c>
      <c r="T35" s="43">
        <f t="shared" si="13"/>
        <v>0.93568088368133961</v>
      </c>
      <c r="U35" s="43">
        <f t="shared" si="14"/>
        <v>0.94575472707483432</v>
      </c>
    </row>
    <row r="36" spans="1:21" x14ac:dyDescent="0.3">
      <c r="A36" s="49"/>
      <c r="B36" s="30" t="s">
        <v>70</v>
      </c>
      <c r="C36" s="30" t="s">
        <v>70</v>
      </c>
      <c r="D36" s="30" t="s">
        <v>70</v>
      </c>
      <c r="E36" s="49"/>
      <c r="F36" s="49"/>
      <c r="G36" s="30" t="s">
        <v>70</v>
      </c>
      <c r="H36" s="30" t="s">
        <v>70</v>
      </c>
      <c r="I36" s="30" t="s">
        <v>70</v>
      </c>
      <c r="J36" s="49"/>
      <c r="L36">
        <v>20</v>
      </c>
      <c r="M36">
        <f t="shared" si="16"/>
        <v>0.97</v>
      </c>
      <c r="N36">
        <f t="shared" si="17"/>
        <v>0.81100000000000005</v>
      </c>
      <c r="O36" s="43">
        <f t="shared" si="11"/>
        <v>0.93397757489471023</v>
      </c>
      <c r="P36" s="43">
        <f t="shared" si="12"/>
        <v>0.94575472707483432</v>
      </c>
      <c r="R36">
        <v>0.81200000000000006</v>
      </c>
      <c r="S36">
        <v>0.83399999999999996</v>
      </c>
      <c r="T36" s="43">
        <f t="shared" si="13"/>
        <v>0.93397757489471023</v>
      </c>
      <c r="U36" s="43">
        <f t="shared" si="14"/>
        <v>0.94575472707483432</v>
      </c>
    </row>
    <row r="37" spans="1:21" ht="14.5" thickBot="1" x14ac:dyDescent="0.35">
      <c r="A37" s="48"/>
      <c r="B37" s="4" t="s">
        <v>5</v>
      </c>
      <c r="C37" s="4" t="s">
        <v>5</v>
      </c>
      <c r="D37" s="4" t="s">
        <v>5</v>
      </c>
      <c r="E37" s="48"/>
      <c r="F37" s="48"/>
      <c r="G37" s="4" t="s">
        <v>5</v>
      </c>
      <c r="H37" s="4" t="s">
        <v>5</v>
      </c>
      <c r="I37" s="4" t="s">
        <v>5</v>
      </c>
      <c r="J37" s="48"/>
      <c r="L37">
        <v>21</v>
      </c>
      <c r="M37">
        <f t="shared" si="16"/>
        <v>0.96899999999999997</v>
      </c>
      <c r="N37">
        <f t="shared" si="17"/>
        <v>0.81100000000000005</v>
      </c>
      <c r="O37" s="43">
        <f t="shared" si="11"/>
        <v>0.93397757489471023</v>
      </c>
      <c r="P37" s="43">
        <f t="shared" si="12"/>
        <v>0.94575472707483432</v>
      </c>
      <c r="R37">
        <v>0.81200000000000006</v>
      </c>
      <c r="S37">
        <v>0.83399999999999996</v>
      </c>
      <c r="T37" s="43">
        <f>(R37-R36)/R$52*T$52+T36</f>
        <v>0.93397757489471023</v>
      </c>
      <c r="U37" s="43">
        <f>(S37-S36)/S$52*U$52+U36</f>
        <v>0.94575472707483432</v>
      </c>
    </row>
    <row r="38" spans="1:21" x14ac:dyDescent="0.3">
      <c r="A38" s="31">
        <v>0</v>
      </c>
      <c r="B38" s="31">
        <v>183.53800000000001</v>
      </c>
      <c r="C38" s="31">
        <v>175.79900000000001</v>
      </c>
      <c r="D38" s="31">
        <v>359.33800000000002</v>
      </c>
      <c r="E38" s="31">
        <v>1</v>
      </c>
      <c r="F38" s="31">
        <v>18</v>
      </c>
      <c r="G38" s="31">
        <v>178.815</v>
      </c>
      <c r="H38" s="31">
        <v>170.67599999999999</v>
      </c>
      <c r="I38" s="31">
        <v>349.49200000000002</v>
      </c>
      <c r="J38" s="31">
        <v>0.97299999999999998</v>
      </c>
      <c r="L38">
        <v>22</v>
      </c>
      <c r="M38">
        <f t="shared" si="16"/>
        <v>0.96799999999999997</v>
      </c>
      <c r="N38">
        <f t="shared" si="17"/>
        <v>0.81100000000000005</v>
      </c>
      <c r="O38" s="43">
        <f t="shared" si="11"/>
        <v>0.9319336043507549</v>
      </c>
      <c r="P38" s="43">
        <f t="shared" si="12"/>
        <v>0.94575472707483432</v>
      </c>
      <c r="R38">
        <v>0.80600000000000005</v>
      </c>
      <c r="S38">
        <v>0.83399999999999996</v>
      </c>
      <c r="T38" s="43">
        <f t="shared" ref="T38:T51" si="18">(R38-R37)/R$52*T$52+T37</f>
        <v>0.9319336043507549</v>
      </c>
      <c r="U38" s="43">
        <f t="shared" ref="U38:U51" si="19">(S38-S37)/S$52*U$52+U37</f>
        <v>0.94575472707483432</v>
      </c>
    </row>
    <row r="39" spans="1:21" x14ac:dyDescent="0.3">
      <c r="A39" s="31">
        <v>1</v>
      </c>
      <c r="B39" s="31">
        <v>181.80799999999999</v>
      </c>
      <c r="C39" s="31">
        <v>174.08699999999999</v>
      </c>
      <c r="D39" s="31">
        <v>355.89499999999998</v>
      </c>
      <c r="E39" s="31">
        <v>0.99</v>
      </c>
      <c r="F39" s="31">
        <v>19</v>
      </c>
      <c r="G39" s="31">
        <v>178.935</v>
      </c>
      <c r="H39" s="31">
        <v>170.482</v>
      </c>
      <c r="I39" s="31">
        <v>349.41699999999997</v>
      </c>
      <c r="J39" s="31">
        <v>0.97199999999999998</v>
      </c>
      <c r="L39">
        <v>23</v>
      </c>
      <c r="M39">
        <f t="shared" si="16"/>
        <v>0.96699999999999997</v>
      </c>
      <c r="N39">
        <f t="shared" si="17"/>
        <v>0.81100000000000005</v>
      </c>
      <c r="O39" s="43">
        <f t="shared" si="11"/>
        <v>0.93125228083610312</v>
      </c>
      <c r="P39" s="43">
        <f t="shared" si="12"/>
        <v>0.94575472707483432</v>
      </c>
      <c r="R39">
        <v>0.80400000000000005</v>
      </c>
      <c r="S39">
        <v>0.83399999999999996</v>
      </c>
      <c r="T39" s="43">
        <f t="shared" si="18"/>
        <v>0.93125228083610312</v>
      </c>
      <c r="U39" s="43">
        <f t="shared" si="19"/>
        <v>0.94575472707483432</v>
      </c>
    </row>
    <row r="40" spans="1:21" x14ac:dyDescent="0.3">
      <c r="A40" s="31">
        <v>2</v>
      </c>
      <c r="B40" s="31">
        <v>181.476</v>
      </c>
      <c r="C40" s="31">
        <v>173.76499999999999</v>
      </c>
      <c r="D40" s="31">
        <v>355.24099999999999</v>
      </c>
      <c r="E40" s="31">
        <v>0.98899999999999999</v>
      </c>
      <c r="F40" s="31">
        <v>20</v>
      </c>
      <c r="G40" s="31">
        <v>178.36099999999999</v>
      </c>
      <c r="H40" s="31">
        <v>170.26499999999999</v>
      </c>
      <c r="I40" s="31">
        <v>348.62599999999998</v>
      </c>
      <c r="J40" s="31">
        <v>0.97</v>
      </c>
      <c r="L40">
        <v>24</v>
      </c>
      <c r="M40">
        <f t="shared" si="16"/>
        <v>0.96699999999999997</v>
      </c>
      <c r="N40">
        <f t="shared" si="17"/>
        <v>0.81100000000000005</v>
      </c>
      <c r="O40" s="43">
        <f t="shared" si="11"/>
        <v>0.92954897204947362</v>
      </c>
      <c r="P40" s="43">
        <f t="shared" si="12"/>
        <v>0.94575472707483432</v>
      </c>
      <c r="R40">
        <v>0.79900000000000004</v>
      </c>
      <c r="S40">
        <v>0.83399999999999996</v>
      </c>
      <c r="T40" s="43">
        <f t="shared" si="18"/>
        <v>0.92954897204947362</v>
      </c>
      <c r="U40" s="43">
        <f t="shared" si="19"/>
        <v>0.94575472707483432</v>
      </c>
    </row>
    <row r="41" spans="1:21" x14ac:dyDescent="0.3">
      <c r="A41" s="31">
        <v>3</v>
      </c>
      <c r="B41" s="31">
        <v>180.017</v>
      </c>
      <c r="C41" s="31">
        <v>173.40799999999999</v>
      </c>
      <c r="D41" s="31">
        <v>353.42500000000001</v>
      </c>
      <c r="E41" s="31">
        <v>0.98399999999999999</v>
      </c>
      <c r="F41" s="31">
        <v>21</v>
      </c>
      <c r="G41" s="31">
        <v>178.15299999999999</v>
      </c>
      <c r="H41" s="31">
        <v>170.14</v>
      </c>
      <c r="I41" s="31">
        <v>348.29300000000001</v>
      </c>
      <c r="J41" s="31">
        <v>0.96899999999999997</v>
      </c>
      <c r="L41">
        <v>25</v>
      </c>
      <c r="M41">
        <f t="shared" si="16"/>
        <v>0.96499999999999997</v>
      </c>
      <c r="N41">
        <f t="shared" si="17"/>
        <v>0.81100000000000005</v>
      </c>
      <c r="O41" s="43">
        <f t="shared" si="11"/>
        <v>0.92886764853482184</v>
      </c>
      <c r="P41" s="43">
        <f t="shared" si="12"/>
        <v>0.94575472707483432</v>
      </c>
      <c r="R41">
        <v>0.79700000000000004</v>
      </c>
      <c r="S41">
        <v>0.83399999999999996</v>
      </c>
      <c r="T41" s="43">
        <f t="shared" si="18"/>
        <v>0.92886764853482184</v>
      </c>
      <c r="U41" s="43">
        <f t="shared" si="19"/>
        <v>0.94575472707483432</v>
      </c>
    </row>
    <row r="42" spans="1:21" x14ac:dyDescent="0.3">
      <c r="A42" s="31">
        <v>4</v>
      </c>
      <c r="B42" s="31">
        <v>180.81299999999999</v>
      </c>
      <c r="C42" s="31">
        <v>172.351</v>
      </c>
      <c r="D42" s="31">
        <v>353.16399999999999</v>
      </c>
      <c r="E42" s="31">
        <v>0.98299999999999998</v>
      </c>
      <c r="F42" s="31">
        <v>22</v>
      </c>
      <c r="G42" s="31">
        <v>178.024</v>
      </c>
      <c r="H42" s="31">
        <v>169.86</v>
      </c>
      <c r="I42" s="31">
        <v>347.88499999999999</v>
      </c>
      <c r="J42" s="31">
        <v>0.96799999999999997</v>
      </c>
      <c r="L42">
        <v>26</v>
      </c>
      <c r="M42">
        <f t="shared" si="16"/>
        <v>0.96199999999999997</v>
      </c>
      <c r="N42">
        <f t="shared" si="17"/>
        <v>0.81100000000000005</v>
      </c>
      <c r="O42" s="43">
        <f t="shared" si="11"/>
        <v>0.92750500150551829</v>
      </c>
      <c r="P42" s="43">
        <f t="shared" si="12"/>
        <v>0.94575472707483432</v>
      </c>
      <c r="R42">
        <v>0.79300000000000004</v>
      </c>
      <c r="S42">
        <v>0.83399999999999996</v>
      </c>
      <c r="T42" s="43">
        <f t="shared" si="18"/>
        <v>0.92750500150551829</v>
      </c>
      <c r="U42" s="43">
        <f t="shared" si="19"/>
        <v>0.94575472707483432</v>
      </c>
    </row>
    <row r="43" spans="1:21" x14ac:dyDescent="0.3">
      <c r="A43" s="31">
        <v>5</v>
      </c>
      <c r="B43" s="31">
        <v>180.624</v>
      </c>
      <c r="C43" s="31">
        <v>172.51900000000001</v>
      </c>
      <c r="D43" s="31">
        <v>353.142</v>
      </c>
      <c r="E43" s="31">
        <v>0.98299999999999998</v>
      </c>
      <c r="F43" s="31">
        <v>23</v>
      </c>
      <c r="G43" s="31">
        <v>177.68299999999999</v>
      </c>
      <c r="H43" s="31">
        <v>169.63900000000001</v>
      </c>
      <c r="I43" s="31">
        <v>347.322</v>
      </c>
      <c r="J43" s="31">
        <v>0.96699999999999997</v>
      </c>
      <c r="L43">
        <v>27</v>
      </c>
      <c r="M43">
        <f t="shared" si="16"/>
        <v>0.96199999999999997</v>
      </c>
      <c r="N43">
        <f t="shared" si="17"/>
        <v>0.81100000000000005</v>
      </c>
      <c r="O43" s="43">
        <f t="shared" si="11"/>
        <v>0.92750500150551829</v>
      </c>
      <c r="P43" s="43">
        <f t="shared" si="12"/>
        <v>0.94575472707483432</v>
      </c>
      <c r="R43">
        <v>0.79300000000000004</v>
      </c>
      <c r="S43">
        <v>0.83399999999999996</v>
      </c>
      <c r="T43" s="43">
        <f t="shared" si="18"/>
        <v>0.92750500150551829</v>
      </c>
      <c r="U43" s="43">
        <f t="shared" si="19"/>
        <v>0.94575472707483432</v>
      </c>
    </row>
    <row r="44" spans="1:21" x14ac:dyDescent="0.3">
      <c r="A44" s="31">
        <v>6</v>
      </c>
      <c r="B44" s="31">
        <v>179.91</v>
      </c>
      <c r="C44" s="31">
        <v>172.46899999999999</v>
      </c>
      <c r="D44" s="31">
        <v>352.37900000000002</v>
      </c>
      <c r="E44" s="31">
        <v>0.98099999999999998</v>
      </c>
      <c r="F44" s="31">
        <v>24</v>
      </c>
      <c r="G44" s="31">
        <v>177.68299999999999</v>
      </c>
      <c r="H44" s="31">
        <v>169.63900000000001</v>
      </c>
      <c r="I44" s="31">
        <v>347.322</v>
      </c>
      <c r="J44" s="31">
        <v>0.96699999999999997</v>
      </c>
      <c r="L44">
        <v>28</v>
      </c>
      <c r="M44">
        <f t="shared" si="16"/>
        <v>0.96199999999999997</v>
      </c>
      <c r="N44">
        <f t="shared" si="17"/>
        <v>0.80800000000000005</v>
      </c>
      <c r="O44" s="43">
        <f t="shared" si="11"/>
        <v>0.92580169271888879</v>
      </c>
      <c r="P44" s="43">
        <f t="shared" si="12"/>
        <v>0.94575472707483432</v>
      </c>
      <c r="R44">
        <v>0.78800000000000003</v>
      </c>
      <c r="S44">
        <v>0.83399999999999996</v>
      </c>
      <c r="T44" s="43">
        <f t="shared" si="18"/>
        <v>0.92580169271888879</v>
      </c>
      <c r="U44" s="43">
        <f t="shared" si="19"/>
        <v>0.94575472707483432</v>
      </c>
    </row>
    <row r="45" spans="1:21" x14ac:dyDescent="0.3">
      <c r="A45" s="31">
        <v>7</v>
      </c>
      <c r="B45" s="31">
        <v>179.91</v>
      </c>
      <c r="C45" s="31">
        <v>172.46899999999999</v>
      </c>
      <c r="D45" s="31">
        <v>352.37900000000002</v>
      </c>
      <c r="E45" s="31">
        <v>0.98099999999999998</v>
      </c>
      <c r="F45" s="31">
        <v>25</v>
      </c>
      <c r="G45" s="31">
        <v>177.23400000000001</v>
      </c>
      <c r="H45" s="31">
        <v>169.57499999999999</v>
      </c>
      <c r="I45" s="31">
        <v>346.81</v>
      </c>
      <c r="J45" s="31">
        <v>0.96499999999999997</v>
      </c>
      <c r="L45">
        <v>29</v>
      </c>
      <c r="M45">
        <f t="shared" si="16"/>
        <v>0.96199999999999997</v>
      </c>
      <c r="N45">
        <f t="shared" si="17"/>
        <v>0.80800000000000005</v>
      </c>
      <c r="O45" s="43">
        <f t="shared" si="11"/>
        <v>0.92580169271888879</v>
      </c>
      <c r="P45" s="43">
        <f t="shared" si="12"/>
        <v>0.94575472707483432</v>
      </c>
      <c r="R45">
        <v>0.78800000000000003</v>
      </c>
      <c r="S45">
        <v>0.83399999999999996</v>
      </c>
      <c r="T45" s="43">
        <f t="shared" si="18"/>
        <v>0.92580169271888879</v>
      </c>
      <c r="U45" s="43">
        <f t="shared" si="19"/>
        <v>0.94575472707483432</v>
      </c>
    </row>
    <row r="46" spans="1:21" x14ac:dyDescent="0.3">
      <c r="A46" s="31">
        <v>8</v>
      </c>
      <c r="B46" s="31">
        <v>179.91</v>
      </c>
      <c r="C46" s="31">
        <v>172.46899999999999</v>
      </c>
      <c r="D46" s="31">
        <v>352.37900000000002</v>
      </c>
      <c r="E46" s="31">
        <v>0.98099999999999998</v>
      </c>
      <c r="F46" s="31">
        <v>26</v>
      </c>
      <c r="G46" s="31">
        <v>176.98099999999999</v>
      </c>
      <c r="H46" s="31">
        <v>168.541</v>
      </c>
      <c r="I46" s="31">
        <v>345.52199999999999</v>
      </c>
      <c r="J46" s="31">
        <v>0.96199999999999997</v>
      </c>
      <c r="L46">
        <v>30</v>
      </c>
      <c r="M46">
        <f t="shared" si="16"/>
        <v>0.96199999999999997</v>
      </c>
      <c r="N46">
        <f t="shared" si="17"/>
        <v>0.80600000000000005</v>
      </c>
      <c r="O46" s="43">
        <f t="shared" si="11"/>
        <v>0.92477970744691107</v>
      </c>
      <c r="P46" s="43">
        <f t="shared" si="12"/>
        <v>0.94575472707483432</v>
      </c>
      <c r="R46">
        <v>0.78500000000000003</v>
      </c>
      <c r="S46">
        <v>0.83399999999999996</v>
      </c>
      <c r="T46" s="43">
        <f t="shared" si="18"/>
        <v>0.92477970744691107</v>
      </c>
      <c r="U46" s="43">
        <f t="shared" si="19"/>
        <v>0.94575472707483432</v>
      </c>
    </row>
    <row r="47" spans="1:21" x14ac:dyDescent="0.3">
      <c r="A47" s="31">
        <v>9</v>
      </c>
      <c r="B47" s="31">
        <v>179.964</v>
      </c>
      <c r="C47" s="31">
        <v>172.215</v>
      </c>
      <c r="D47" s="31">
        <v>352.17899999999997</v>
      </c>
      <c r="E47" s="31">
        <v>0.98</v>
      </c>
      <c r="F47" s="31">
        <v>27</v>
      </c>
      <c r="G47" s="31">
        <v>176.98099999999999</v>
      </c>
      <c r="H47" s="31">
        <v>168.541</v>
      </c>
      <c r="I47" s="31">
        <v>345.52199999999999</v>
      </c>
      <c r="J47" s="31">
        <v>0.96199999999999997</v>
      </c>
      <c r="L47">
        <v>31</v>
      </c>
      <c r="M47">
        <f t="shared" si="16"/>
        <v>0.96199999999999997</v>
      </c>
      <c r="N47">
        <f t="shared" si="17"/>
        <v>0.80500000000000005</v>
      </c>
      <c r="O47" s="43">
        <f t="shared" si="11"/>
        <v>0.92443904568958513</v>
      </c>
      <c r="P47" s="43">
        <f t="shared" si="12"/>
        <v>0.94575472707483432</v>
      </c>
      <c r="R47">
        <v>0.78400000000000003</v>
      </c>
      <c r="S47">
        <v>0.83399999999999996</v>
      </c>
      <c r="T47" s="43">
        <f t="shared" si="18"/>
        <v>0.92443904568958513</v>
      </c>
      <c r="U47" s="43">
        <f t="shared" si="19"/>
        <v>0.94575472707483432</v>
      </c>
    </row>
    <row r="48" spans="1:21" x14ac:dyDescent="0.3">
      <c r="A48" s="31">
        <v>10</v>
      </c>
      <c r="B48" s="31">
        <v>180.023</v>
      </c>
      <c r="C48" s="31">
        <v>171.96600000000001</v>
      </c>
      <c r="D48" s="31">
        <v>351.99</v>
      </c>
      <c r="E48" s="31">
        <v>0.98</v>
      </c>
      <c r="F48" s="31">
        <v>28</v>
      </c>
      <c r="G48" s="31">
        <v>176.98099999999999</v>
      </c>
      <c r="H48" s="31">
        <v>168.541</v>
      </c>
      <c r="I48" s="31">
        <v>345.52199999999999</v>
      </c>
      <c r="J48" s="31">
        <v>0.96199999999999997</v>
      </c>
      <c r="L48">
        <v>32</v>
      </c>
      <c r="M48">
        <f t="shared" si="16"/>
        <v>0.96199999999999997</v>
      </c>
      <c r="N48">
        <f t="shared" si="17"/>
        <v>0.80500000000000005</v>
      </c>
      <c r="O48" s="43">
        <f t="shared" si="11"/>
        <v>0.92443904568958513</v>
      </c>
      <c r="P48" s="43">
        <f t="shared" si="12"/>
        <v>0.94512595071992433</v>
      </c>
      <c r="R48">
        <v>0.78400000000000003</v>
      </c>
      <c r="S48">
        <v>0.83199999999999996</v>
      </c>
      <c r="T48" s="43">
        <f t="shared" si="18"/>
        <v>0.92443904568958513</v>
      </c>
      <c r="U48" s="43">
        <f t="shared" si="19"/>
        <v>0.94512595071992433</v>
      </c>
    </row>
    <row r="49" spans="1:21" x14ac:dyDescent="0.3">
      <c r="A49" s="31">
        <v>11</v>
      </c>
      <c r="B49" s="31">
        <v>180.023</v>
      </c>
      <c r="C49" s="31">
        <v>171.96600000000001</v>
      </c>
      <c r="D49" s="31">
        <v>351.99</v>
      </c>
      <c r="E49" s="31">
        <v>0.98</v>
      </c>
      <c r="F49" s="31">
        <v>29</v>
      </c>
      <c r="G49" s="31">
        <v>176.98099999999999</v>
      </c>
      <c r="H49" s="31">
        <v>168.541</v>
      </c>
      <c r="I49" s="31">
        <v>345.52199999999999</v>
      </c>
      <c r="J49" s="31">
        <v>0.96199999999999997</v>
      </c>
      <c r="L49">
        <v>33</v>
      </c>
      <c r="M49">
        <f t="shared" si="16"/>
        <v>0.96199999999999997</v>
      </c>
      <c r="N49">
        <f t="shared" si="17"/>
        <v>0.80500000000000005</v>
      </c>
      <c r="O49" s="43">
        <f t="shared" si="11"/>
        <v>0.92409838393225918</v>
      </c>
      <c r="P49" s="43">
        <f t="shared" si="12"/>
        <v>0.94418278618755935</v>
      </c>
      <c r="R49">
        <v>0.78300000000000003</v>
      </c>
      <c r="S49">
        <v>0.82899999999999996</v>
      </c>
      <c r="T49" s="43">
        <f t="shared" si="18"/>
        <v>0.92409838393225918</v>
      </c>
      <c r="U49" s="43">
        <f t="shared" si="19"/>
        <v>0.94418278618755935</v>
      </c>
    </row>
    <row r="50" spans="1:21" x14ac:dyDescent="0.3">
      <c r="A50" s="31">
        <v>12</v>
      </c>
      <c r="B50" s="31">
        <v>180.023</v>
      </c>
      <c r="C50" s="31">
        <v>171.96600000000001</v>
      </c>
      <c r="D50" s="31">
        <v>351.99</v>
      </c>
      <c r="E50" s="31">
        <v>0.98</v>
      </c>
      <c r="F50" s="31">
        <v>30</v>
      </c>
      <c r="G50" s="31">
        <v>176.98099999999999</v>
      </c>
      <c r="H50" s="31">
        <v>168.541</v>
      </c>
      <c r="I50" s="31">
        <v>345.52199999999999</v>
      </c>
      <c r="J50" s="31">
        <v>0.96199999999999997</v>
      </c>
      <c r="L50">
        <v>34</v>
      </c>
      <c r="M50">
        <f t="shared" si="16"/>
        <v>0.96099999999999997</v>
      </c>
      <c r="N50">
        <f t="shared" si="17"/>
        <v>0.80500000000000005</v>
      </c>
      <c r="O50" s="43">
        <f t="shared" si="11"/>
        <v>0.92409838393225918</v>
      </c>
      <c r="P50" s="43">
        <f t="shared" si="12"/>
        <v>0.94418278618755935</v>
      </c>
      <c r="R50">
        <v>0.78300000000000003</v>
      </c>
      <c r="S50">
        <v>0.82899999999999996</v>
      </c>
      <c r="T50" s="43">
        <f t="shared" si="18"/>
        <v>0.92409838393225918</v>
      </c>
      <c r="U50" s="43">
        <f t="shared" si="19"/>
        <v>0.94418278618755935</v>
      </c>
    </row>
    <row r="51" spans="1:21" x14ac:dyDescent="0.3">
      <c r="A51" s="31">
        <v>13</v>
      </c>
      <c r="B51" s="31">
        <v>179.31899999999999</v>
      </c>
      <c r="C51" s="31">
        <v>171.74</v>
      </c>
      <c r="D51" s="31">
        <v>351.06</v>
      </c>
      <c r="E51" s="31">
        <v>0.97699999999999998</v>
      </c>
      <c r="F51" s="31">
        <v>31</v>
      </c>
      <c r="G51" s="31">
        <v>176.98099999999999</v>
      </c>
      <c r="H51" s="31">
        <v>168.541</v>
      </c>
      <c r="I51" s="31">
        <v>345.52199999999999</v>
      </c>
      <c r="J51" s="31">
        <v>0.96199999999999997</v>
      </c>
      <c r="L51">
        <v>35</v>
      </c>
      <c r="M51">
        <f t="shared" si="16"/>
        <v>0.96099999999999997</v>
      </c>
      <c r="N51">
        <f t="shared" si="17"/>
        <v>0.80500000000000005</v>
      </c>
      <c r="O51" s="43">
        <f t="shared" si="11"/>
        <v>0.92409838393225918</v>
      </c>
      <c r="P51" s="43">
        <f t="shared" si="12"/>
        <v>0.94418278618755935</v>
      </c>
      <c r="R51">
        <v>0.78300000000000003</v>
      </c>
      <c r="S51">
        <v>0.82899999999999996</v>
      </c>
      <c r="T51" s="43">
        <f t="shared" si="18"/>
        <v>0.92409838393225918</v>
      </c>
      <c r="U51" s="43">
        <f t="shared" si="19"/>
        <v>0.94418278618755935</v>
      </c>
    </row>
    <row r="52" spans="1:21" x14ac:dyDescent="0.3">
      <c r="A52" s="31">
        <v>14</v>
      </c>
      <c r="B52" s="31">
        <v>179.07499999999999</v>
      </c>
      <c r="C52" s="31">
        <v>171.667</v>
      </c>
      <c r="D52" s="31">
        <v>350.74200000000002</v>
      </c>
      <c r="E52" s="31">
        <v>0.97599999999999998</v>
      </c>
      <c r="F52" s="31">
        <v>32</v>
      </c>
      <c r="G52" s="31">
        <v>176.98099999999999</v>
      </c>
      <c r="H52" s="31">
        <v>168.541</v>
      </c>
      <c r="I52" s="31">
        <v>345.52199999999999</v>
      </c>
      <c r="J52" s="31">
        <v>0.96199999999999997</v>
      </c>
      <c r="R52">
        <f>R51-R16</f>
        <v>-0.21399999999999997</v>
      </c>
      <c r="S52">
        <f>S51-S16</f>
        <v>-0.16800000000000004</v>
      </c>
      <c r="T52">
        <f>T13-R16</f>
        <v>-7.2901616067740593E-2</v>
      </c>
      <c r="U52">
        <f>U13-S16</f>
        <v>-5.2817213812440644E-2</v>
      </c>
    </row>
    <row r="53" spans="1:21" x14ac:dyDescent="0.3">
      <c r="A53" s="31">
        <v>15</v>
      </c>
      <c r="B53" s="31">
        <v>178.92500000000001</v>
      </c>
      <c r="C53" s="31">
        <v>171.30199999999999</v>
      </c>
      <c r="D53" s="31">
        <v>350.226</v>
      </c>
      <c r="E53" s="31">
        <v>0.97499999999999998</v>
      </c>
      <c r="F53" s="31">
        <v>33</v>
      </c>
      <c r="G53" s="31">
        <v>176.98099999999999</v>
      </c>
      <c r="H53" s="31">
        <v>168.541</v>
      </c>
      <c r="I53" s="31">
        <v>345.52199999999999</v>
      </c>
      <c r="J53" s="31">
        <v>0.96199999999999997</v>
      </c>
    </row>
    <row r="54" spans="1:21" x14ac:dyDescent="0.3">
      <c r="A54" s="31">
        <v>16</v>
      </c>
      <c r="B54" s="31">
        <v>179.31200000000001</v>
      </c>
      <c r="C54" s="31">
        <v>170.64400000000001</v>
      </c>
      <c r="D54" s="31">
        <v>349.95600000000002</v>
      </c>
      <c r="E54" s="31">
        <v>0.97399999999999998</v>
      </c>
      <c r="F54" s="31">
        <v>34</v>
      </c>
      <c r="G54" s="31">
        <v>176.92400000000001</v>
      </c>
      <c r="H54" s="31">
        <v>168.476</v>
      </c>
      <c r="I54" s="31">
        <v>345.399</v>
      </c>
      <c r="J54" s="31">
        <v>0.96099999999999997</v>
      </c>
    </row>
    <row r="55" spans="1:21" ht="14.5" thickBot="1" x14ac:dyDescent="0.35">
      <c r="A55" s="33">
        <v>17</v>
      </c>
      <c r="B55" s="33">
        <v>179.148</v>
      </c>
      <c r="C55" s="33">
        <v>170.63</v>
      </c>
      <c r="D55" s="33">
        <v>349.77800000000002</v>
      </c>
      <c r="E55" s="33">
        <v>0.97299999999999998</v>
      </c>
      <c r="F55" s="33">
        <v>35</v>
      </c>
      <c r="G55" s="33">
        <v>176.899</v>
      </c>
      <c r="H55" s="33">
        <v>168.43899999999999</v>
      </c>
      <c r="I55" s="33">
        <v>345.33800000000002</v>
      </c>
      <c r="J55" s="33">
        <v>0.96099999999999997</v>
      </c>
    </row>
    <row r="56" spans="1:21" ht="15" thickTop="1" thickBot="1" x14ac:dyDescent="0.35"/>
    <row r="57" spans="1:21" ht="14.5" thickTop="1" x14ac:dyDescent="0.3">
      <c r="A57" s="47" t="s">
        <v>69</v>
      </c>
      <c r="B57" s="3" t="s">
        <v>56</v>
      </c>
      <c r="C57" s="3" t="s">
        <v>71</v>
      </c>
      <c r="D57" s="3" t="s">
        <v>72</v>
      </c>
      <c r="E57" s="47" t="s">
        <v>4</v>
      </c>
      <c r="F57" s="47" t="s">
        <v>69</v>
      </c>
      <c r="G57" s="3" t="s">
        <v>56</v>
      </c>
      <c r="H57" s="3" t="s">
        <v>71</v>
      </c>
      <c r="I57" s="3" t="s">
        <v>72</v>
      </c>
      <c r="J57" s="47" t="s">
        <v>4</v>
      </c>
    </row>
    <row r="58" spans="1:21" x14ac:dyDescent="0.3">
      <c r="A58" s="49"/>
      <c r="B58" s="30" t="s">
        <v>70</v>
      </c>
      <c r="C58" s="30" t="s">
        <v>70</v>
      </c>
      <c r="D58" s="30" t="s">
        <v>70</v>
      </c>
      <c r="E58" s="49"/>
      <c r="F58" s="49"/>
      <c r="G58" s="30" t="s">
        <v>70</v>
      </c>
      <c r="H58" s="30" t="s">
        <v>70</v>
      </c>
      <c r="I58" s="30" t="s">
        <v>70</v>
      </c>
      <c r="J58" s="49"/>
    </row>
    <row r="59" spans="1:21" ht="14.5" thickBot="1" x14ac:dyDescent="0.35">
      <c r="A59" s="48"/>
      <c r="B59" s="4" t="s">
        <v>5</v>
      </c>
      <c r="C59" s="4" t="s">
        <v>5</v>
      </c>
      <c r="D59" s="4" t="s">
        <v>5</v>
      </c>
      <c r="E59" s="48"/>
      <c r="F59" s="48"/>
      <c r="G59" s="4" t="s">
        <v>5</v>
      </c>
      <c r="H59" s="4" t="s">
        <v>5</v>
      </c>
      <c r="I59" s="4" t="s">
        <v>5</v>
      </c>
      <c r="J59" s="48"/>
    </row>
    <row r="60" spans="1:21" x14ac:dyDescent="0.3">
      <c r="A60" s="31">
        <v>0</v>
      </c>
      <c r="B60" s="31">
        <v>173.096</v>
      </c>
      <c r="C60" s="31">
        <v>167.41</v>
      </c>
      <c r="D60" s="31">
        <v>340.50599999999997</v>
      </c>
      <c r="E60" s="31">
        <v>0.92400000000000004</v>
      </c>
      <c r="F60" s="31">
        <v>18</v>
      </c>
      <c r="G60" s="31">
        <v>149.886</v>
      </c>
      <c r="H60" s="31">
        <v>149.78899999999999</v>
      </c>
      <c r="I60" s="31">
        <v>299.67500000000001</v>
      </c>
      <c r="J60" s="31">
        <v>0.81299999999999994</v>
      </c>
    </row>
    <row r="61" spans="1:21" x14ac:dyDescent="0.3">
      <c r="A61" s="31">
        <v>1</v>
      </c>
      <c r="B61" s="31">
        <v>156.708</v>
      </c>
      <c r="C61" s="31">
        <v>145.33799999999999</v>
      </c>
      <c r="D61" s="31">
        <v>302.04700000000003</v>
      </c>
      <c r="E61" s="31">
        <v>0.82</v>
      </c>
      <c r="F61" s="31">
        <v>19</v>
      </c>
      <c r="G61" s="31">
        <v>149.886</v>
      </c>
      <c r="H61" s="31">
        <v>149.78899999999999</v>
      </c>
      <c r="I61" s="31">
        <v>299.67500000000001</v>
      </c>
      <c r="J61" s="31">
        <v>0.81299999999999994</v>
      </c>
    </row>
    <row r="62" spans="1:21" x14ac:dyDescent="0.3">
      <c r="A62" s="31">
        <v>2</v>
      </c>
      <c r="B62" s="31">
        <v>153.21100000000001</v>
      </c>
      <c r="C62" s="31">
        <v>146.60400000000001</v>
      </c>
      <c r="D62" s="31">
        <v>299.815</v>
      </c>
      <c r="E62" s="31">
        <v>0.81399999999999995</v>
      </c>
      <c r="F62" s="31">
        <v>20</v>
      </c>
      <c r="G62" s="31">
        <v>148.48099999999999</v>
      </c>
      <c r="H62" s="31">
        <v>150.35499999999999</v>
      </c>
      <c r="I62" s="31">
        <v>298.83600000000001</v>
      </c>
      <c r="J62" s="31">
        <v>0.81100000000000005</v>
      </c>
    </row>
    <row r="63" spans="1:21" x14ac:dyDescent="0.3">
      <c r="A63" s="31">
        <v>3</v>
      </c>
      <c r="B63" s="31">
        <v>153.21100000000001</v>
      </c>
      <c r="C63" s="31">
        <v>146.60400000000001</v>
      </c>
      <c r="D63" s="31">
        <v>299.815</v>
      </c>
      <c r="E63" s="31">
        <v>0.81399999999999995</v>
      </c>
      <c r="F63" s="31">
        <v>21</v>
      </c>
      <c r="G63" s="31">
        <v>148.48099999999999</v>
      </c>
      <c r="H63" s="31">
        <v>150.35499999999999</v>
      </c>
      <c r="I63" s="31">
        <v>298.83600000000001</v>
      </c>
      <c r="J63" s="31">
        <v>0.81100000000000005</v>
      </c>
    </row>
    <row r="64" spans="1:21" x14ac:dyDescent="0.3">
      <c r="A64" s="31">
        <v>4</v>
      </c>
      <c r="B64" s="31">
        <v>149.886</v>
      </c>
      <c r="C64" s="31">
        <v>149.78899999999999</v>
      </c>
      <c r="D64" s="31">
        <v>299.67500000000001</v>
      </c>
      <c r="E64" s="31">
        <v>0.81299999999999994</v>
      </c>
      <c r="F64" s="31">
        <v>22</v>
      </c>
      <c r="G64" s="31">
        <v>148.48099999999999</v>
      </c>
      <c r="H64" s="31">
        <v>150.35499999999999</v>
      </c>
      <c r="I64" s="31">
        <v>298.83600000000001</v>
      </c>
      <c r="J64" s="31">
        <v>0.81100000000000005</v>
      </c>
    </row>
    <row r="65" spans="1:10" x14ac:dyDescent="0.3">
      <c r="A65" s="31">
        <v>5</v>
      </c>
      <c r="B65" s="31">
        <v>149.886</v>
      </c>
      <c r="C65" s="31">
        <v>149.78899999999999</v>
      </c>
      <c r="D65" s="31">
        <v>299.67500000000001</v>
      </c>
      <c r="E65" s="31">
        <v>0.81299999999999994</v>
      </c>
      <c r="F65" s="31">
        <v>23</v>
      </c>
      <c r="G65" s="31">
        <v>148.48099999999999</v>
      </c>
      <c r="H65" s="31">
        <v>150.35499999999999</v>
      </c>
      <c r="I65" s="31">
        <v>298.83600000000001</v>
      </c>
      <c r="J65" s="31">
        <v>0.81100000000000005</v>
      </c>
    </row>
    <row r="66" spans="1:10" x14ac:dyDescent="0.3">
      <c r="A66" s="31">
        <v>6</v>
      </c>
      <c r="B66" s="31">
        <v>149.886</v>
      </c>
      <c r="C66" s="31">
        <v>149.78899999999999</v>
      </c>
      <c r="D66" s="31">
        <v>299.67500000000001</v>
      </c>
      <c r="E66" s="31">
        <v>0.81299999999999994</v>
      </c>
      <c r="F66" s="31">
        <v>24</v>
      </c>
      <c r="G66" s="31">
        <v>148.48099999999999</v>
      </c>
      <c r="H66" s="31">
        <v>150.35499999999999</v>
      </c>
      <c r="I66" s="31">
        <v>298.83600000000001</v>
      </c>
      <c r="J66" s="31">
        <v>0.81100000000000005</v>
      </c>
    </row>
    <row r="67" spans="1:10" x14ac:dyDescent="0.3">
      <c r="A67" s="31">
        <v>7</v>
      </c>
      <c r="B67" s="31">
        <v>149.886</v>
      </c>
      <c r="C67" s="31">
        <v>149.78899999999999</v>
      </c>
      <c r="D67" s="31">
        <v>299.67500000000001</v>
      </c>
      <c r="E67" s="31">
        <v>0.81299999999999994</v>
      </c>
      <c r="F67" s="31">
        <v>25</v>
      </c>
      <c r="G67" s="31">
        <v>148.48099999999999</v>
      </c>
      <c r="H67" s="31">
        <v>150.35499999999999</v>
      </c>
      <c r="I67" s="31">
        <v>298.83600000000001</v>
      </c>
      <c r="J67" s="31">
        <v>0.81100000000000005</v>
      </c>
    </row>
    <row r="68" spans="1:10" x14ac:dyDescent="0.3">
      <c r="A68" s="31">
        <v>8</v>
      </c>
      <c r="B68" s="31">
        <v>149.886</v>
      </c>
      <c r="C68" s="31">
        <v>149.78899999999999</v>
      </c>
      <c r="D68" s="31">
        <v>299.67500000000001</v>
      </c>
      <c r="E68" s="31">
        <v>0.81299999999999994</v>
      </c>
      <c r="F68" s="31">
        <v>26</v>
      </c>
      <c r="G68" s="31">
        <v>148.48099999999999</v>
      </c>
      <c r="H68" s="31">
        <v>150.35499999999999</v>
      </c>
      <c r="I68" s="31">
        <v>298.83600000000001</v>
      </c>
      <c r="J68" s="31">
        <v>0.81100000000000005</v>
      </c>
    </row>
    <row r="69" spans="1:10" x14ac:dyDescent="0.3">
      <c r="A69" s="31">
        <v>9</v>
      </c>
      <c r="B69" s="31">
        <v>149.886</v>
      </c>
      <c r="C69" s="31">
        <v>149.78899999999999</v>
      </c>
      <c r="D69" s="31">
        <v>299.67500000000001</v>
      </c>
      <c r="E69" s="31">
        <v>0.81299999999999994</v>
      </c>
      <c r="F69" s="31">
        <v>27</v>
      </c>
      <c r="G69" s="31">
        <v>148.48099999999999</v>
      </c>
      <c r="H69" s="31">
        <v>150.35499999999999</v>
      </c>
      <c r="I69" s="31">
        <v>298.83600000000001</v>
      </c>
      <c r="J69" s="31">
        <v>0.81100000000000005</v>
      </c>
    </row>
    <row r="70" spans="1:10" x14ac:dyDescent="0.3">
      <c r="A70" s="31">
        <v>10</v>
      </c>
      <c r="B70" s="31">
        <v>149.886</v>
      </c>
      <c r="C70" s="31">
        <v>149.78899999999999</v>
      </c>
      <c r="D70" s="31">
        <v>299.67500000000001</v>
      </c>
      <c r="E70" s="31">
        <v>0.81299999999999994</v>
      </c>
      <c r="F70" s="31">
        <v>28</v>
      </c>
      <c r="G70" s="31">
        <v>148.667</v>
      </c>
      <c r="H70" s="31">
        <v>149.08600000000001</v>
      </c>
      <c r="I70" s="31">
        <v>297.75299999999999</v>
      </c>
      <c r="J70" s="31">
        <v>0.80800000000000005</v>
      </c>
    </row>
    <row r="71" spans="1:10" x14ac:dyDescent="0.3">
      <c r="A71" s="31">
        <v>11</v>
      </c>
      <c r="B71" s="31">
        <v>149.886</v>
      </c>
      <c r="C71" s="31">
        <v>149.78899999999999</v>
      </c>
      <c r="D71" s="31">
        <v>299.67500000000001</v>
      </c>
      <c r="E71" s="31">
        <v>0.81299999999999994</v>
      </c>
      <c r="F71" s="31">
        <v>29</v>
      </c>
      <c r="G71" s="31">
        <v>148.32499999999999</v>
      </c>
      <c r="H71" s="31">
        <v>149.423</v>
      </c>
      <c r="I71" s="31">
        <v>297.74799999999999</v>
      </c>
      <c r="J71" s="31">
        <v>0.80800000000000005</v>
      </c>
    </row>
    <row r="72" spans="1:10" x14ac:dyDescent="0.3">
      <c r="A72" s="31">
        <v>12</v>
      </c>
      <c r="B72" s="31">
        <v>149.886</v>
      </c>
      <c r="C72" s="31">
        <v>149.78899999999999</v>
      </c>
      <c r="D72" s="31">
        <v>299.67500000000001</v>
      </c>
      <c r="E72" s="31">
        <v>0.81299999999999994</v>
      </c>
      <c r="F72" s="31">
        <v>30</v>
      </c>
      <c r="G72" s="31">
        <v>147.44999999999999</v>
      </c>
      <c r="H72" s="31">
        <v>149.57300000000001</v>
      </c>
      <c r="I72" s="31">
        <v>297.02300000000002</v>
      </c>
      <c r="J72" s="31">
        <v>0.80600000000000005</v>
      </c>
    </row>
    <row r="73" spans="1:10" x14ac:dyDescent="0.3">
      <c r="A73" s="31">
        <v>13</v>
      </c>
      <c r="B73" s="31">
        <v>149.886</v>
      </c>
      <c r="C73" s="31">
        <v>149.78899999999999</v>
      </c>
      <c r="D73" s="31">
        <v>299.67500000000001</v>
      </c>
      <c r="E73" s="31">
        <v>0.81299999999999994</v>
      </c>
      <c r="F73" s="31">
        <v>31</v>
      </c>
      <c r="G73" s="31">
        <v>147.923</v>
      </c>
      <c r="H73" s="31">
        <v>148.78</v>
      </c>
      <c r="I73" s="31">
        <v>296.70299999999997</v>
      </c>
      <c r="J73" s="31">
        <v>0.80500000000000005</v>
      </c>
    </row>
    <row r="74" spans="1:10" x14ac:dyDescent="0.3">
      <c r="A74" s="31">
        <v>14</v>
      </c>
      <c r="B74" s="31">
        <v>149.886</v>
      </c>
      <c r="C74" s="31">
        <v>149.78899999999999</v>
      </c>
      <c r="D74" s="31">
        <v>299.67500000000001</v>
      </c>
      <c r="E74" s="31">
        <v>0.81299999999999994</v>
      </c>
      <c r="F74" s="31">
        <v>32</v>
      </c>
      <c r="G74" s="31">
        <v>147.923</v>
      </c>
      <c r="H74" s="31">
        <v>148.78</v>
      </c>
      <c r="I74" s="31">
        <v>296.70299999999997</v>
      </c>
      <c r="J74" s="31">
        <v>0.80500000000000005</v>
      </c>
    </row>
    <row r="75" spans="1:10" x14ac:dyDescent="0.3">
      <c r="A75" s="31">
        <v>15</v>
      </c>
      <c r="B75" s="31">
        <v>149.886</v>
      </c>
      <c r="C75" s="31">
        <v>149.78899999999999</v>
      </c>
      <c r="D75" s="31">
        <v>299.67500000000001</v>
      </c>
      <c r="E75" s="31">
        <v>0.81299999999999994</v>
      </c>
      <c r="F75" s="31">
        <v>33</v>
      </c>
      <c r="G75" s="31">
        <v>148.09</v>
      </c>
      <c r="H75" s="31">
        <v>148.565</v>
      </c>
      <c r="I75" s="31">
        <v>296.65499999999997</v>
      </c>
      <c r="J75" s="31">
        <v>0.80500000000000005</v>
      </c>
    </row>
    <row r="76" spans="1:10" x14ac:dyDescent="0.3">
      <c r="A76" s="31">
        <v>16</v>
      </c>
      <c r="B76" s="31">
        <v>149.886</v>
      </c>
      <c r="C76" s="31">
        <v>149.78899999999999</v>
      </c>
      <c r="D76" s="31">
        <v>299.67500000000001</v>
      </c>
      <c r="E76" s="31">
        <v>0.81299999999999994</v>
      </c>
      <c r="F76" s="31">
        <v>34</v>
      </c>
      <c r="G76" s="31">
        <v>147.93299999999999</v>
      </c>
      <c r="H76" s="31">
        <v>148.55500000000001</v>
      </c>
      <c r="I76" s="31">
        <v>296.488</v>
      </c>
      <c r="J76" s="31">
        <v>0.80500000000000005</v>
      </c>
    </row>
    <row r="77" spans="1:10" ht="14.5" thickBot="1" x14ac:dyDescent="0.35">
      <c r="A77" s="33">
        <v>17</v>
      </c>
      <c r="B77" s="33">
        <v>149.886</v>
      </c>
      <c r="C77" s="33">
        <v>149.78899999999999</v>
      </c>
      <c r="D77" s="33">
        <v>299.67500000000001</v>
      </c>
      <c r="E77" s="33">
        <v>0.81299999999999994</v>
      </c>
      <c r="F77" s="33">
        <v>35</v>
      </c>
      <c r="G77" s="33">
        <v>147.93299999999999</v>
      </c>
      <c r="H77" s="33">
        <v>148.55500000000001</v>
      </c>
      <c r="I77" s="33">
        <v>296.488</v>
      </c>
      <c r="J77" s="33">
        <v>0.80500000000000005</v>
      </c>
    </row>
    <row r="78" spans="1:10" ht="15" thickTop="1" thickBot="1" x14ac:dyDescent="0.35"/>
    <row r="79" spans="1:10" ht="14.5" thickTop="1" x14ac:dyDescent="0.3">
      <c r="A79" s="47" t="s">
        <v>69</v>
      </c>
      <c r="B79" s="3" t="s">
        <v>56</v>
      </c>
      <c r="C79" s="3" t="s">
        <v>71</v>
      </c>
      <c r="D79" s="3" t="s">
        <v>72</v>
      </c>
      <c r="E79" s="47" t="s">
        <v>4</v>
      </c>
      <c r="F79" s="47" t="s">
        <v>69</v>
      </c>
      <c r="G79" s="3" t="s">
        <v>56</v>
      </c>
      <c r="H79" s="3" t="s">
        <v>71</v>
      </c>
      <c r="I79" s="3" t="s">
        <v>72</v>
      </c>
      <c r="J79" s="47" t="s">
        <v>4</v>
      </c>
    </row>
    <row r="80" spans="1:10" x14ac:dyDescent="0.3">
      <c r="A80" s="49"/>
      <c r="B80" s="30" t="s">
        <v>70</v>
      </c>
      <c r="C80" s="30" t="s">
        <v>70</v>
      </c>
      <c r="D80" s="30" t="s">
        <v>70</v>
      </c>
      <c r="E80" s="49"/>
      <c r="F80" s="49"/>
      <c r="G80" s="30" t="s">
        <v>70</v>
      </c>
      <c r="H80" s="30" t="s">
        <v>70</v>
      </c>
      <c r="I80" s="30" t="s">
        <v>70</v>
      </c>
      <c r="J80" s="49"/>
    </row>
    <row r="81" spans="1:10" ht="14.5" thickBot="1" x14ac:dyDescent="0.35">
      <c r="A81" s="48"/>
      <c r="B81" s="4" t="s">
        <v>5</v>
      </c>
      <c r="C81" s="4" t="s">
        <v>5</v>
      </c>
      <c r="D81" s="4" t="s">
        <v>5</v>
      </c>
      <c r="E81" s="48"/>
      <c r="F81" s="48"/>
      <c r="G81" s="4" t="s">
        <v>5</v>
      </c>
      <c r="H81" s="4" t="s">
        <v>5</v>
      </c>
      <c r="I81" s="4" t="s">
        <v>5</v>
      </c>
      <c r="J81" s="48"/>
    </row>
    <row r="82" spans="1:10" x14ac:dyDescent="0.3">
      <c r="A82" s="31">
        <v>0</v>
      </c>
      <c r="B82" s="31">
        <v>159.56700000000001</v>
      </c>
      <c r="C82" s="31">
        <v>149.34100000000001</v>
      </c>
      <c r="D82" s="31">
        <v>308.90800000000002</v>
      </c>
      <c r="E82" s="31">
        <v>0.997</v>
      </c>
      <c r="F82" s="31">
        <v>18</v>
      </c>
      <c r="G82" s="31">
        <v>134.04300000000001</v>
      </c>
      <c r="H82" s="31">
        <v>122.294</v>
      </c>
      <c r="I82" s="31">
        <v>256.33699999999999</v>
      </c>
      <c r="J82" s="31">
        <v>0.82699999999999996</v>
      </c>
    </row>
    <row r="83" spans="1:10" x14ac:dyDescent="0.3">
      <c r="A83" s="31">
        <v>1</v>
      </c>
      <c r="B83" s="31">
        <v>140.88200000000001</v>
      </c>
      <c r="C83" s="31">
        <v>129.624</v>
      </c>
      <c r="D83" s="31">
        <v>270.50599999999997</v>
      </c>
      <c r="E83" s="31">
        <v>0.873</v>
      </c>
      <c r="F83" s="31">
        <v>19</v>
      </c>
      <c r="G83" s="31">
        <v>133.84100000000001</v>
      </c>
      <c r="H83" s="31">
        <v>119.258</v>
      </c>
      <c r="I83" s="31">
        <v>253.09899999999999</v>
      </c>
      <c r="J83" s="31">
        <v>0.81699999999999995</v>
      </c>
    </row>
    <row r="84" spans="1:10" x14ac:dyDescent="0.3">
      <c r="A84" s="31">
        <v>2</v>
      </c>
      <c r="B84" s="31">
        <v>139.66300000000001</v>
      </c>
      <c r="C84" s="31">
        <v>126.88</v>
      </c>
      <c r="D84" s="31">
        <v>266.54300000000001</v>
      </c>
      <c r="E84" s="31">
        <v>0.86</v>
      </c>
      <c r="F84" s="31">
        <v>20</v>
      </c>
      <c r="G84" s="31">
        <v>132.35900000000001</v>
      </c>
      <c r="H84" s="31">
        <v>119.20699999999999</v>
      </c>
      <c r="I84" s="31">
        <v>251.566</v>
      </c>
      <c r="J84" s="31">
        <v>0.81200000000000006</v>
      </c>
    </row>
    <row r="85" spans="1:10" x14ac:dyDescent="0.3">
      <c r="A85" s="31">
        <v>3</v>
      </c>
      <c r="B85" s="31">
        <v>139.47999999999999</v>
      </c>
      <c r="C85" s="31">
        <v>125.96899999999999</v>
      </c>
      <c r="D85" s="31">
        <v>265.44900000000001</v>
      </c>
      <c r="E85" s="31">
        <v>0.85699999999999998</v>
      </c>
      <c r="F85" s="31">
        <v>21</v>
      </c>
      <c r="G85" s="31">
        <v>132.35900000000001</v>
      </c>
      <c r="H85" s="31">
        <v>119.20699999999999</v>
      </c>
      <c r="I85" s="31">
        <v>251.566</v>
      </c>
      <c r="J85" s="31">
        <v>0.81200000000000006</v>
      </c>
    </row>
    <row r="86" spans="1:10" x14ac:dyDescent="0.3">
      <c r="A86" s="31">
        <v>4</v>
      </c>
      <c r="B86" s="31">
        <v>139.47999999999999</v>
      </c>
      <c r="C86" s="31">
        <v>125.96899999999999</v>
      </c>
      <c r="D86" s="31">
        <v>265.44900000000001</v>
      </c>
      <c r="E86" s="31">
        <v>0.85699999999999998</v>
      </c>
      <c r="F86" s="31">
        <v>22</v>
      </c>
      <c r="G86" s="31">
        <v>130.989</v>
      </c>
      <c r="H86" s="31">
        <v>118.816</v>
      </c>
      <c r="I86" s="31">
        <v>249.80500000000001</v>
      </c>
      <c r="J86" s="31">
        <v>0.80600000000000005</v>
      </c>
    </row>
    <row r="87" spans="1:10" x14ac:dyDescent="0.3">
      <c r="A87" s="31">
        <v>5</v>
      </c>
      <c r="B87" s="31">
        <v>137.667</v>
      </c>
      <c r="C87" s="31">
        <v>125.964</v>
      </c>
      <c r="D87" s="31">
        <v>263.63</v>
      </c>
      <c r="E87" s="31">
        <v>0.85099999999999998</v>
      </c>
      <c r="F87" s="31">
        <v>23</v>
      </c>
      <c r="G87" s="31">
        <v>131.471</v>
      </c>
      <c r="H87" s="31">
        <v>117.60299999999999</v>
      </c>
      <c r="I87" s="31">
        <v>249.07499999999999</v>
      </c>
      <c r="J87" s="31">
        <v>0.80400000000000005</v>
      </c>
    </row>
    <row r="88" spans="1:10" x14ac:dyDescent="0.3">
      <c r="A88" s="31">
        <v>6</v>
      </c>
      <c r="B88" s="31">
        <v>137.75800000000001</v>
      </c>
      <c r="C88" s="31">
        <v>124.848</v>
      </c>
      <c r="D88" s="31">
        <v>262.60599999999999</v>
      </c>
      <c r="E88" s="31">
        <v>0.84699999999999998</v>
      </c>
      <c r="F88" s="31">
        <v>24</v>
      </c>
      <c r="G88" s="31">
        <v>130.15799999999999</v>
      </c>
      <c r="H88" s="31">
        <v>117.339</v>
      </c>
      <c r="I88" s="31">
        <v>247.49700000000001</v>
      </c>
      <c r="J88" s="31">
        <v>0.79900000000000004</v>
      </c>
    </row>
    <row r="89" spans="1:10" x14ac:dyDescent="0.3">
      <c r="A89" s="31">
        <v>7</v>
      </c>
      <c r="B89" s="31">
        <v>137.75800000000001</v>
      </c>
      <c r="C89" s="31">
        <v>124.848</v>
      </c>
      <c r="D89" s="31">
        <v>262.60599999999999</v>
      </c>
      <c r="E89" s="31">
        <v>0.84699999999999998</v>
      </c>
      <c r="F89" s="31">
        <v>25</v>
      </c>
      <c r="G89" s="31">
        <v>129.72300000000001</v>
      </c>
      <c r="H89" s="31">
        <v>117.208</v>
      </c>
      <c r="I89" s="31">
        <v>246.93100000000001</v>
      </c>
      <c r="J89" s="31">
        <v>0.79700000000000004</v>
      </c>
    </row>
    <row r="90" spans="1:10" x14ac:dyDescent="0.3">
      <c r="A90" s="31">
        <v>8</v>
      </c>
      <c r="B90" s="31">
        <v>137.75800000000001</v>
      </c>
      <c r="C90" s="31">
        <v>124.848</v>
      </c>
      <c r="D90" s="31">
        <v>262.60599999999999</v>
      </c>
      <c r="E90" s="31">
        <v>0.84699999999999998</v>
      </c>
      <c r="F90" s="31">
        <v>26</v>
      </c>
      <c r="G90" s="31">
        <v>127.855</v>
      </c>
      <c r="H90" s="31">
        <v>117.85</v>
      </c>
      <c r="I90" s="31">
        <v>245.70500000000001</v>
      </c>
      <c r="J90" s="31">
        <v>0.79300000000000004</v>
      </c>
    </row>
    <row r="91" spans="1:10" x14ac:dyDescent="0.3">
      <c r="A91" s="31">
        <v>9</v>
      </c>
      <c r="B91" s="31">
        <v>137.75800000000001</v>
      </c>
      <c r="C91" s="31">
        <v>124.848</v>
      </c>
      <c r="D91" s="31">
        <v>262.60599999999999</v>
      </c>
      <c r="E91" s="31">
        <v>0.84699999999999998</v>
      </c>
      <c r="F91" s="31">
        <v>27</v>
      </c>
      <c r="G91" s="31">
        <v>127.855</v>
      </c>
      <c r="H91" s="31">
        <v>117.85</v>
      </c>
      <c r="I91" s="31">
        <v>245.70500000000001</v>
      </c>
      <c r="J91" s="31">
        <v>0.79300000000000004</v>
      </c>
    </row>
    <row r="92" spans="1:10" x14ac:dyDescent="0.3">
      <c r="A92" s="31">
        <v>10</v>
      </c>
      <c r="B92" s="31">
        <v>137.75800000000001</v>
      </c>
      <c r="C92" s="31">
        <v>124.848</v>
      </c>
      <c r="D92" s="31">
        <v>262.60599999999999</v>
      </c>
      <c r="E92" s="31">
        <v>0.84699999999999998</v>
      </c>
      <c r="F92" s="31">
        <v>28</v>
      </c>
      <c r="G92" s="31">
        <v>127.77</v>
      </c>
      <c r="H92" s="31">
        <v>116.50700000000001</v>
      </c>
      <c r="I92" s="31">
        <v>244.27699999999999</v>
      </c>
      <c r="J92" s="31">
        <v>0.78800000000000003</v>
      </c>
    </row>
    <row r="93" spans="1:10" x14ac:dyDescent="0.3">
      <c r="A93" s="31">
        <v>11</v>
      </c>
      <c r="B93" s="31">
        <v>135.88800000000001</v>
      </c>
      <c r="C93" s="31">
        <v>126.389</v>
      </c>
      <c r="D93" s="31">
        <v>262.27699999999999</v>
      </c>
      <c r="E93" s="31">
        <v>0.84599999999999997</v>
      </c>
      <c r="F93" s="31">
        <v>29</v>
      </c>
      <c r="G93" s="31">
        <v>127.77</v>
      </c>
      <c r="H93" s="31">
        <v>116.50700000000001</v>
      </c>
      <c r="I93" s="31">
        <v>244.27699999999999</v>
      </c>
      <c r="J93" s="31">
        <v>0.78800000000000003</v>
      </c>
    </row>
    <row r="94" spans="1:10" x14ac:dyDescent="0.3">
      <c r="A94" s="31">
        <v>12</v>
      </c>
      <c r="B94" s="31">
        <v>135.88800000000001</v>
      </c>
      <c r="C94" s="31">
        <v>126.389</v>
      </c>
      <c r="D94" s="31">
        <v>262.27699999999999</v>
      </c>
      <c r="E94" s="31">
        <v>0.84599999999999997</v>
      </c>
      <c r="F94" s="31">
        <v>30</v>
      </c>
      <c r="G94" s="31">
        <v>127.089</v>
      </c>
      <c r="H94" s="31">
        <v>116.23699999999999</v>
      </c>
      <c r="I94" s="31">
        <v>243.32599999999999</v>
      </c>
      <c r="J94" s="31">
        <v>0.78500000000000003</v>
      </c>
    </row>
    <row r="95" spans="1:10" x14ac:dyDescent="0.3">
      <c r="A95" s="31">
        <v>13</v>
      </c>
      <c r="B95" s="31">
        <v>136.52199999999999</v>
      </c>
      <c r="C95" s="31">
        <v>122.861</v>
      </c>
      <c r="D95" s="31">
        <v>259.38299999999998</v>
      </c>
      <c r="E95" s="31">
        <v>0.83699999999999997</v>
      </c>
      <c r="F95" s="31">
        <v>31</v>
      </c>
      <c r="G95" s="31">
        <v>126.93300000000001</v>
      </c>
      <c r="H95" s="31">
        <v>116.015</v>
      </c>
      <c r="I95" s="31">
        <v>242.94800000000001</v>
      </c>
      <c r="J95" s="31">
        <v>0.78400000000000003</v>
      </c>
    </row>
    <row r="96" spans="1:10" x14ac:dyDescent="0.3">
      <c r="A96" s="31">
        <v>14</v>
      </c>
      <c r="B96" s="31">
        <v>136.52199999999999</v>
      </c>
      <c r="C96" s="31">
        <v>122.861</v>
      </c>
      <c r="D96" s="31">
        <v>259.38299999999998</v>
      </c>
      <c r="E96" s="31">
        <v>0.83699999999999997</v>
      </c>
      <c r="F96" s="31">
        <v>32</v>
      </c>
      <c r="G96" s="31">
        <v>126.93300000000001</v>
      </c>
      <c r="H96" s="31">
        <v>116.015</v>
      </c>
      <c r="I96" s="31">
        <v>242.94800000000001</v>
      </c>
      <c r="J96" s="31">
        <v>0.78400000000000003</v>
      </c>
    </row>
    <row r="97" spans="1:10" x14ac:dyDescent="0.3">
      <c r="A97" s="31">
        <v>15</v>
      </c>
      <c r="B97" s="31">
        <v>134.999</v>
      </c>
      <c r="C97" s="31">
        <v>123.27800000000001</v>
      </c>
      <c r="D97" s="31">
        <v>258.27699999999999</v>
      </c>
      <c r="E97" s="31">
        <v>0.83299999999999996</v>
      </c>
      <c r="F97" s="31">
        <v>33</v>
      </c>
      <c r="G97" s="31">
        <v>126.86799999999999</v>
      </c>
      <c r="H97" s="31">
        <v>115.842</v>
      </c>
      <c r="I97" s="31">
        <v>242.71</v>
      </c>
      <c r="J97" s="31">
        <v>0.78300000000000003</v>
      </c>
    </row>
    <row r="98" spans="1:10" x14ac:dyDescent="0.3">
      <c r="A98" s="31">
        <v>16</v>
      </c>
      <c r="B98" s="31">
        <v>136.46899999999999</v>
      </c>
      <c r="C98" s="31">
        <v>121.779</v>
      </c>
      <c r="D98" s="31">
        <v>258.24799999999999</v>
      </c>
      <c r="E98" s="31">
        <v>0.83299999999999996</v>
      </c>
      <c r="F98" s="31">
        <v>34</v>
      </c>
      <c r="G98" s="31">
        <v>126.86799999999999</v>
      </c>
      <c r="H98" s="31">
        <v>115.842</v>
      </c>
      <c r="I98" s="31">
        <v>242.71</v>
      </c>
      <c r="J98" s="31">
        <v>0.78300000000000003</v>
      </c>
    </row>
    <row r="99" spans="1:10" ht="14.5" thickBot="1" x14ac:dyDescent="0.35">
      <c r="A99" s="33">
        <v>17</v>
      </c>
      <c r="B99" s="33">
        <v>134.04300000000001</v>
      </c>
      <c r="C99" s="33">
        <v>122.294</v>
      </c>
      <c r="D99" s="33">
        <v>256.33699999999999</v>
      </c>
      <c r="E99" s="33">
        <v>0.82699999999999996</v>
      </c>
      <c r="F99" s="33">
        <v>35</v>
      </c>
      <c r="G99" s="33">
        <v>126.86799999999999</v>
      </c>
      <c r="H99" s="33">
        <v>115.842</v>
      </c>
      <c r="I99" s="33">
        <v>242.71</v>
      </c>
      <c r="J99" s="33">
        <v>0.78300000000000003</v>
      </c>
    </row>
    <row r="100" spans="1:10" ht="15" thickTop="1" thickBot="1" x14ac:dyDescent="0.35"/>
    <row r="101" spans="1:10" ht="14.5" thickTop="1" x14ac:dyDescent="0.3">
      <c r="A101" s="47" t="s">
        <v>69</v>
      </c>
      <c r="B101" s="3" t="s">
        <v>56</v>
      </c>
      <c r="C101" s="3" t="s">
        <v>71</v>
      </c>
      <c r="D101" s="3" t="s">
        <v>72</v>
      </c>
      <c r="E101" s="47" t="s">
        <v>4</v>
      </c>
      <c r="F101" s="47" t="s">
        <v>69</v>
      </c>
      <c r="G101" s="3" t="s">
        <v>56</v>
      </c>
      <c r="H101" s="3" t="s">
        <v>71</v>
      </c>
      <c r="I101" s="3" t="s">
        <v>72</v>
      </c>
      <c r="J101" s="47" t="s">
        <v>4</v>
      </c>
    </row>
    <row r="102" spans="1:10" x14ac:dyDescent="0.3">
      <c r="A102" s="49"/>
      <c r="B102" s="30" t="s">
        <v>70</v>
      </c>
      <c r="C102" s="30" t="s">
        <v>70</v>
      </c>
      <c r="D102" s="30" t="s">
        <v>70</v>
      </c>
      <c r="E102" s="49"/>
      <c r="F102" s="49"/>
      <c r="G102" s="30" t="s">
        <v>70</v>
      </c>
      <c r="H102" s="30" t="s">
        <v>70</v>
      </c>
      <c r="I102" s="30" t="s">
        <v>70</v>
      </c>
      <c r="J102" s="49"/>
    </row>
    <row r="103" spans="1:10" ht="14.5" thickBot="1" x14ac:dyDescent="0.35">
      <c r="A103" s="48"/>
      <c r="B103" s="4" t="s">
        <v>5</v>
      </c>
      <c r="C103" s="4" t="s">
        <v>5</v>
      </c>
      <c r="D103" s="4" t="s">
        <v>5</v>
      </c>
      <c r="E103" s="48"/>
      <c r="F103" s="48"/>
      <c r="G103" s="4" t="s">
        <v>5</v>
      </c>
      <c r="H103" s="4" t="s">
        <v>5</v>
      </c>
      <c r="I103" s="4" t="s">
        <v>5</v>
      </c>
      <c r="J103" s="48"/>
    </row>
    <row r="104" spans="1:10" x14ac:dyDescent="0.3">
      <c r="A104" s="31">
        <v>0</v>
      </c>
      <c r="B104" s="31">
        <v>150.238</v>
      </c>
      <c r="C104" s="31">
        <v>144.86600000000001</v>
      </c>
      <c r="D104" s="31">
        <v>295.10399999999998</v>
      </c>
      <c r="E104" s="31">
        <v>0.997</v>
      </c>
      <c r="F104" s="31">
        <v>18</v>
      </c>
      <c r="G104" s="31">
        <v>129.059</v>
      </c>
      <c r="H104" s="31">
        <v>120.878</v>
      </c>
      <c r="I104" s="31">
        <v>249.93700000000001</v>
      </c>
      <c r="J104" s="31">
        <v>0.84499999999999997</v>
      </c>
    </row>
    <row r="105" spans="1:10" x14ac:dyDescent="0.3">
      <c r="A105" s="31">
        <v>1</v>
      </c>
      <c r="B105" s="31">
        <v>136.898</v>
      </c>
      <c r="C105" s="31">
        <v>127.319</v>
      </c>
      <c r="D105" s="31">
        <v>264.21699999999998</v>
      </c>
      <c r="E105" s="31">
        <v>0.89300000000000002</v>
      </c>
      <c r="F105" s="31">
        <v>19</v>
      </c>
      <c r="G105" s="31">
        <v>128.64599999999999</v>
      </c>
      <c r="H105" s="31">
        <v>118.129</v>
      </c>
      <c r="I105" s="31">
        <v>246.774</v>
      </c>
      <c r="J105" s="31">
        <v>0.83399999999999996</v>
      </c>
    </row>
    <row r="106" spans="1:10" x14ac:dyDescent="0.3">
      <c r="A106" s="31">
        <v>2</v>
      </c>
      <c r="B106" s="31">
        <v>134.73500000000001</v>
      </c>
      <c r="C106" s="31">
        <v>124.15300000000001</v>
      </c>
      <c r="D106" s="31">
        <v>258.88799999999998</v>
      </c>
      <c r="E106" s="31">
        <v>0.875</v>
      </c>
      <c r="F106" s="31">
        <v>20</v>
      </c>
      <c r="G106" s="31">
        <v>128.64599999999999</v>
      </c>
      <c r="H106" s="31">
        <v>118.129</v>
      </c>
      <c r="I106" s="31">
        <v>246.774</v>
      </c>
      <c r="J106" s="31">
        <v>0.83399999999999996</v>
      </c>
    </row>
    <row r="107" spans="1:10" x14ac:dyDescent="0.3">
      <c r="A107" s="31">
        <v>3</v>
      </c>
      <c r="B107" s="31">
        <v>133.04</v>
      </c>
      <c r="C107" s="31">
        <v>125.48</v>
      </c>
      <c r="D107" s="31">
        <v>258.52100000000002</v>
      </c>
      <c r="E107" s="31">
        <v>0.874</v>
      </c>
      <c r="F107" s="31">
        <v>21</v>
      </c>
      <c r="G107" s="31">
        <v>128.64599999999999</v>
      </c>
      <c r="H107" s="31">
        <v>118.129</v>
      </c>
      <c r="I107" s="31">
        <v>246.774</v>
      </c>
      <c r="J107" s="31">
        <v>0.83399999999999996</v>
      </c>
    </row>
    <row r="108" spans="1:10" x14ac:dyDescent="0.3">
      <c r="A108" s="31">
        <v>4</v>
      </c>
      <c r="B108" s="31">
        <v>133.202</v>
      </c>
      <c r="C108" s="31">
        <v>124.35299999999999</v>
      </c>
      <c r="D108" s="31">
        <v>257.55500000000001</v>
      </c>
      <c r="E108" s="31">
        <v>0.87</v>
      </c>
      <c r="F108" s="31">
        <v>22</v>
      </c>
      <c r="G108" s="31">
        <v>128.64599999999999</v>
      </c>
      <c r="H108" s="31">
        <v>118.129</v>
      </c>
      <c r="I108" s="31">
        <v>246.774</v>
      </c>
      <c r="J108" s="31">
        <v>0.83399999999999996</v>
      </c>
    </row>
    <row r="109" spans="1:10" x14ac:dyDescent="0.3">
      <c r="A109" s="31">
        <v>5</v>
      </c>
      <c r="B109" s="31">
        <v>133.202</v>
      </c>
      <c r="C109" s="31">
        <v>124.35299999999999</v>
      </c>
      <c r="D109" s="31">
        <v>257.55500000000001</v>
      </c>
      <c r="E109" s="31">
        <v>0.87</v>
      </c>
      <c r="F109" s="31">
        <v>23</v>
      </c>
      <c r="G109" s="31">
        <v>128.64599999999999</v>
      </c>
      <c r="H109" s="31">
        <v>118.129</v>
      </c>
      <c r="I109" s="31">
        <v>246.774</v>
      </c>
      <c r="J109" s="31">
        <v>0.83399999999999996</v>
      </c>
    </row>
    <row r="110" spans="1:10" x14ac:dyDescent="0.3">
      <c r="A110" s="31">
        <v>6</v>
      </c>
      <c r="B110" s="31">
        <v>132.11799999999999</v>
      </c>
      <c r="C110" s="31">
        <v>123.413</v>
      </c>
      <c r="D110" s="31">
        <v>255.53100000000001</v>
      </c>
      <c r="E110" s="31">
        <v>0.86399999999999999</v>
      </c>
      <c r="F110" s="31">
        <v>24</v>
      </c>
      <c r="G110" s="31">
        <v>128.64599999999999</v>
      </c>
      <c r="H110" s="31">
        <v>118.129</v>
      </c>
      <c r="I110" s="31">
        <v>246.774</v>
      </c>
      <c r="J110" s="31">
        <v>0.83399999999999996</v>
      </c>
    </row>
    <row r="111" spans="1:10" x14ac:dyDescent="0.3">
      <c r="A111" s="31">
        <v>7</v>
      </c>
      <c r="B111" s="31">
        <v>132.06100000000001</v>
      </c>
      <c r="C111" s="31">
        <v>123.054</v>
      </c>
      <c r="D111" s="31">
        <v>255.11500000000001</v>
      </c>
      <c r="E111" s="31">
        <v>0.86199999999999999</v>
      </c>
      <c r="F111" s="31">
        <v>25</v>
      </c>
      <c r="G111" s="31">
        <v>128.64599999999999</v>
      </c>
      <c r="H111" s="31">
        <v>118.129</v>
      </c>
      <c r="I111" s="31">
        <v>246.774</v>
      </c>
      <c r="J111" s="31">
        <v>0.83399999999999996</v>
      </c>
    </row>
    <row r="112" spans="1:10" x14ac:dyDescent="0.3">
      <c r="A112" s="31">
        <v>8</v>
      </c>
      <c r="B112" s="31">
        <v>132.06100000000001</v>
      </c>
      <c r="C112" s="31">
        <v>123.054</v>
      </c>
      <c r="D112" s="31">
        <v>255.11500000000001</v>
      </c>
      <c r="E112" s="31">
        <v>0.86199999999999999</v>
      </c>
      <c r="F112" s="31">
        <v>26</v>
      </c>
      <c r="G112" s="31">
        <v>128.64599999999999</v>
      </c>
      <c r="H112" s="31">
        <v>118.129</v>
      </c>
      <c r="I112" s="31">
        <v>246.774</v>
      </c>
      <c r="J112" s="31">
        <v>0.83399999999999996</v>
      </c>
    </row>
    <row r="113" spans="1:10" x14ac:dyDescent="0.3">
      <c r="A113" s="31">
        <v>9</v>
      </c>
      <c r="B113" s="31">
        <v>131.161</v>
      </c>
      <c r="C113" s="31">
        <v>122.236</v>
      </c>
      <c r="D113" s="31">
        <v>253.39699999999999</v>
      </c>
      <c r="E113" s="31">
        <v>0.85599999999999998</v>
      </c>
      <c r="F113" s="31">
        <v>27</v>
      </c>
      <c r="G113" s="31">
        <v>128.64599999999999</v>
      </c>
      <c r="H113" s="31">
        <v>118.129</v>
      </c>
      <c r="I113" s="31">
        <v>246.774</v>
      </c>
      <c r="J113" s="31">
        <v>0.83399999999999996</v>
      </c>
    </row>
    <row r="114" spans="1:10" x14ac:dyDescent="0.3">
      <c r="A114" s="31">
        <v>10</v>
      </c>
      <c r="B114" s="31">
        <v>130.57</v>
      </c>
      <c r="C114" s="31">
        <v>122.357</v>
      </c>
      <c r="D114" s="31">
        <v>252.92699999999999</v>
      </c>
      <c r="E114" s="31">
        <v>0.85499999999999998</v>
      </c>
      <c r="F114" s="31">
        <v>28</v>
      </c>
      <c r="G114" s="31">
        <v>128.64599999999999</v>
      </c>
      <c r="H114" s="31">
        <v>118.129</v>
      </c>
      <c r="I114" s="31">
        <v>246.774</v>
      </c>
      <c r="J114" s="31">
        <v>0.83399999999999996</v>
      </c>
    </row>
    <row r="115" spans="1:10" x14ac:dyDescent="0.3">
      <c r="A115" s="31">
        <v>11</v>
      </c>
      <c r="B115" s="31">
        <v>130.68100000000001</v>
      </c>
      <c r="C115" s="31">
        <v>121.333</v>
      </c>
      <c r="D115" s="31">
        <v>252.01400000000001</v>
      </c>
      <c r="E115" s="31">
        <v>0.85199999999999998</v>
      </c>
      <c r="F115" s="31">
        <v>29</v>
      </c>
      <c r="G115" s="31">
        <v>128.64599999999999</v>
      </c>
      <c r="H115" s="31">
        <v>118.129</v>
      </c>
      <c r="I115" s="31">
        <v>246.774</v>
      </c>
      <c r="J115" s="31">
        <v>0.83399999999999996</v>
      </c>
    </row>
    <row r="116" spans="1:10" x14ac:dyDescent="0.3">
      <c r="A116" s="31">
        <v>12</v>
      </c>
      <c r="B116" s="31">
        <v>129.059</v>
      </c>
      <c r="C116" s="31">
        <v>120.878</v>
      </c>
      <c r="D116" s="31">
        <v>249.93700000000001</v>
      </c>
      <c r="E116" s="31">
        <v>0.84499999999999997</v>
      </c>
      <c r="F116" s="31">
        <v>30</v>
      </c>
      <c r="G116" s="31">
        <v>128.64599999999999</v>
      </c>
      <c r="H116" s="31">
        <v>118.129</v>
      </c>
      <c r="I116" s="31">
        <v>246.774</v>
      </c>
      <c r="J116" s="31">
        <v>0.83399999999999996</v>
      </c>
    </row>
    <row r="117" spans="1:10" x14ac:dyDescent="0.3">
      <c r="A117" s="31">
        <v>13</v>
      </c>
      <c r="B117" s="31">
        <v>129.059</v>
      </c>
      <c r="C117" s="31">
        <v>120.878</v>
      </c>
      <c r="D117" s="31">
        <v>249.93700000000001</v>
      </c>
      <c r="E117" s="31">
        <v>0.84499999999999997</v>
      </c>
      <c r="F117" s="31">
        <v>31</v>
      </c>
      <c r="G117" s="31">
        <v>128.64599999999999</v>
      </c>
      <c r="H117" s="31">
        <v>118.129</v>
      </c>
      <c r="I117" s="31">
        <v>246.774</v>
      </c>
      <c r="J117" s="31">
        <v>0.83399999999999996</v>
      </c>
    </row>
    <row r="118" spans="1:10" x14ac:dyDescent="0.3">
      <c r="A118" s="31">
        <v>14</v>
      </c>
      <c r="B118" s="31">
        <v>129.059</v>
      </c>
      <c r="C118" s="31">
        <v>120.878</v>
      </c>
      <c r="D118" s="31">
        <v>249.93700000000001</v>
      </c>
      <c r="E118" s="31">
        <v>0.84499999999999997</v>
      </c>
      <c r="F118" s="31">
        <v>32</v>
      </c>
      <c r="G118" s="31">
        <v>127.916</v>
      </c>
      <c r="H118" s="31">
        <v>118.13</v>
      </c>
      <c r="I118" s="31">
        <v>246.047</v>
      </c>
      <c r="J118" s="31">
        <v>0.83199999999999996</v>
      </c>
    </row>
    <row r="119" spans="1:10" x14ac:dyDescent="0.3">
      <c r="A119" s="31">
        <v>15</v>
      </c>
      <c r="B119" s="31">
        <v>129.059</v>
      </c>
      <c r="C119" s="31">
        <v>120.878</v>
      </c>
      <c r="D119" s="31">
        <v>249.93700000000001</v>
      </c>
      <c r="E119" s="31">
        <v>0.84499999999999997</v>
      </c>
      <c r="F119" s="31">
        <v>33</v>
      </c>
      <c r="G119" s="31">
        <v>127.501</v>
      </c>
      <c r="H119" s="31">
        <v>117.675</v>
      </c>
      <c r="I119" s="31">
        <v>245.17599999999999</v>
      </c>
      <c r="J119" s="31">
        <v>0.82899999999999996</v>
      </c>
    </row>
    <row r="120" spans="1:10" x14ac:dyDescent="0.3">
      <c r="A120" s="31">
        <v>16</v>
      </c>
      <c r="B120" s="31">
        <v>129.059</v>
      </c>
      <c r="C120" s="31">
        <v>120.878</v>
      </c>
      <c r="D120" s="31">
        <v>249.93700000000001</v>
      </c>
      <c r="E120" s="31">
        <v>0.84499999999999997</v>
      </c>
      <c r="F120" s="31">
        <v>34</v>
      </c>
      <c r="G120" s="31">
        <v>127.501</v>
      </c>
      <c r="H120" s="31">
        <v>117.675</v>
      </c>
      <c r="I120" s="31">
        <v>245.17599999999999</v>
      </c>
      <c r="J120" s="31">
        <v>0.82899999999999996</v>
      </c>
    </row>
    <row r="121" spans="1:10" ht="14.5" thickBot="1" x14ac:dyDescent="0.35">
      <c r="A121" s="33">
        <v>17</v>
      </c>
      <c r="B121" s="33">
        <v>129.059</v>
      </c>
      <c r="C121" s="33">
        <v>120.878</v>
      </c>
      <c r="D121" s="33">
        <v>249.93700000000001</v>
      </c>
      <c r="E121" s="33">
        <v>0.84499999999999997</v>
      </c>
      <c r="F121" s="33">
        <v>35</v>
      </c>
      <c r="G121" s="33">
        <v>127.501</v>
      </c>
      <c r="H121" s="33">
        <v>117.675</v>
      </c>
      <c r="I121" s="33">
        <v>245.17599999999999</v>
      </c>
      <c r="J121" s="33">
        <v>0.82899999999999996</v>
      </c>
    </row>
    <row r="122" spans="1:10" ht="14.5" thickTop="1" x14ac:dyDescent="0.3"/>
  </sheetData>
  <mergeCells count="16">
    <mergeCell ref="A35:A37"/>
    <mergeCell ref="E35:E37"/>
    <mergeCell ref="F35:F37"/>
    <mergeCell ref="J35:J37"/>
    <mergeCell ref="A101:A103"/>
    <mergeCell ref="E101:E103"/>
    <mergeCell ref="F101:F103"/>
    <mergeCell ref="J101:J103"/>
    <mergeCell ref="A57:A59"/>
    <mergeCell ref="E57:E59"/>
    <mergeCell ref="F57:F59"/>
    <mergeCell ref="J57:J59"/>
    <mergeCell ref="A79:A81"/>
    <mergeCell ref="E79:E81"/>
    <mergeCell ref="F79:F81"/>
    <mergeCell ref="J79:J81"/>
  </mergeCells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S29"/>
  <sheetViews>
    <sheetView workbookViewId="0">
      <selection activeCell="I30" sqref="I30"/>
    </sheetView>
  </sheetViews>
  <sheetFormatPr defaultRowHeight="14" x14ac:dyDescent="0.3"/>
  <cols>
    <col min="4" max="4" width="14.08203125" bestFit="1" customWidth="1"/>
    <col min="13" max="14" width="19.25" bestFit="1" customWidth="1"/>
    <col min="16" max="16" width="11.6640625" bestFit="1" customWidth="1"/>
  </cols>
  <sheetData>
    <row r="2" spans="1:19" ht="14.5" thickBot="1" x14ac:dyDescent="0.35">
      <c r="B2" t="s">
        <v>75</v>
      </c>
      <c r="F2" t="s">
        <v>90</v>
      </c>
    </row>
    <row r="3" spans="1:19" ht="28.5" thickTop="1" thickBot="1" x14ac:dyDescent="0.35">
      <c r="A3" s="24"/>
      <c r="B3" s="24" t="s">
        <v>63</v>
      </c>
      <c r="C3" s="24" t="s">
        <v>64</v>
      </c>
      <c r="D3" s="24" t="s">
        <v>65</v>
      </c>
      <c r="E3" s="24" t="s">
        <v>63</v>
      </c>
      <c r="F3" s="24" t="s">
        <v>64</v>
      </c>
      <c r="G3" s="24" t="s">
        <v>65</v>
      </c>
    </row>
    <row r="4" spans="1:19" x14ac:dyDescent="0.3">
      <c r="A4" t="s">
        <v>86</v>
      </c>
      <c r="B4" s="6">
        <f>C14</f>
        <v>158.88499999999999</v>
      </c>
      <c r="C4" s="6">
        <f>E14</f>
        <v>147.44499999999999</v>
      </c>
      <c r="D4" s="6">
        <f>B4+C4</f>
        <v>306.33</v>
      </c>
      <c r="E4" s="6">
        <f>H14</f>
        <v>152.05799999999999</v>
      </c>
      <c r="F4" s="6">
        <f>J14</f>
        <v>144.13999999999999</v>
      </c>
      <c r="G4" s="6">
        <f>F4+E4</f>
        <v>296.19799999999998</v>
      </c>
      <c r="I4" s="38">
        <f>D6/D5</f>
        <v>0.92654779900123552</v>
      </c>
      <c r="J4" s="38">
        <f>G6/D5</f>
        <v>0.91521051681543775</v>
      </c>
    </row>
    <row r="5" spans="1:19" x14ac:dyDescent="0.3">
      <c r="A5" t="s">
        <v>87</v>
      </c>
      <c r="B5" s="6">
        <f t="shared" ref="B5:B6" si="0">C15</f>
        <v>159.56700000000001</v>
      </c>
      <c r="C5" s="6">
        <f t="shared" ref="C5:C6" si="1">E15</f>
        <v>149.50178232152399</v>
      </c>
      <c r="D5" s="6">
        <f>B5+C5</f>
        <v>309.068782321524</v>
      </c>
      <c r="E5" s="6">
        <f t="shared" ref="E5:E6" si="2">H15</f>
        <v>151.59100000000001</v>
      </c>
      <c r="F5" s="6">
        <f t="shared" ref="F5:F6" si="3">J15</f>
        <v>140.07400000000001</v>
      </c>
      <c r="G5" s="6">
        <f t="shared" ref="G5" si="4">F5+E5</f>
        <v>291.66500000000002</v>
      </c>
    </row>
    <row r="6" spans="1:19" ht="14.5" thickBot="1" x14ac:dyDescent="0.35">
      <c r="A6" s="33" t="s">
        <v>85</v>
      </c>
      <c r="B6" s="6">
        <f t="shared" si="0"/>
        <v>148.81100000000001</v>
      </c>
      <c r="C6" s="6">
        <f t="shared" si="1"/>
        <v>137.55600000000001</v>
      </c>
      <c r="D6" s="15">
        <f>B6+C6</f>
        <v>286.36700000000002</v>
      </c>
      <c r="E6" s="6">
        <f t="shared" si="2"/>
        <v>146.404</v>
      </c>
      <c r="F6" s="6">
        <f t="shared" si="3"/>
        <v>136.459</v>
      </c>
      <c r="G6" s="15">
        <f>F6+E6</f>
        <v>282.863</v>
      </c>
      <c r="H6" s="40">
        <f>D6/D4-1</f>
        <v>-6.5168282571083314E-2</v>
      </c>
      <c r="I6" s="40">
        <f>G6/G4-1</f>
        <v>-4.502056057096937E-2</v>
      </c>
      <c r="M6" s="42">
        <f>B6-B4</f>
        <v>-10.073999999999984</v>
      </c>
      <c r="N6" s="42">
        <f>C6-C4</f>
        <v>-9.8889999999999816</v>
      </c>
      <c r="P6" s="34">
        <f>E6-E4</f>
        <v>-5.6539999999999964</v>
      </c>
      <c r="Q6" s="34">
        <f>F6-F4</f>
        <v>-7.6809999999999832</v>
      </c>
    </row>
    <row r="7" spans="1:19" ht="14.5" thickTop="1" x14ac:dyDescent="0.3">
      <c r="A7" s="27"/>
      <c r="B7" s="27"/>
      <c r="C7" s="27"/>
      <c r="D7" s="27">
        <f>D6-D4</f>
        <v>-19.962999999999965</v>
      </c>
      <c r="E7" s="27"/>
      <c r="F7" s="27"/>
      <c r="G7" s="27">
        <f>G6-G4</f>
        <v>-13.33499999999998</v>
      </c>
      <c r="M7" s="1">
        <v>49640</v>
      </c>
      <c r="N7">
        <v>50822</v>
      </c>
      <c r="P7" s="1">
        <v>49640</v>
      </c>
      <c r="Q7">
        <v>50822</v>
      </c>
    </row>
    <row r="8" spans="1:19" x14ac:dyDescent="0.3">
      <c r="A8" s="27"/>
      <c r="B8" s="27"/>
      <c r="C8" s="27"/>
      <c r="D8" s="27">
        <f>D6-D5</f>
        <v>-22.701782321523979</v>
      </c>
      <c r="E8" s="27"/>
      <c r="F8" s="27"/>
      <c r="G8" s="27">
        <f>G6-G5</f>
        <v>-8.8020000000000209</v>
      </c>
      <c r="L8" t="s">
        <v>92</v>
      </c>
      <c r="M8" s="37">
        <f>M7*M6</f>
        <v>-500073.35999999917</v>
      </c>
      <c r="N8" s="37">
        <f>N7*N6</f>
        <v>-502578.75799999904</v>
      </c>
      <c r="P8" s="37">
        <f>P7*P6</f>
        <v>-280664.55999999982</v>
      </c>
      <c r="Q8" s="37">
        <f>Q7*Q6</f>
        <v>-390363.78199999913</v>
      </c>
    </row>
    <row r="9" spans="1:19" x14ac:dyDescent="0.3">
      <c r="B9" t="s">
        <v>88</v>
      </c>
      <c r="L9" t="s">
        <v>93</v>
      </c>
      <c r="M9" s="37">
        <f>M8*365</f>
        <v>-182526776.39999971</v>
      </c>
      <c r="N9" s="37">
        <f>N8*365</f>
        <v>-183441246.66999966</v>
      </c>
      <c r="P9" s="37">
        <f>P8*365</f>
        <v>-102442564.39999993</v>
      </c>
      <c r="Q9" s="37">
        <f>Q8*365</f>
        <v>-142482780.42999968</v>
      </c>
    </row>
    <row r="10" spans="1:19" x14ac:dyDescent="0.3">
      <c r="A10" t="s">
        <v>89</v>
      </c>
      <c r="B10">
        <v>161.94800000000001</v>
      </c>
      <c r="C10">
        <v>150.57499999999999</v>
      </c>
      <c r="D10">
        <v>153.554</v>
      </c>
      <c r="E10">
        <v>139.18199999999999</v>
      </c>
      <c r="G10">
        <v>166.05252773452801</v>
      </c>
      <c r="H10">
        <v>147.28653141484099</v>
      </c>
      <c r="I10">
        <v>154.91889027301701</v>
      </c>
      <c r="J10">
        <v>137.14282109657</v>
      </c>
      <c r="L10" t="s">
        <v>94</v>
      </c>
      <c r="M10" s="37">
        <f>M9/1000</f>
        <v>-182526.77639999971</v>
      </c>
      <c r="N10" s="37">
        <f>N9/1000</f>
        <v>-183441.24666999967</v>
      </c>
      <c r="O10">
        <f>M10+N10</f>
        <v>-365968.02306999941</v>
      </c>
      <c r="P10" s="37">
        <f>P9/1000</f>
        <v>-102442.56439999993</v>
      </c>
      <c r="Q10" s="37">
        <f>Q9/1000</f>
        <v>-142482.78042999969</v>
      </c>
      <c r="R10">
        <f>P10+Q10</f>
        <v>-244925.34482999961</v>
      </c>
      <c r="S10" s="36"/>
    </row>
    <row r="11" spans="1:19" x14ac:dyDescent="0.3">
      <c r="O11">
        <f>O10*8/10000</f>
        <v>-292.77441845599952</v>
      </c>
      <c r="R11">
        <f>R10*8/10000</f>
        <v>-195.94027586399969</v>
      </c>
    </row>
    <row r="12" spans="1:19" x14ac:dyDescent="0.3">
      <c r="B12" t="s">
        <v>121</v>
      </c>
      <c r="D12" t="s">
        <v>124</v>
      </c>
      <c r="G12" t="s">
        <v>121</v>
      </c>
      <c r="I12" t="s">
        <v>124</v>
      </c>
    </row>
    <row r="13" spans="1:19" x14ac:dyDescent="0.3">
      <c r="A13" t="s">
        <v>128</v>
      </c>
      <c r="B13" t="s">
        <v>122</v>
      </c>
      <c r="C13" t="s">
        <v>123</v>
      </c>
      <c r="D13" t="s">
        <v>122</v>
      </c>
      <c r="E13" t="s">
        <v>123</v>
      </c>
      <c r="G13" t="s">
        <v>122</v>
      </c>
      <c r="H13" t="s">
        <v>123</v>
      </c>
      <c r="I13" t="s">
        <v>122</v>
      </c>
      <c r="J13" t="s">
        <v>123</v>
      </c>
    </row>
    <row r="14" spans="1:19" x14ac:dyDescent="0.3">
      <c r="A14" t="s">
        <v>125</v>
      </c>
      <c r="B14">
        <f>B20</f>
        <v>159.77799999999999</v>
      </c>
      <c r="C14">
        <f>C20</f>
        <v>158.88499999999999</v>
      </c>
      <c r="D14">
        <f t="shared" ref="B14:J15" si="5">D20</f>
        <v>150.53299999999999</v>
      </c>
      <c r="E14">
        <f t="shared" si="5"/>
        <v>147.44499999999999</v>
      </c>
      <c r="G14">
        <f t="shared" ref="G14:J14" si="6">G20</f>
        <v>160.65</v>
      </c>
      <c r="H14">
        <f t="shared" si="6"/>
        <v>152.05799999999999</v>
      </c>
      <c r="I14">
        <f t="shared" si="6"/>
        <v>151.899</v>
      </c>
      <c r="J14">
        <f t="shared" si="6"/>
        <v>144.13999999999999</v>
      </c>
      <c r="P14" t="s">
        <v>82</v>
      </c>
    </row>
    <row r="15" spans="1:19" x14ac:dyDescent="0.3">
      <c r="A15" t="s">
        <v>126</v>
      </c>
      <c r="B15">
        <f t="shared" si="5"/>
        <v>159.56700000000001</v>
      </c>
      <c r="C15">
        <f t="shared" si="5"/>
        <v>159.56700000000001</v>
      </c>
      <c r="D15">
        <f t="shared" si="5"/>
        <v>150.321</v>
      </c>
      <c r="E15">
        <f t="shared" si="5"/>
        <v>149.50178232152399</v>
      </c>
      <c r="G15">
        <f t="shared" si="5"/>
        <v>159.511</v>
      </c>
      <c r="H15">
        <f t="shared" si="5"/>
        <v>151.59100000000001</v>
      </c>
      <c r="I15">
        <f t="shared" si="5"/>
        <v>140.07400000000001</v>
      </c>
      <c r="J15">
        <f t="shared" si="5"/>
        <v>140.07400000000001</v>
      </c>
    </row>
    <row r="16" spans="1:19" x14ac:dyDescent="0.3">
      <c r="A16" t="s">
        <v>127</v>
      </c>
      <c r="B16">
        <f t="shared" ref="B16:J16" si="7">B22</f>
        <v>162.375</v>
      </c>
      <c r="C16">
        <f t="shared" si="7"/>
        <v>148.81100000000001</v>
      </c>
      <c r="D16">
        <f t="shared" si="7"/>
        <v>154.071</v>
      </c>
      <c r="E16">
        <f t="shared" si="7"/>
        <v>137.55600000000001</v>
      </c>
      <c r="G16">
        <f t="shared" si="7"/>
        <v>169.773</v>
      </c>
      <c r="H16">
        <f t="shared" si="7"/>
        <v>146.404</v>
      </c>
      <c r="I16">
        <f t="shared" si="7"/>
        <v>158.31299999999999</v>
      </c>
      <c r="J16">
        <f t="shared" si="7"/>
        <v>136.459</v>
      </c>
    </row>
    <row r="18" spans="1:13" x14ac:dyDescent="0.3">
      <c r="A18">
        <v>0.4</v>
      </c>
      <c r="B18" t="s">
        <v>121</v>
      </c>
      <c r="D18" t="s">
        <v>124</v>
      </c>
      <c r="G18" t="s">
        <v>121</v>
      </c>
      <c r="I18" t="s">
        <v>124</v>
      </c>
    </row>
    <row r="19" spans="1:13" x14ac:dyDescent="0.3">
      <c r="A19" t="s">
        <v>99</v>
      </c>
      <c r="B19" t="s">
        <v>122</v>
      </c>
      <c r="C19" t="s">
        <v>123</v>
      </c>
      <c r="D19" t="s">
        <v>122</v>
      </c>
      <c r="E19" t="s">
        <v>123</v>
      </c>
      <c r="G19" t="s">
        <v>122</v>
      </c>
      <c r="H19" t="s">
        <v>123</v>
      </c>
      <c r="I19" t="s">
        <v>122</v>
      </c>
      <c r="J19" t="s">
        <v>123</v>
      </c>
    </row>
    <row r="20" spans="1:13" x14ac:dyDescent="0.3">
      <c r="A20" t="s">
        <v>125</v>
      </c>
      <c r="B20">
        <v>159.77799999999999</v>
      </c>
      <c r="C20">
        <v>158.88499999999999</v>
      </c>
      <c r="D20">
        <v>150.53299999999999</v>
      </c>
      <c r="E20">
        <v>147.44499999999999</v>
      </c>
      <c r="G20">
        <v>160.65</v>
      </c>
      <c r="H20">
        <v>152.05799999999999</v>
      </c>
      <c r="I20">
        <v>151.899</v>
      </c>
      <c r="J20">
        <v>144.13999999999999</v>
      </c>
    </row>
    <row r="21" spans="1:13" x14ac:dyDescent="0.3">
      <c r="A21" t="s">
        <v>126</v>
      </c>
      <c r="B21">
        <v>159.56700000000001</v>
      </c>
      <c r="C21">
        <v>159.56700000000001</v>
      </c>
      <c r="D21">
        <v>150.321</v>
      </c>
      <c r="E21" s="43">
        <v>149.50178232152399</v>
      </c>
      <c r="G21">
        <v>159.511</v>
      </c>
      <c r="H21">
        <v>151.59100000000001</v>
      </c>
      <c r="I21">
        <v>140.07400000000001</v>
      </c>
      <c r="J21">
        <v>140.07400000000001</v>
      </c>
      <c r="L21" s="9">
        <f>B21+D21</f>
        <v>309.88800000000003</v>
      </c>
      <c r="M21" s="9">
        <f>G21+I21</f>
        <v>299.58500000000004</v>
      </c>
    </row>
    <row r="22" spans="1:13" x14ac:dyDescent="0.3">
      <c r="A22" t="s">
        <v>127</v>
      </c>
      <c r="B22">
        <v>162.375</v>
      </c>
      <c r="C22">
        <v>148.81100000000001</v>
      </c>
      <c r="D22">
        <v>154.071</v>
      </c>
      <c r="E22">
        <v>137.55600000000001</v>
      </c>
      <c r="G22">
        <v>169.773</v>
      </c>
      <c r="H22">
        <v>146.404</v>
      </c>
      <c r="I22">
        <v>158.31299999999999</v>
      </c>
      <c r="J22">
        <v>136.459</v>
      </c>
    </row>
    <row r="25" spans="1:13" x14ac:dyDescent="0.3">
      <c r="A25">
        <v>0.315</v>
      </c>
      <c r="B25" t="s">
        <v>121</v>
      </c>
      <c r="D25" t="s">
        <v>124</v>
      </c>
      <c r="G25" t="s">
        <v>121</v>
      </c>
      <c r="I25" t="s">
        <v>124</v>
      </c>
    </row>
    <row r="26" spans="1:13" x14ac:dyDescent="0.3">
      <c r="A26" t="s">
        <v>99</v>
      </c>
      <c r="B26" t="s">
        <v>122</v>
      </c>
      <c r="C26" t="s">
        <v>123</v>
      </c>
      <c r="D26" t="s">
        <v>122</v>
      </c>
      <c r="E26" t="s">
        <v>123</v>
      </c>
      <c r="G26" t="s">
        <v>122</v>
      </c>
      <c r="H26" t="s">
        <v>123</v>
      </c>
      <c r="I26" t="s">
        <v>122</v>
      </c>
      <c r="J26" t="s">
        <v>123</v>
      </c>
    </row>
    <row r="27" spans="1:13" x14ac:dyDescent="0.3">
      <c r="A27" t="s">
        <v>125</v>
      </c>
      <c r="B27">
        <v>159.78800000000001</v>
      </c>
      <c r="C27">
        <v>158.86600000000001</v>
      </c>
      <c r="D27">
        <v>150.54300000000001</v>
      </c>
      <c r="E27">
        <v>147.392</v>
      </c>
      <c r="G27">
        <v>160.65</v>
      </c>
      <c r="H27">
        <v>152.37100000000001</v>
      </c>
      <c r="I27">
        <v>151.899</v>
      </c>
      <c r="J27">
        <v>144.16800000000001</v>
      </c>
    </row>
    <row r="28" spans="1:13" x14ac:dyDescent="0.3">
      <c r="A28" t="s">
        <v>126</v>
      </c>
      <c r="B28">
        <v>159.56700000000001</v>
      </c>
      <c r="C28">
        <v>159.56700000000001</v>
      </c>
      <c r="D28">
        <v>150.321</v>
      </c>
      <c r="E28">
        <v>149.50200000000001</v>
      </c>
      <c r="G28">
        <v>159.511</v>
      </c>
      <c r="H28">
        <v>153.92599999999999</v>
      </c>
      <c r="I28">
        <v>140.07400000000001</v>
      </c>
      <c r="J28">
        <v>140.07400000000001</v>
      </c>
    </row>
    <row r="29" spans="1:13" x14ac:dyDescent="0.3">
      <c r="A29" t="s">
        <v>127</v>
      </c>
      <c r="B29">
        <v>162.375</v>
      </c>
      <c r="C29">
        <v>149.13</v>
      </c>
      <c r="D29">
        <v>154.071</v>
      </c>
      <c r="E29">
        <v>137.83099999999999</v>
      </c>
      <c r="G29">
        <v>166.96199999999999</v>
      </c>
      <c r="H29">
        <v>145.637</v>
      </c>
      <c r="I29">
        <v>158.31299999999999</v>
      </c>
      <c r="J29">
        <v>136.79499999999999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75"/>
  <sheetViews>
    <sheetView topLeftCell="I4" zoomScale="85" zoomScaleNormal="85" workbookViewId="0">
      <selection activeCell="AB11" sqref="AB11"/>
    </sheetView>
  </sheetViews>
  <sheetFormatPr defaultRowHeight="14" x14ac:dyDescent="0.3"/>
  <cols>
    <col min="3" max="5" width="9"/>
    <col min="6" max="6" width="9.33203125" bestFit="1" customWidth="1"/>
    <col min="28" max="29" width="9.9140625" bestFit="1" customWidth="1"/>
    <col min="30" max="30" width="15" bestFit="1" customWidth="1"/>
    <col min="31" max="33" width="15" customWidth="1"/>
    <col min="35" max="35" width="23.75" bestFit="1" customWidth="1"/>
    <col min="36" max="36" width="10.33203125" bestFit="1" customWidth="1"/>
    <col min="37" max="38" width="13" bestFit="1" customWidth="1"/>
    <col min="47" max="47" width="12.25" bestFit="1" customWidth="1"/>
    <col min="48" max="49" width="11" bestFit="1" customWidth="1"/>
  </cols>
  <sheetData>
    <row r="1" spans="1:49" x14ac:dyDescent="0.3">
      <c r="C1" t="s">
        <v>35</v>
      </c>
      <c r="D1" t="s">
        <v>27</v>
      </c>
      <c r="E1" t="s">
        <v>44</v>
      </c>
      <c r="G1" t="s">
        <v>49</v>
      </c>
      <c r="H1" t="s">
        <v>48</v>
      </c>
      <c r="I1" t="s">
        <v>47</v>
      </c>
      <c r="J1" t="s">
        <v>53</v>
      </c>
      <c r="K1" t="s">
        <v>47</v>
      </c>
      <c r="L1" t="s">
        <v>50</v>
      </c>
      <c r="M1" t="s">
        <v>51</v>
      </c>
      <c r="N1" t="s">
        <v>47</v>
      </c>
      <c r="O1" t="s">
        <v>55</v>
      </c>
      <c r="T1" t="s">
        <v>95</v>
      </c>
      <c r="V1" t="s">
        <v>97</v>
      </c>
      <c r="AB1" t="s">
        <v>152</v>
      </c>
      <c r="AC1" t="s">
        <v>155</v>
      </c>
      <c r="AD1" t="s">
        <v>154</v>
      </c>
      <c r="AO1" t="s">
        <v>95</v>
      </c>
      <c r="AR1" t="s">
        <v>95</v>
      </c>
    </row>
    <row r="2" spans="1:49" x14ac:dyDescent="0.3">
      <c r="A2">
        <f>(B2-1)*100</f>
        <v>0</v>
      </c>
      <c r="B2">
        <v>1</v>
      </c>
      <c r="C2" s="1">
        <v>16.2</v>
      </c>
      <c r="D2" s="9">
        <v>16.2</v>
      </c>
      <c r="E2">
        <v>16.2</v>
      </c>
      <c r="F2" s="27">
        <f>(C2-D2)*100</f>
        <v>0</v>
      </c>
      <c r="G2">
        <v>0</v>
      </c>
      <c r="H2" s="28">
        <f>D2+G2</f>
        <v>16.2</v>
      </c>
      <c r="I2">
        <v>0</v>
      </c>
      <c r="J2" s="28">
        <f>D2+I2</f>
        <v>16.2</v>
      </c>
      <c r="K2">
        <v>0</v>
      </c>
      <c r="L2" s="28">
        <f>D2+K2</f>
        <v>16.2</v>
      </c>
      <c r="M2">
        <v>23.2</v>
      </c>
      <c r="N2" s="29">
        <v>0</v>
      </c>
      <c r="O2" s="28">
        <f>VLOOKUP(A2,R$2:T$74,3,FALSE)</f>
        <v>16.2</v>
      </c>
      <c r="P2">
        <v>0</v>
      </c>
      <c r="Q2" s="28">
        <f>D$2+P2</f>
        <v>16.2</v>
      </c>
      <c r="R2" s="37">
        <v>0</v>
      </c>
      <c r="S2">
        <v>0</v>
      </c>
      <c r="T2" s="28">
        <f>C$2+S2</f>
        <v>16.2</v>
      </c>
      <c r="U2">
        <v>0</v>
      </c>
      <c r="V2">
        <f>U2+C$2</f>
        <v>16.2</v>
      </c>
      <c r="W2" s="37">
        <f>R2</f>
        <v>0</v>
      </c>
      <c r="X2" s="37">
        <f>W2</f>
        <v>0</v>
      </c>
      <c r="Y2">
        <f>V2</f>
        <v>16.2</v>
      </c>
      <c r="AA2" s="37">
        <v>0</v>
      </c>
      <c r="AB2" s="1">
        <v>16.2</v>
      </c>
      <c r="AC2" s="28">
        <f>AL2</f>
        <v>16.200000000003183</v>
      </c>
      <c r="AD2" s="27">
        <f t="shared" ref="AD2:AD33" si="0">AR2</f>
        <v>16.2</v>
      </c>
      <c r="AE2" s="38">
        <f>MAX(AE3:AE74)</f>
        <v>1.2749864841834366E-2</v>
      </c>
      <c r="AF2" s="38">
        <f t="shared" ref="AF2:AG2" si="1">MAX(AF3:AF74)</f>
        <v>5.5547159980051221E-3</v>
      </c>
      <c r="AG2" s="38">
        <f t="shared" si="1"/>
        <v>2.2499999999999999E-2</v>
      </c>
      <c r="AH2" s="37">
        <v>0</v>
      </c>
      <c r="AJ2" s="35">
        <f>1608.9034+AA2</f>
        <v>1608.9033999999999</v>
      </c>
      <c r="AK2">
        <f>385016.1194^2-(AJ2-3772.5256)^2</f>
        <v>148232730936.81076</v>
      </c>
      <c r="AL2">
        <f>SQRT(AK2)-383005.1649-2004.87514676392+16.2</f>
        <v>16.200000000003183</v>
      </c>
      <c r="AN2">
        <v>0</v>
      </c>
      <c r="AO2" s="28">
        <f>AN2+16.2</f>
        <v>16.2</v>
      </c>
      <c r="AQ2">
        <v>0</v>
      </c>
      <c r="AR2" s="28">
        <f>AQ2+16.2</f>
        <v>16.2</v>
      </c>
      <c r="AU2">
        <f>(AB3+AB2)/2</f>
        <v>16.194972157894345</v>
      </c>
      <c r="AV2">
        <f>(AC3+AC2)/2</f>
        <v>16.338867899953311</v>
      </c>
      <c r="AW2">
        <f>(AD3+AD2)/2</f>
        <v>16.762499999999999</v>
      </c>
    </row>
    <row r="3" spans="1:49" x14ac:dyDescent="0.3">
      <c r="A3">
        <f t="shared" ref="A3:A38" si="2">(B3-1)*100</f>
        <v>100</v>
      </c>
      <c r="B3">
        <v>2</v>
      </c>
      <c r="C3" s="1">
        <v>16.23</v>
      </c>
      <c r="D3" s="9">
        <v>16.294444444444444</v>
      </c>
      <c r="E3">
        <v>12.2</v>
      </c>
      <c r="F3" s="27">
        <f t="shared" ref="F3:F38" si="3">(C3-D3)*100</f>
        <v>-6.444444444444386</v>
      </c>
      <c r="G3">
        <v>0.44</v>
      </c>
      <c r="H3" s="28">
        <f t="shared" ref="H3:H38" si="4">D3+G3</f>
        <v>16.734444444444446</v>
      </c>
      <c r="I3">
        <v>0.44819999999999999</v>
      </c>
      <c r="J3" s="28">
        <f t="shared" ref="J3:J37" si="5">D3+I3</f>
        <v>16.742644444444444</v>
      </c>
      <c r="K3">
        <v>1.6224000000000001</v>
      </c>
      <c r="L3" s="28">
        <f t="shared" ref="L3:L38" si="6">D3+K3</f>
        <v>17.916844444444443</v>
      </c>
      <c r="M3">
        <v>23.2</v>
      </c>
      <c r="N3" s="29">
        <v>2.6402999999999999</v>
      </c>
      <c r="O3" s="28">
        <f t="shared" ref="O3:O38" si="7">VLOOKUP(A3,R$2:T$74,3,FALSE)</f>
        <v>17.95</v>
      </c>
      <c r="Q3" s="28"/>
      <c r="R3" s="37">
        <v>50</v>
      </c>
      <c r="S3">
        <v>0.875</v>
      </c>
      <c r="T3" s="28">
        <f t="shared" ref="T3:T66" si="8">C$2+S3</f>
        <v>17.074999999999999</v>
      </c>
      <c r="X3" s="37">
        <f>W10</f>
        <v>400</v>
      </c>
      <c r="Y3">
        <f>V10</f>
        <v>23.2</v>
      </c>
      <c r="Z3" s="38">
        <f>(Y3-Y2)/(X3-Z2)</f>
        <v>1.7500000000000002E-2</v>
      </c>
      <c r="AA3" s="37">
        <v>50</v>
      </c>
      <c r="AB3" s="1">
        <v>16.18994431578869</v>
      </c>
      <c r="AC3" s="28">
        <f t="shared" ref="AC3:AC66" si="9">AL3</f>
        <v>16.477735799903439</v>
      </c>
      <c r="AD3" s="27">
        <f t="shared" si="0"/>
        <v>17.324999999999999</v>
      </c>
      <c r="AE3" s="38">
        <f>(AB3-AB2)/50</f>
        <v>-2.0111368422618626E-4</v>
      </c>
      <c r="AF3" s="38">
        <f t="shared" ref="AF3:AG3" si="10">(AC3-AC2)/50</f>
        <v>5.5547159980051221E-3</v>
      </c>
      <c r="AG3" s="38">
        <f t="shared" si="10"/>
        <v>2.2499999999999999E-2</v>
      </c>
      <c r="AH3" s="37">
        <v>50</v>
      </c>
      <c r="AJ3" s="35">
        <f t="shared" ref="AJ3:AJ66" si="11">1608.9034+AA3</f>
        <v>1658.9033999999999</v>
      </c>
      <c r="AK3">
        <f t="shared" ref="AK3:AK66" si="12">385016.1194^2-(AJ3-3772.5256)^2</f>
        <v>148232944799.03076</v>
      </c>
      <c r="AL3">
        <f t="shared" ref="AL3:AL66" si="13">SQRT(AK3)-383005.1649-2004.87514676392+16.2</f>
        <v>16.477735799903439</v>
      </c>
      <c r="AN3">
        <v>1</v>
      </c>
      <c r="AO3" s="28">
        <f t="shared" ref="AO3:AO66" si="14">AN3+16.2</f>
        <v>17.2</v>
      </c>
      <c r="AQ3">
        <v>1.125</v>
      </c>
      <c r="AR3" s="28">
        <f t="shared" ref="AR3:AR66" si="15">AQ3+16.2</f>
        <v>17.324999999999999</v>
      </c>
      <c r="AS3" s="38">
        <f>(AQ3-AQ2)/50</f>
        <v>2.2499999999999999E-2</v>
      </c>
      <c r="AU3">
        <f t="shared" ref="AU3:AU66" si="16">(AB4+AB3)/2</f>
        <v>16.209972157894345</v>
      </c>
      <c r="AV3">
        <f t="shared" ref="AV3:AV66" si="17">(AC4+AC3)/2</f>
        <v>16.613356935754108</v>
      </c>
      <c r="AW3">
        <f t="shared" ref="AW3:AW66" si="18">(AD4+AD3)/2</f>
        <v>17.887499999999999</v>
      </c>
    </row>
    <row r="4" spans="1:49" x14ac:dyDescent="0.3">
      <c r="A4">
        <f t="shared" si="2"/>
        <v>200</v>
      </c>
      <c r="B4">
        <v>3</v>
      </c>
      <c r="C4" s="1">
        <v>16.77265954533005</v>
      </c>
      <c r="D4" s="9">
        <v>16.388888888888889</v>
      </c>
      <c r="E4">
        <v>16.2</v>
      </c>
      <c r="F4" s="27">
        <f t="shared" si="3"/>
        <v>38.377065644116115</v>
      </c>
      <c r="G4">
        <v>0.87</v>
      </c>
      <c r="H4" s="28">
        <f t="shared" si="4"/>
        <v>17.25888888888889</v>
      </c>
      <c r="I4">
        <v>0.872</v>
      </c>
      <c r="J4" s="28">
        <f t="shared" si="5"/>
        <v>17.260888888888889</v>
      </c>
      <c r="K4">
        <v>3.0415000000000001</v>
      </c>
      <c r="L4" s="28">
        <f t="shared" si="6"/>
        <v>19.430388888888888</v>
      </c>
      <c r="M4">
        <v>23.2</v>
      </c>
      <c r="N4" s="29">
        <v>4.6239999999999997</v>
      </c>
      <c r="O4" s="28">
        <f t="shared" si="7"/>
        <v>19.7</v>
      </c>
      <c r="Q4" s="28"/>
      <c r="R4" s="37">
        <v>100</v>
      </c>
      <c r="S4">
        <v>1.75</v>
      </c>
      <c r="T4" s="28">
        <f t="shared" si="8"/>
        <v>17.95</v>
      </c>
      <c r="X4" s="37">
        <f>W24</f>
        <v>1100</v>
      </c>
      <c r="Y4">
        <f>V24</f>
        <v>16.2</v>
      </c>
      <c r="Z4" s="38">
        <f t="shared" ref="Z4:Z8" si="19">(Y4-Y3)/(X4-Z3)</f>
        <v>-6.3637376049164411E-3</v>
      </c>
      <c r="AA4" s="37">
        <v>100</v>
      </c>
      <c r="AB4" s="1">
        <v>16.23</v>
      </c>
      <c r="AC4" s="28">
        <f t="shared" si="9"/>
        <v>16.748978071604778</v>
      </c>
      <c r="AD4" s="27">
        <f t="shared" si="0"/>
        <v>18.45</v>
      </c>
      <c r="AE4" s="38">
        <f t="shared" ref="AE4:AE67" si="20">(AB4-AB3)/50</f>
        <v>8.01113684226209E-4</v>
      </c>
      <c r="AF4" s="38">
        <f t="shared" ref="AF4:AF67" si="21">(AC4-AC3)/50</f>
        <v>5.424845434026793E-3</v>
      </c>
      <c r="AG4" s="38">
        <f t="shared" ref="AG4:AG67" si="22">(AD4-AD3)/50</f>
        <v>2.2499999999999999E-2</v>
      </c>
      <c r="AH4" s="37">
        <v>100</v>
      </c>
      <c r="AJ4" s="35">
        <f t="shared" si="11"/>
        <v>1708.9033999999999</v>
      </c>
      <c r="AK4">
        <f t="shared" si="12"/>
        <v>148233153661.25076</v>
      </c>
      <c r="AL4">
        <f t="shared" si="13"/>
        <v>16.748978071604778</v>
      </c>
      <c r="AN4">
        <v>2</v>
      </c>
      <c r="AO4" s="28">
        <f t="shared" si="14"/>
        <v>18.2</v>
      </c>
      <c r="AQ4">
        <v>2.25</v>
      </c>
      <c r="AR4" s="28">
        <f t="shared" si="15"/>
        <v>18.45</v>
      </c>
      <c r="AS4" s="38">
        <f>(AQ4-AQ3)/50</f>
        <v>2.2499999999999999E-2</v>
      </c>
      <c r="AU4">
        <f t="shared" si="16"/>
        <v>16.334263165295653</v>
      </c>
      <c r="AV4">
        <f t="shared" si="17"/>
        <v>16.88135245019539</v>
      </c>
      <c r="AW4">
        <f t="shared" si="18"/>
        <v>19.008699999999997</v>
      </c>
    </row>
    <row r="5" spans="1:49" x14ac:dyDescent="0.3">
      <c r="A5">
        <f t="shared" si="2"/>
        <v>300</v>
      </c>
      <c r="B5">
        <v>4</v>
      </c>
      <c r="C5" s="1">
        <v>17.088302024697409</v>
      </c>
      <c r="D5" s="9">
        <v>16.483333333333334</v>
      </c>
      <c r="E5">
        <v>12.2</v>
      </c>
      <c r="F5" s="27">
        <f t="shared" si="3"/>
        <v>60.496869136407483</v>
      </c>
      <c r="G5">
        <v>1.2716000000000001</v>
      </c>
      <c r="H5" s="28">
        <f t="shared" si="4"/>
        <v>17.754933333333334</v>
      </c>
      <c r="I5">
        <v>1.2695000000000001</v>
      </c>
      <c r="J5" s="28">
        <f t="shared" si="5"/>
        <v>17.752833333333335</v>
      </c>
      <c r="K5">
        <v>4.1882000000000001</v>
      </c>
      <c r="L5" s="28">
        <f t="shared" si="6"/>
        <v>20.671533333333336</v>
      </c>
      <c r="M5">
        <v>23.2</v>
      </c>
      <c r="N5" s="29">
        <v>5.9512</v>
      </c>
      <c r="O5" s="28">
        <f t="shared" si="7"/>
        <v>21.073799999999999</v>
      </c>
      <c r="Q5" s="28"/>
      <c r="R5" s="37">
        <v>150</v>
      </c>
      <c r="S5">
        <v>2.625</v>
      </c>
      <c r="T5" s="28">
        <f t="shared" si="8"/>
        <v>18.824999999999999</v>
      </c>
      <c r="X5" s="37">
        <f>W38</f>
        <v>1800</v>
      </c>
      <c r="Y5">
        <f>V38</f>
        <v>23.2</v>
      </c>
      <c r="Z5" s="38">
        <f t="shared" si="19"/>
        <v>3.8888751401216833E-3</v>
      </c>
      <c r="AA5" s="37">
        <v>150</v>
      </c>
      <c r="AB5" s="1">
        <v>16.438526330591301</v>
      </c>
      <c r="AC5" s="28">
        <f t="shared" si="9"/>
        <v>17.013726828786002</v>
      </c>
      <c r="AD5" s="27">
        <f t="shared" si="0"/>
        <v>19.567399999999999</v>
      </c>
      <c r="AE5" s="38">
        <f t="shared" si="20"/>
        <v>4.1705266118260195E-3</v>
      </c>
      <c r="AF5" s="38">
        <f t="shared" si="21"/>
        <v>5.2949751436244695E-3</v>
      </c>
      <c r="AG5" s="38">
        <f t="shared" si="22"/>
        <v>2.2348E-2</v>
      </c>
      <c r="AH5" s="37">
        <v>150</v>
      </c>
      <c r="AJ5" s="35">
        <f t="shared" si="11"/>
        <v>1758.9033999999999</v>
      </c>
      <c r="AK5">
        <f t="shared" si="12"/>
        <v>148233357523.47076</v>
      </c>
      <c r="AL5">
        <f t="shared" si="13"/>
        <v>17.013726828786002</v>
      </c>
      <c r="AN5">
        <v>2.9933000000000001</v>
      </c>
      <c r="AO5" s="28">
        <f t="shared" si="14"/>
        <v>19.193300000000001</v>
      </c>
      <c r="AQ5">
        <v>3.3673999999999999</v>
      </c>
      <c r="AR5" s="28">
        <f t="shared" si="15"/>
        <v>19.567399999999999</v>
      </c>
      <c r="AS5" s="38">
        <f t="shared" ref="AS5:AS67" si="23">(AQ5-AQ4)/50</f>
        <v>2.2348E-2</v>
      </c>
      <c r="AU5">
        <f t="shared" si="16"/>
        <v>16.605592937960676</v>
      </c>
      <c r="AV5">
        <f t="shared" si="17"/>
        <v>17.14285445683954</v>
      </c>
      <c r="AW5">
        <f t="shared" si="18"/>
        <v>20.063049999999997</v>
      </c>
    </row>
    <row r="6" spans="1:49" x14ac:dyDescent="0.3">
      <c r="A6">
        <f t="shared" si="2"/>
        <v>400</v>
      </c>
      <c r="B6">
        <v>5</v>
      </c>
      <c r="C6" s="1">
        <v>17.50930536380227</v>
      </c>
      <c r="D6" s="9">
        <v>16.577777777777776</v>
      </c>
      <c r="E6">
        <v>16.2</v>
      </c>
      <c r="F6" s="27">
        <f t="shared" si="3"/>
        <v>93.152758602449381</v>
      </c>
      <c r="G6">
        <v>1.6640999999999999</v>
      </c>
      <c r="H6" s="28">
        <f t="shared" si="4"/>
        <v>18.241877777777777</v>
      </c>
      <c r="I6">
        <v>1.6413</v>
      </c>
      <c r="J6" s="28">
        <f t="shared" si="5"/>
        <v>18.219077777777777</v>
      </c>
      <c r="K6">
        <v>4.9866000000000001</v>
      </c>
      <c r="L6" s="28">
        <f t="shared" si="6"/>
        <v>21.564377777777775</v>
      </c>
      <c r="M6">
        <v>23.2</v>
      </c>
      <c r="N6" s="29">
        <v>6.6220999999999997</v>
      </c>
      <c r="O6" s="28">
        <f t="shared" si="7"/>
        <v>21.7821</v>
      </c>
      <c r="P6">
        <v>7</v>
      </c>
      <c r="Q6" s="28">
        <f t="shared" ref="Q6:Q38" si="24">D$2+P6</f>
        <v>23.2</v>
      </c>
      <c r="R6" s="37">
        <v>200</v>
      </c>
      <c r="S6">
        <v>3.5</v>
      </c>
      <c r="T6" s="28">
        <f t="shared" si="8"/>
        <v>19.7</v>
      </c>
      <c r="X6" s="37">
        <f>W52</f>
        <v>2500</v>
      </c>
      <c r="Y6">
        <f>V52</f>
        <v>16.2</v>
      </c>
      <c r="Z6" s="38">
        <f t="shared" si="19"/>
        <v>-2.8000043555469322E-3</v>
      </c>
      <c r="AA6" s="37">
        <v>200</v>
      </c>
      <c r="AB6" s="1">
        <v>16.77265954533005</v>
      </c>
      <c r="AC6" s="28">
        <f t="shared" si="9"/>
        <v>17.271982084893079</v>
      </c>
      <c r="AD6" s="27">
        <f t="shared" si="0"/>
        <v>20.558699999999998</v>
      </c>
      <c r="AE6" s="38">
        <f t="shared" si="20"/>
        <v>6.6826642947749801E-3</v>
      </c>
      <c r="AF6" s="38">
        <f t="shared" si="21"/>
        <v>5.1651051221415396E-3</v>
      </c>
      <c r="AG6" s="38">
        <f t="shared" si="22"/>
        <v>1.9825999999999979E-2</v>
      </c>
      <c r="AH6" s="37">
        <v>200</v>
      </c>
      <c r="AJ6" s="35">
        <f t="shared" si="11"/>
        <v>1808.9033999999999</v>
      </c>
      <c r="AK6">
        <f t="shared" si="12"/>
        <v>148233556385.69077</v>
      </c>
      <c r="AL6">
        <f t="shared" si="13"/>
        <v>17.271982084893079</v>
      </c>
      <c r="AN6">
        <v>3.9573999999999998</v>
      </c>
      <c r="AO6" s="28">
        <f t="shared" si="14"/>
        <v>20.157399999999999</v>
      </c>
      <c r="AQ6">
        <v>4.3586999999999998</v>
      </c>
      <c r="AR6" s="28">
        <f t="shared" si="15"/>
        <v>20.558699999999998</v>
      </c>
      <c r="AS6" s="38">
        <f t="shared" si="23"/>
        <v>1.9825999999999996E-2</v>
      </c>
      <c r="AU6">
        <f t="shared" si="16"/>
        <v>16.821329772665024</v>
      </c>
      <c r="AV6">
        <f t="shared" si="17"/>
        <v>17.397862968928802</v>
      </c>
      <c r="AW6">
        <f t="shared" si="18"/>
        <v>20.9709</v>
      </c>
    </row>
    <row r="7" spans="1:49" x14ac:dyDescent="0.3">
      <c r="A7">
        <f t="shared" si="2"/>
        <v>500</v>
      </c>
      <c r="B7">
        <v>6</v>
      </c>
      <c r="C7" s="1">
        <v>17.976022409316101</v>
      </c>
      <c r="D7" s="9">
        <v>16.672222222222221</v>
      </c>
      <c r="E7">
        <v>12.2</v>
      </c>
      <c r="F7" s="27">
        <f t="shared" si="3"/>
        <v>130.38001870938808</v>
      </c>
      <c r="G7">
        <v>1.9908999999999999</v>
      </c>
      <c r="H7" s="28">
        <f t="shared" si="4"/>
        <v>18.663122222222221</v>
      </c>
      <c r="I7">
        <v>1.9875</v>
      </c>
      <c r="J7" s="28">
        <f t="shared" si="5"/>
        <v>18.659722222222221</v>
      </c>
      <c r="K7">
        <v>5.3643000000000001</v>
      </c>
      <c r="L7" s="28">
        <f t="shared" si="6"/>
        <v>22.036522222222221</v>
      </c>
      <c r="M7">
        <v>23.2</v>
      </c>
      <c r="N7" s="29">
        <v>6.6369999999999996</v>
      </c>
      <c r="O7" s="28">
        <f t="shared" si="7"/>
        <v>21.823799999999999</v>
      </c>
      <c r="Q7" s="28"/>
      <c r="R7" s="37">
        <v>250</v>
      </c>
      <c r="S7">
        <v>4.2695999999999996</v>
      </c>
      <c r="T7" s="28">
        <f t="shared" si="8"/>
        <v>20.4696</v>
      </c>
      <c r="X7" s="37">
        <f>W66</f>
        <v>3200</v>
      </c>
      <c r="Y7">
        <f>V66</f>
        <v>23.2</v>
      </c>
      <c r="Z7" s="38">
        <f t="shared" si="19"/>
        <v>2.1874980859361974E-3</v>
      </c>
      <c r="AA7" s="37">
        <v>250</v>
      </c>
      <c r="AB7" s="1">
        <v>16.87</v>
      </c>
      <c r="AC7" s="28">
        <f t="shared" si="9"/>
        <v>17.523743852964525</v>
      </c>
      <c r="AD7" s="27">
        <f t="shared" si="0"/>
        <v>21.383099999999999</v>
      </c>
      <c r="AE7" s="38">
        <f t="shared" si="20"/>
        <v>1.9468090933990113E-3</v>
      </c>
      <c r="AF7" s="38">
        <f t="shared" si="21"/>
        <v>5.0352353614289309E-3</v>
      </c>
      <c r="AG7" s="38">
        <f t="shared" si="22"/>
        <v>1.6488000000000013E-2</v>
      </c>
      <c r="AH7" s="37">
        <v>250</v>
      </c>
      <c r="AJ7" s="35">
        <f t="shared" si="11"/>
        <v>1858.9033999999999</v>
      </c>
      <c r="AK7" s="35">
        <f>385016.1194^2-(AJ7-3772.5256)^2</f>
        <v>148233750247.91074</v>
      </c>
      <c r="AL7">
        <f t="shared" si="13"/>
        <v>17.523743852964525</v>
      </c>
      <c r="AN7">
        <v>4.7552000000000003</v>
      </c>
      <c r="AO7" s="28">
        <f t="shared" si="14"/>
        <v>20.955199999999998</v>
      </c>
      <c r="AQ7">
        <v>5.1830999999999996</v>
      </c>
      <c r="AR7" s="28">
        <f t="shared" si="15"/>
        <v>21.383099999999999</v>
      </c>
      <c r="AS7" s="38">
        <f t="shared" si="23"/>
        <v>1.6487999999999996E-2</v>
      </c>
      <c r="AU7">
        <f t="shared" si="16"/>
        <v>16.979151012348705</v>
      </c>
      <c r="AV7">
        <f t="shared" si="17"/>
        <v>17.646377999385276</v>
      </c>
      <c r="AW7">
        <f t="shared" si="18"/>
        <v>21.711949999999998</v>
      </c>
    </row>
    <row r="8" spans="1:49" x14ac:dyDescent="0.3">
      <c r="A8">
        <f t="shared" si="2"/>
        <v>600</v>
      </c>
      <c r="B8">
        <v>7</v>
      </c>
      <c r="C8" s="1">
        <v>18.381372409495501</v>
      </c>
      <c r="D8" s="9">
        <v>16.766666666666666</v>
      </c>
      <c r="E8">
        <v>14.2</v>
      </c>
      <c r="F8" s="27">
        <f t="shared" si="3"/>
        <v>161.47057428288355</v>
      </c>
      <c r="G8">
        <v>2.3119999999999998</v>
      </c>
      <c r="H8" s="28">
        <f t="shared" si="4"/>
        <v>19.078666666666667</v>
      </c>
      <c r="I8">
        <v>2.3081</v>
      </c>
      <c r="J8" s="28">
        <f t="shared" si="5"/>
        <v>19.074766666666665</v>
      </c>
      <c r="K8">
        <v>5.2720000000000002</v>
      </c>
      <c r="L8" s="28">
        <f t="shared" si="6"/>
        <v>22.038666666666664</v>
      </c>
      <c r="M8">
        <v>23.2</v>
      </c>
      <c r="N8" s="29">
        <v>5.9954999999999998</v>
      </c>
      <c r="O8" s="28">
        <f t="shared" si="7"/>
        <v>21.2</v>
      </c>
      <c r="Q8" s="28"/>
      <c r="R8" s="37">
        <v>300</v>
      </c>
      <c r="S8">
        <v>4.8738000000000001</v>
      </c>
      <c r="T8" s="28">
        <f t="shared" si="8"/>
        <v>21.073799999999999</v>
      </c>
      <c r="X8" s="37">
        <f>W74</f>
        <v>3600</v>
      </c>
      <c r="Y8">
        <f>V74</f>
        <v>19.599999999999998</v>
      </c>
      <c r="Z8" s="38">
        <f t="shared" si="19"/>
        <v>-1.0000006076387267E-3</v>
      </c>
      <c r="AA8" s="37">
        <v>300</v>
      </c>
      <c r="AB8" s="1">
        <v>17.088302024697409</v>
      </c>
      <c r="AC8" s="28">
        <f t="shared" si="9"/>
        <v>17.769012145806027</v>
      </c>
      <c r="AD8" s="27">
        <f t="shared" si="0"/>
        <v>22.040799999999997</v>
      </c>
      <c r="AE8" s="38">
        <f t="shared" si="20"/>
        <v>4.3660404939481626E-3</v>
      </c>
      <c r="AF8" s="38">
        <f t="shared" si="21"/>
        <v>4.9053658568300306E-3</v>
      </c>
      <c r="AG8" s="38">
        <f t="shared" si="22"/>
        <v>1.3153999999999968E-2</v>
      </c>
      <c r="AH8" s="37">
        <v>300</v>
      </c>
      <c r="AJ8" s="35">
        <f t="shared" si="11"/>
        <v>1908.9033999999999</v>
      </c>
      <c r="AK8">
        <f t="shared" si="12"/>
        <v>148233939110.13074</v>
      </c>
      <c r="AL8">
        <f t="shared" si="13"/>
        <v>17.769012145806027</v>
      </c>
      <c r="AN8">
        <v>5.3860999999999999</v>
      </c>
      <c r="AO8" s="28">
        <f t="shared" si="14"/>
        <v>21.586099999999998</v>
      </c>
      <c r="AQ8">
        <v>5.8407999999999998</v>
      </c>
      <c r="AR8" s="28">
        <f t="shared" si="15"/>
        <v>22.040799999999997</v>
      </c>
      <c r="AS8" s="38">
        <f t="shared" si="23"/>
        <v>1.3154000000000004E-2</v>
      </c>
      <c r="AU8">
        <f t="shared" si="16"/>
        <v>17.194151012348705</v>
      </c>
      <c r="AV8">
        <f t="shared" si="17"/>
        <v>17.888399560810921</v>
      </c>
      <c r="AW8">
        <f t="shared" si="18"/>
        <v>22.286349999999999</v>
      </c>
    </row>
    <row r="9" spans="1:49" x14ac:dyDescent="0.3">
      <c r="A9">
        <f t="shared" si="2"/>
        <v>700</v>
      </c>
      <c r="B9">
        <v>8</v>
      </c>
      <c r="C9" s="1">
        <v>18.694881042171922</v>
      </c>
      <c r="D9" s="9">
        <v>16.861111111111111</v>
      </c>
      <c r="E9">
        <v>10.5</v>
      </c>
      <c r="F9" s="27">
        <f t="shared" si="3"/>
        <v>183.3769931060811</v>
      </c>
      <c r="G9">
        <v>2.6074000000000002</v>
      </c>
      <c r="H9" s="28">
        <f t="shared" si="4"/>
        <v>19.468511111111113</v>
      </c>
      <c r="I9">
        <v>2.6030000000000002</v>
      </c>
      <c r="J9" s="28">
        <f t="shared" si="5"/>
        <v>19.464111111111112</v>
      </c>
      <c r="K9">
        <v>4.6970999999999998</v>
      </c>
      <c r="L9" s="28">
        <f t="shared" si="6"/>
        <v>21.55821111111111</v>
      </c>
      <c r="M9">
        <v>23.2</v>
      </c>
      <c r="N9" s="29">
        <v>4.6982999999999997</v>
      </c>
      <c r="O9" s="28">
        <f t="shared" si="7"/>
        <v>20.2</v>
      </c>
      <c r="Q9" s="28"/>
      <c r="R9" s="37">
        <v>350</v>
      </c>
      <c r="S9">
        <v>5.3132999999999999</v>
      </c>
      <c r="T9" s="28">
        <f t="shared" si="8"/>
        <v>21.513300000000001</v>
      </c>
      <c r="AA9" s="37">
        <v>350</v>
      </c>
      <c r="AB9" s="1">
        <v>17.3</v>
      </c>
      <c r="AC9" s="28">
        <f t="shared" si="9"/>
        <v>18.007786975815815</v>
      </c>
      <c r="AD9" s="27">
        <f t="shared" si="0"/>
        <v>22.5319</v>
      </c>
      <c r="AE9" s="38">
        <f t="shared" si="20"/>
        <v>4.2339595060518322E-3</v>
      </c>
      <c r="AF9" s="38">
        <f t="shared" si="21"/>
        <v>4.7754966001957652E-3</v>
      </c>
      <c r="AG9" s="38">
        <f t="shared" si="22"/>
        <v>9.8220000000000598E-3</v>
      </c>
      <c r="AH9" s="37">
        <v>350</v>
      </c>
      <c r="AJ9" s="35">
        <f t="shared" si="11"/>
        <v>1958.9033999999999</v>
      </c>
      <c r="AK9">
        <f t="shared" si="12"/>
        <v>148234122972.35074</v>
      </c>
      <c r="AL9">
        <f t="shared" si="13"/>
        <v>18.007786975815815</v>
      </c>
      <c r="AN9">
        <v>5.8503999999999996</v>
      </c>
      <c r="AO9" s="28">
        <f t="shared" si="14"/>
        <v>22.0504</v>
      </c>
      <c r="AQ9">
        <v>6.3319000000000001</v>
      </c>
      <c r="AR9" s="28">
        <f t="shared" si="15"/>
        <v>22.5319</v>
      </c>
      <c r="AS9" s="38">
        <f t="shared" si="23"/>
        <v>9.8220000000000061E-3</v>
      </c>
      <c r="AU9">
        <f t="shared" si="16"/>
        <v>17.404652681901133</v>
      </c>
      <c r="AV9">
        <f t="shared" si="17"/>
        <v>18.123927665400242</v>
      </c>
      <c r="AW9">
        <f t="shared" si="18"/>
        <v>22.694099999999999</v>
      </c>
    </row>
    <row r="10" spans="1:49" x14ac:dyDescent="0.3">
      <c r="A10">
        <f t="shared" si="2"/>
        <v>800</v>
      </c>
      <c r="B10">
        <v>9</v>
      </c>
      <c r="C10" s="1">
        <v>19.182337629892189</v>
      </c>
      <c r="D10" s="9">
        <v>16.955555555555556</v>
      </c>
      <c r="E10">
        <v>12</v>
      </c>
      <c r="F10" s="27">
        <f t="shared" si="3"/>
        <v>222.67820743366329</v>
      </c>
      <c r="G10">
        <v>2.8771</v>
      </c>
      <c r="H10" s="28">
        <f t="shared" si="4"/>
        <v>19.832655555555554</v>
      </c>
      <c r="I10">
        <v>2.8723000000000001</v>
      </c>
      <c r="J10" s="28">
        <f t="shared" si="5"/>
        <v>19.827855555555555</v>
      </c>
      <c r="K10">
        <v>3.7639999999999998</v>
      </c>
      <c r="L10" s="28">
        <f t="shared" si="6"/>
        <v>20.719555555555555</v>
      </c>
      <c r="M10">
        <v>23.2</v>
      </c>
      <c r="N10" s="29">
        <v>2.7440000000000002</v>
      </c>
      <c r="O10" s="28">
        <f t="shared" si="7"/>
        <v>19.2</v>
      </c>
      <c r="P10">
        <v>3.5</v>
      </c>
      <c r="Q10" s="28">
        <f t="shared" si="24"/>
        <v>19.7</v>
      </c>
      <c r="R10" s="37">
        <v>400</v>
      </c>
      <c r="S10">
        <v>5.5820999999999996</v>
      </c>
      <c r="T10" s="28">
        <f t="shared" si="8"/>
        <v>21.7821</v>
      </c>
      <c r="U10">
        <v>7</v>
      </c>
      <c r="V10">
        <f>U10+C$2</f>
        <v>23.2</v>
      </c>
      <c r="W10" s="37">
        <f>R10</f>
        <v>400</v>
      </c>
      <c r="AA10" s="37">
        <v>400</v>
      </c>
      <c r="AB10" s="1">
        <v>17.50930536380227</v>
      </c>
      <c r="AC10" s="28">
        <f t="shared" si="9"/>
        <v>18.240068354984668</v>
      </c>
      <c r="AD10" s="27">
        <f t="shared" si="0"/>
        <v>22.856299999999997</v>
      </c>
      <c r="AE10" s="38">
        <f t="shared" si="20"/>
        <v>4.1861072760453763E-3</v>
      </c>
      <c r="AF10" s="38">
        <f t="shared" si="21"/>
        <v>4.6456275833770631E-3</v>
      </c>
      <c r="AG10" s="38">
        <f t="shared" si="22"/>
        <v>6.4879999999999426E-3</v>
      </c>
      <c r="AH10" s="37">
        <v>400</v>
      </c>
      <c r="AJ10" s="35">
        <f t="shared" si="11"/>
        <v>2008.9033999999999</v>
      </c>
      <c r="AK10">
        <f t="shared" si="12"/>
        <v>148234301834.57074</v>
      </c>
      <c r="AL10">
        <f t="shared" si="13"/>
        <v>18.240068354984668</v>
      </c>
      <c r="AN10">
        <v>6.1481000000000003</v>
      </c>
      <c r="AO10" s="28">
        <f t="shared" si="14"/>
        <v>22.348099999999999</v>
      </c>
      <c r="AQ10">
        <v>6.6562999999999999</v>
      </c>
      <c r="AR10" s="28">
        <f t="shared" si="15"/>
        <v>22.856299999999997</v>
      </c>
      <c r="AS10" s="38">
        <f t="shared" si="23"/>
        <v>6.4879999999999964E-3</v>
      </c>
      <c r="AU10">
        <f t="shared" si="16"/>
        <v>17.664276259952558</v>
      </c>
      <c r="AV10">
        <f t="shared" si="17"/>
        <v>18.352962325085809</v>
      </c>
      <c r="AW10">
        <f t="shared" si="18"/>
        <v>22.93515</v>
      </c>
    </row>
    <row r="11" spans="1:49" x14ac:dyDescent="0.3">
      <c r="A11">
        <f t="shared" si="2"/>
        <v>900</v>
      </c>
      <c r="B11">
        <v>10</v>
      </c>
      <c r="C11" s="1">
        <v>19.709214521701849</v>
      </c>
      <c r="D11" s="9">
        <v>17.05</v>
      </c>
      <c r="E11">
        <v>15.5</v>
      </c>
      <c r="F11" s="27">
        <f t="shared" si="3"/>
        <v>265.92145217018481</v>
      </c>
      <c r="G11">
        <v>3.1212</v>
      </c>
      <c r="H11" s="28">
        <f t="shared" si="4"/>
        <v>20.171199999999999</v>
      </c>
      <c r="I11">
        <v>3.1158999999999999</v>
      </c>
      <c r="J11" s="28">
        <f t="shared" si="5"/>
        <v>20.165900000000001</v>
      </c>
      <c r="K11">
        <v>2.7284000000000002</v>
      </c>
      <c r="L11" s="28">
        <f t="shared" si="6"/>
        <v>19.778400000000001</v>
      </c>
      <c r="M11">
        <v>23.2</v>
      </c>
      <c r="N11" s="29">
        <v>1.2827</v>
      </c>
      <c r="O11" s="28">
        <f t="shared" si="7"/>
        <v>18.2</v>
      </c>
      <c r="Q11" s="28"/>
      <c r="R11" s="37">
        <v>450</v>
      </c>
      <c r="S11">
        <v>5.6863000000000001</v>
      </c>
      <c r="T11" s="28">
        <f t="shared" si="8"/>
        <v>21.886299999999999</v>
      </c>
      <c r="AA11" s="37">
        <v>450</v>
      </c>
      <c r="AB11" s="1">
        <v>17.81924715610285</v>
      </c>
      <c r="AC11" s="28">
        <f t="shared" si="9"/>
        <v>18.465856295186949</v>
      </c>
      <c r="AD11" s="27">
        <f t="shared" si="0"/>
        <v>23.013999999999999</v>
      </c>
      <c r="AE11" s="38">
        <f t="shared" si="20"/>
        <v>6.198835846011619E-3</v>
      </c>
      <c r="AF11" s="38">
        <f t="shared" si="21"/>
        <v>4.5157588040456173E-3</v>
      </c>
      <c r="AG11" s="38">
        <f t="shared" si="22"/>
        <v>3.1540000000000392E-3</v>
      </c>
      <c r="AH11" s="37">
        <v>450</v>
      </c>
      <c r="AJ11" s="35">
        <f t="shared" si="11"/>
        <v>2058.9034000000001</v>
      </c>
      <c r="AK11">
        <f t="shared" si="12"/>
        <v>148234475696.79074</v>
      </c>
      <c r="AL11">
        <f t="shared" si="13"/>
        <v>18.465856295186949</v>
      </c>
      <c r="AN11">
        <v>6.2789999999999999</v>
      </c>
      <c r="AO11" s="28">
        <f t="shared" si="14"/>
        <v>22.478999999999999</v>
      </c>
      <c r="AQ11">
        <v>6.8140000000000001</v>
      </c>
      <c r="AR11" s="28">
        <f t="shared" si="15"/>
        <v>23.013999999999999</v>
      </c>
      <c r="AS11" s="38">
        <f t="shared" si="23"/>
        <v>3.1540000000000036E-3</v>
      </c>
      <c r="AU11">
        <f t="shared" si="16"/>
        <v>17.897634782709474</v>
      </c>
      <c r="AV11">
        <f t="shared" si="17"/>
        <v>18.57550355148005</v>
      </c>
      <c r="AW11">
        <f t="shared" si="18"/>
        <v>23.009499999999999</v>
      </c>
    </row>
    <row r="12" spans="1:49" x14ac:dyDescent="0.3">
      <c r="A12">
        <f t="shared" si="2"/>
        <v>1000</v>
      </c>
      <c r="B12">
        <v>11</v>
      </c>
      <c r="C12" s="1">
        <v>20.36939951356478</v>
      </c>
      <c r="D12" s="9">
        <v>17.144444444444446</v>
      </c>
      <c r="E12">
        <v>12</v>
      </c>
      <c r="F12" s="27">
        <f t="shared" si="3"/>
        <v>322.49550691203342</v>
      </c>
      <c r="G12">
        <v>3.3395000000000001</v>
      </c>
      <c r="H12" s="28">
        <f t="shared" si="4"/>
        <v>20.483944444444447</v>
      </c>
      <c r="I12">
        <v>3.3338999999999999</v>
      </c>
      <c r="J12" s="28">
        <f t="shared" si="5"/>
        <v>20.478344444444446</v>
      </c>
      <c r="K12">
        <v>1.8007</v>
      </c>
      <c r="L12" s="28">
        <f t="shared" si="6"/>
        <v>18.945144444444445</v>
      </c>
      <c r="M12">
        <v>23.2</v>
      </c>
      <c r="N12" s="29">
        <v>0.3679</v>
      </c>
      <c r="O12" s="28">
        <f t="shared" si="7"/>
        <v>17.283300000000001</v>
      </c>
      <c r="Q12" s="28"/>
      <c r="R12" s="37">
        <v>500</v>
      </c>
      <c r="S12">
        <v>5.6238000000000001</v>
      </c>
      <c r="T12" s="28">
        <f t="shared" si="8"/>
        <v>21.823799999999999</v>
      </c>
      <c r="AA12" s="37">
        <v>500</v>
      </c>
      <c r="AB12" s="1">
        <v>17.976022409316101</v>
      </c>
      <c r="AC12" s="28">
        <f t="shared" si="9"/>
        <v>18.685150807773152</v>
      </c>
      <c r="AD12" s="27">
        <f t="shared" si="0"/>
        <v>23.004999999999999</v>
      </c>
      <c r="AE12" s="38">
        <f t="shared" si="20"/>
        <v>3.1355050642650185E-3</v>
      </c>
      <c r="AF12" s="38">
        <f t="shared" si="21"/>
        <v>4.3858902517240495E-3</v>
      </c>
      <c r="AG12" s="38">
        <f t="shared" si="22"/>
        <v>-1.8000000000000681E-4</v>
      </c>
      <c r="AH12" s="37">
        <v>500</v>
      </c>
      <c r="AJ12" s="35">
        <f t="shared" si="11"/>
        <v>2108.9034000000001</v>
      </c>
      <c r="AK12">
        <f t="shared" si="12"/>
        <v>148234644559.01074</v>
      </c>
      <c r="AL12">
        <f t="shared" si="13"/>
        <v>18.685150807773152</v>
      </c>
      <c r="AN12">
        <v>6.2432999999999996</v>
      </c>
      <c r="AO12" s="28">
        <f t="shared" si="14"/>
        <v>22.443300000000001</v>
      </c>
      <c r="AQ12">
        <v>6.8049999999999997</v>
      </c>
      <c r="AR12" s="28">
        <f t="shared" si="15"/>
        <v>23.004999999999999</v>
      </c>
      <c r="AS12" s="38">
        <f t="shared" si="23"/>
        <v>-1.8000000000000681E-4</v>
      </c>
      <c r="AU12">
        <f t="shared" si="16"/>
        <v>18.071825896736783</v>
      </c>
      <c r="AV12">
        <f t="shared" si="17"/>
        <v>18.791551355787941</v>
      </c>
      <c r="AW12">
        <f t="shared" si="18"/>
        <v>22.917200000000001</v>
      </c>
    </row>
    <row r="13" spans="1:49" x14ac:dyDescent="0.3">
      <c r="A13">
        <f t="shared" si="2"/>
        <v>1100</v>
      </c>
      <c r="B13">
        <v>12</v>
      </c>
      <c r="C13" s="1">
        <v>21.185240874981801</v>
      </c>
      <c r="D13" s="9">
        <v>17.238888888888887</v>
      </c>
      <c r="E13">
        <v>11.5</v>
      </c>
      <c r="F13" s="27">
        <f t="shared" si="3"/>
        <v>394.63519860929136</v>
      </c>
      <c r="G13">
        <v>3.5322</v>
      </c>
      <c r="H13" s="28">
        <f t="shared" si="4"/>
        <v>20.771088888888887</v>
      </c>
      <c r="I13">
        <v>3.5263</v>
      </c>
      <c r="J13" s="28">
        <f t="shared" si="5"/>
        <v>20.765188888888886</v>
      </c>
      <c r="K13">
        <v>1.3204</v>
      </c>
      <c r="L13" s="28">
        <f t="shared" si="6"/>
        <v>18.559288888888887</v>
      </c>
      <c r="M13">
        <v>23.2</v>
      </c>
      <c r="N13" s="29">
        <v>0</v>
      </c>
      <c r="O13" s="28">
        <f t="shared" si="7"/>
        <v>16.95</v>
      </c>
      <c r="P13">
        <v>1.03</v>
      </c>
      <c r="Q13" s="28">
        <f t="shared" si="24"/>
        <v>17.23</v>
      </c>
      <c r="R13" s="37">
        <v>550</v>
      </c>
      <c r="S13">
        <v>5.3945999999999996</v>
      </c>
      <c r="T13" s="28">
        <f t="shared" si="8"/>
        <v>21.5946</v>
      </c>
      <c r="AA13" s="37">
        <v>550</v>
      </c>
      <c r="AB13" s="1">
        <v>18.167629384157461</v>
      </c>
      <c r="AC13" s="28">
        <f t="shared" si="9"/>
        <v>18.897951903802731</v>
      </c>
      <c r="AD13" s="27">
        <f t="shared" si="0"/>
        <v>22.8294</v>
      </c>
      <c r="AE13" s="38">
        <f t="shared" si="20"/>
        <v>3.8321394968271962E-3</v>
      </c>
      <c r="AF13" s="38">
        <f t="shared" si="21"/>
        <v>4.256021920591593E-3</v>
      </c>
      <c r="AG13" s="38">
        <f t="shared" si="22"/>
        <v>-3.5119999999999861E-3</v>
      </c>
      <c r="AH13" s="37">
        <v>550</v>
      </c>
      <c r="AJ13" s="35">
        <f t="shared" si="11"/>
        <v>2158.9034000000001</v>
      </c>
      <c r="AK13">
        <f t="shared" si="12"/>
        <v>148234808421.23074</v>
      </c>
      <c r="AL13">
        <f t="shared" si="13"/>
        <v>18.897951903802731</v>
      </c>
      <c r="AN13">
        <v>6.0408999999999997</v>
      </c>
      <c r="AO13" s="28">
        <f t="shared" si="14"/>
        <v>22.2409</v>
      </c>
      <c r="AQ13">
        <v>6.6294000000000004</v>
      </c>
      <c r="AR13" s="28">
        <f t="shared" si="15"/>
        <v>22.8294</v>
      </c>
      <c r="AS13" s="38">
        <f t="shared" si="23"/>
        <v>-3.5119999999999861E-3</v>
      </c>
      <c r="AU13">
        <f t="shared" si="16"/>
        <v>18.274500896826481</v>
      </c>
      <c r="AV13">
        <f t="shared" si="17"/>
        <v>19.001105748952522</v>
      </c>
      <c r="AW13">
        <f t="shared" si="18"/>
        <v>22.658249999999999</v>
      </c>
    </row>
    <row r="14" spans="1:49" x14ac:dyDescent="0.3">
      <c r="A14">
        <f t="shared" si="2"/>
        <v>1200</v>
      </c>
      <c r="B14">
        <v>13</v>
      </c>
      <c r="C14" s="1">
        <v>21.9382837573126</v>
      </c>
      <c r="D14" s="9">
        <v>17.333333333333332</v>
      </c>
      <c r="E14">
        <v>15.1</v>
      </c>
      <c r="F14" s="27">
        <f t="shared" si="3"/>
        <v>460.4950423979268</v>
      </c>
      <c r="G14">
        <v>3.6991000000000001</v>
      </c>
      <c r="H14" s="28">
        <f t="shared" si="4"/>
        <v>21.032433333333334</v>
      </c>
      <c r="I14">
        <v>3.6928999999999998</v>
      </c>
      <c r="J14" s="28">
        <f t="shared" si="5"/>
        <v>21.02623333333333</v>
      </c>
      <c r="K14">
        <v>1.6154999999999999</v>
      </c>
      <c r="L14" s="28">
        <f t="shared" si="6"/>
        <v>18.948833333333333</v>
      </c>
      <c r="M14">
        <v>23.2</v>
      </c>
      <c r="N14" s="29">
        <v>0.17899999999999999</v>
      </c>
      <c r="O14" s="28">
        <f t="shared" si="7"/>
        <v>17.283300000000001</v>
      </c>
      <c r="Q14" s="28"/>
      <c r="R14" s="37">
        <v>600</v>
      </c>
      <c r="S14">
        <v>5</v>
      </c>
      <c r="T14" s="28">
        <f t="shared" si="8"/>
        <v>21.2</v>
      </c>
      <c r="AA14" s="37">
        <v>600</v>
      </c>
      <c r="AB14" s="1">
        <v>18.381372409495501</v>
      </c>
      <c r="AC14" s="28">
        <f t="shared" si="9"/>
        <v>19.104259594102313</v>
      </c>
      <c r="AD14" s="27">
        <f t="shared" si="0"/>
        <v>22.487099999999998</v>
      </c>
      <c r="AE14" s="38">
        <f t="shared" si="20"/>
        <v>4.2748605067608027E-3</v>
      </c>
      <c r="AF14" s="38">
        <f t="shared" si="21"/>
        <v>4.126153805991635E-3</v>
      </c>
      <c r="AG14" s="38">
        <f t="shared" si="22"/>
        <v>-6.8460000000000317E-3</v>
      </c>
      <c r="AH14" s="37">
        <v>600</v>
      </c>
      <c r="AJ14" s="35">
        <f t="shared" si="11"/>
        <v>2208.9034000000001</v>
      </c>
      <c r="AK14">
        <f t="shared" si="12"/>
        <v>148234967283.45074</v>
      </c>
      <c r="AL14">
        <f t="shared" si="13"/>
        <v>19.104259594102313</v>
      </c>
      <c r="AN14">
        <v>5.6718000000000002</v>
      </c>
      <c r="AO14" s="28">
        <f t="shared" si="14"/>
        <v>21.8718</v>
      </c>
      <c r="AQ14">
        <v>6.2870999999999997</v>
      </c>
      <c r="AR14" s="28">
        <f t="shared" si="15"/>
        <v>22.487099999999998</v>
      </c>
      <c r="AS14" s="38">
        <f t="shared" si="23"/>
        <v>-6.8460000000000144E-3</v>
      </c>
      <c r="AU14">
        <f t="shared" si="16"/>
        <v>18.445686204747751</v>
      </c>
      <c r="AV14">
        <f t="shared" si="17"/>
        <v>19.204166741625794</v>
      </c>
      <c r="AW14">
        <f t="shared" si="18"/>
        <v>22.232599999999998</v>
      </c>
    </row>
    <row r="15" spans="1:49" x14ac:dyDescent="0.3">
      <c r="A15">
        <f t="shared" si="2"/>
        <v>1300</v>
      </c>
      <c r="B15">
        <v>14</v>
      </c>
      <c r="C15" s="1">
        <v>22.800055267935761</v>
      </c>
      <c r="D15" s="9">
        <v>17.427777777777777</v>
      </c>
      <c r="E15">
        <v>11.1</v>
      </c>
      <c r="F15" s="27">
        <f t="shared" si="3"/>
        <v>537.22774901579839</v>
      </c>
      <c r="G15">
        <v>3.8403999999999998</v>
      </c>
      <c r="H15" s="28">
        <f t="shared" si="4"/>
        <v>21.268177777777776</v>
      </c>
      <c r="I15">
        <v>3.8340000000000001</v>
      </c>
      <c r="J15" s="28">
        <f t="shared" si="5"/>
        <v>21.261777777777777</v>
      </c>
      <c r="K15">
        <v>2.4043999999999999</v>
      </c>
      <c r="L15" s="28">
        <f t="shared" si="6"/>
        <v>19.832177777777776</v>
      </c>
      <c r="M15">
        <v>23.2</v>
      </c>
      <c r="N15" s="29">
        <v>0.90490000000000004</v>
      </c>
      <c r="O15" s="28">
        <f t="shared" si="7"/>
        <v>18.2</v>
      </c>
      <c r="Q15" s="28"/>
      <c r="R15" s="37">
        <v>650</v>
      </c>
      <c r="S15">
        <v>4.5</v>
      </c>
      <c r="T15" s="28">
        <f t="shared" si="8"/>
        <v>20.7</v>
      </c>
      <c r="AA15" s="37">
        <v>650</v>
      </c>
      <c r="AB15" s="1">
        <v>18.510000000000002</v>
      </c>
      <c r="AC15" s="28">
        <f t="shared" si="9"/>
        <v>19.304073889149276</v>
      </c>
      <c r="AD15" s="27">
        <f t="shared" si="0"/>
        <v>21.978099999999998</v>
      </c>
      <c r="AE15" s="38">
        <f t="shared" si="20"/>
        <v>2.5725518100900048E-3</v>
      </c>
      <c r="AF15" s="38">
        <f t="shared" si="21"/>
        <v>3.996285900939256E-3</v>
      </c>
      <c r="AG15" s="38">
        <f t="shared" si="22"/>
        <v>-1.0180000000000007E-2</v>
      </c>
      <c r="AH15" s="37">
        <v>650</v>
      </c>
      <c r="AJ15" s="35">
        <f t="shared" si="11"/>
        <v>2258.9034000000001</v>
      </c>
      <c r="AK15">
        <f t="shared" si="12"/>
        <v>148235121145.67075</v>
      </c>
      <c r="AL15">
        <f t="shared" si="13"/>
        <v>19.304073889149276</v>
      </c>
      <c r="AN15">
        <v>5.1360000000000001</v>
      </c>
      <c r="AO15" s="28">
        <f t="shared" si="14"/>
        <v>21.335999999999999</v>
      </c>
      <c r="AQ15">
        <v>5.7781000000000002</v>
      </c>
      <c r="AR15" s="28">
        <f t="shared" si="15"/>
        <v>21.978099999999998</v>
      </c>
      <c r="AS15" s="38">
        <f t="shared" si="23"/>
        <v>-1.0179999999999989E-2</v>
      </c>
      <c r="AU15">
        <f t="shared" si="16"/>
        <v>18.60244052108596</v>
      </c>
      <c r="AV15">
        <f t="shared" si="17"/>
        <v>19.400734344052307</v>
      </c>
      <c r="AW15">
        <f t="shared" si="18"/>
        <v>21.660499999999999</v>
      </c>
    </row>
    <row r="16" spans="1:49" x14ac:dyDescent="0.3">
      <c r="A16">
        <f t="shared" si="2"/>
        <v>1400</v>
      </c>
      <c r="B16">
        <v>15</v>
      </c>
      <c r="C16" s="1">
        <v>23.222124073160721</v>
      </c>
      <c r="D16" s="9">
        <v>17.522222222222222</v>
      </c>
      <c r="E16">
        <v>15.1</v>
      </c>
      <c r="F16" s="27">
        <f t="shared" si="3"/>
        <v>569.99018509384985</v>
      </c>
      <c r="G16">
        <v>3.956</v>
      </c>
      <c r="H16" s="28">
        <f t="shared" si="4"/>
        <v>21.478222222222222</v>
      </c>
      <c r="I16">
        <v>3.9493999999999998</v>
      </c>
      <c r="J16" s="28">
        <f t="shared" si="5"/>
        <v>21.471622222222223</v>
      </c>
      <c r="K16">
        <v>3.3472</v>
      </c>
      <c r="L16" s="28">
        <f t="shared" si="6"/>
        <v>20.869422222222223</v>
      </c>
      <c r="M16">
        <v>23.2</v>
      </c>
      <c r="N16" s="29">
        <v>2.1778</v>
      </c>
      <c r="O16" s="28">
        <f t="shared" si="7"/>
        <v>19.2</v>
      </c>
      <c r="P16">
        <v>3.5</v>
      </c>
      <c r="Q16" s="28">
        <f t="shared" si="24"/>
        <v>19.7</v>
      </c>
      <c r="R16" s="37">
        <v>700</v>
      </c>
      <c r="S16">
        <v>4</v>
      </c>
      <c r="T16" s="28">
        <f t="shared" si="8"/>
        <v>20.2</v>
      </c>
      <c r="AA16" s="37">
        <v>700</v>
      </c>
      <c r="AB16" s="1">
        <v>18.694881042171922</v>
      </c>
      <c r="AC16" s="28">
        <f t="shared" si="9"/>
        <v>19.497394798955337</v>
      </c>
      <c r="AD16" s="27">
        <f t="shared" si="0"/>
        <v>21.3429</v>
      </c>
      <c r="AE16" s="38">
        <f t="shared" si="20"/>
        <v>3.6976208434384007E-3</v>
      </c>
      <c r="AF16" s="38">
        <f t="shared" si="21"/>
        <v>3.8664181961212307E-3</v>
      </c>
      <c r="AG16" s="38">
        <f t="shared" si="22"/>
        <v>-1.2703999999999951E-2</v>
      </c>
      <c r="AH16" s="37">
        <v>700</v>
      </c>
      <c r="AJ16" s="35">
        <f t="shared" si="11"/>
        <v>2308.9034000000001</v>
      </c>
      <c r="AK16">
        <f t="shared" si="12"/>
        <v>148235270007.89075</v>
      </c>
      <c r="AL16">
        <f t="shared" si="13"/>
        <v>19.497394798955337</v>
      </c>
      <c r="AN16">
        <v>4.5713999999999997</v>
      </c>
      <c r="AO16" s="28">
        <f t="shared" si="14"/>
        <v>20.7714</v>
      </c>
      <c r="AQ16">
        <v>5.1429</v>
      </c>
      <c r="AR16" s="28">
        <f t="shared" si="15"/>
        <v>21.3429</v>
      </c>
      <c r="AS16" s="38">
        <f t="shared" si="23"/>
        <v>-1.2704000000000003E-2</v>
      </c>
      <c r="AU16">
        <f t="shared" si="16"/>
        <v>18.75750667018983</v>
      </c>
      <c r="AV16">
        <f t="shared" si="17"/>
        <v>19.590808566156465</v>
      </c>
      <c r="AW16">
        <f t="shared" si="18"/>
        <v>21.021450000000002</v>
      </c>
    </row>
    <row r="17" spans="1:49" x14ac:dyDescent="0.3">
      <c r="A17">
        <f t="shared" si="2"/>
        <v>1500</v>
      </c>
      <c r="B17">
        <v>16</v>
      </c>
      <c r="C17" s="1">
        <v>23.118694100136729</v>
      </c>
      <c r="D17" s="9">
        <v>17.616666666666667</v>
      </c>
      <c r="E17">
        <v>11.1</v>
      </c>
      <c r="F17" s="27">
        <f t="shared" si="3"/>
        <v>550.20274334700616</v>
      </c>
      <c r="G17">
        <v>4.0458999999999996</v>
      </c>
      <c r="H17" s="28">
        <f t="shared" si="4"/>
        <v>21.662566666666667</v>
      </c>
      <c r="I17">
        <v>4.0392000000000001</v>
      </c>
      <c r="J17" s="28">
        <f t="shared" si="5"/>
        <v>21.655866666666668</v>
      </c>
      <c r="K17">
        <v>4.1886000000000001</v>
      </c>
      <c r="L17" s="28">
        <f t="shared" si="6"/>
        <v>21.805266666666668</v>
      </c>
      <c r="M17">
        <v>23.2</v>
      </c>
      <c r="N17" s="29">
        <v>3.6145999999999998</v>
      </c>
      <c r="O17" s="28">
        <f t="shared" si="7"/>
        <v>20.2</v>
      </c>
      <c r="Q17" s="28"/>
      <c r="R17" s="37">
        <v>750</v>
      </c>
      <c r="S17">
        <v>3.5</v>
      </c>
      <c r="T17" s="28">
        <f t="shared" si="8"/>
        <v>19.7</v>
      </c>
      <c r="AA17" s="37">
        <v>750</v>
      </c>
      <c r="AB17" s="1">
        <v>18.820132298207739</v>
      </c>
      <c r="AC17" s="28">
        <f t="shared" si="9"/>
        <v>19.684222333357592</v>
      </c>
      <c r="AD17" s="27">
        <f t="shared" si="0"/>
        <v>20.7</v>
      </c>
      <c r="AE17" s="38">
        <f t="shared" si="20"/>
        <v>2.5050251207163398E-3</v>
      </c>
      <c r="AF17" s="38">
        <f t="shared" si="21"/>
        <v>3.7365506880450996E-3</v>
      </c>
      <c r="AG17" s="38">
        <f t="shared" si="22"/>
        <v>-1.2858000000000019E-2</v>
      </c>
      <c r="AH17" s="37">
        <v>750</v>
      </c>
      <c r="AJ17" s="35">
        <f t="shared" si="11"/>
        <v>2358.9034000000001</v>
      </c>
      <c r="AK17">
        <f t="shared" si="12"/>
        <v>148235413870.11075</v>
      </c>
      <c r="AL17">
        <f t="shared" si="13"/>
        <v>19.684222333357592</v>
      </c>
      <c r="AN17">
        <v>4</v>
      </c>
      <c r="AO17" s="28">
        <f t="shared" si="14"/>
        <v>20.2</v>
      </c>
      <c r="AQ17">
        <v>4.5</v>
      </c>
      <c r="AR17" s="28">
        <f t="shared" si="15"/>
        <v>20.7</v>
      </c>
      <c r="AS17" s="38">
        <f t="shared" si="23"/>
        <v>-1.2858000000000001E-2</v>
      </c>
      <c r="AU17">
        <f t="shared" si="16"/>
        <v>19.001234964049964</v>
      </c>
      <c r="AV17">
        <f t="shared" si="17"/>
        <v>19.774389417600741</v>
      </c>
      <c r="AW17">
        <f t="shared" si="18"/>
        <v>20.378549999999997</v>
      </c>
    </row>
    <row r="18" spans="1:49" x14ac:dyDescent="0.3">
      <c r="A18">
        <f t="shared" si="2"/>
        <v>1600</v>
      </c>
      <c r="B18">
        <v>17</v>
      </c>
      <c r="C18" s="1">
        <v>22.50125603280393</v>
      </c>
      <c r="D18" s="9">
        <v>17.711111111111112</v>
      </c>
      <c r="E18">
        <v>15.1</v>
      </c>
      <c r="F18" s="27">
        <f t="shared" si="3"/>
        <v>479.01449216928177</v>
      </c>
      <c r="G18">
        <v>4.1101999999999999</v>
      </c>
      <c r="H18" s="28">
        <f t="shared" si="4"/>
        <v>21.821311111111111</v>
      </c>
      <c r="I18">
        <v>4.1032999999999999</v>
      </c>
      <c r="J18" s="28">
        <f t="shared" si="5"/>
        <v>21.814411111111113</v>
      </c>
      <c r="K18">
        <v>4.8299000000000003</v>
      </c>
      <c r="L18" s="28">
        <f t="shared" si="6"/>
        <v>22.541011111111111</v>
      </c>
      <c r="M18">
        <v>23.2</v>
      </c>
      <c r="N18" s="29">
        <v>4.6139000000000001</v>
      </c>
      <c r="O18" s="28">
        <f t="shared" si="7"/>
        <v>21.2</v>
      </c>
      <c r="Q18" s="28"/>
      <c r="R18" s="37">
        <v>800</v>
      </c>
      <c r="S18">
        <v>3</v>
      </c>
      <c r="T18" s="28">
        <f t="shared" si="8"/>
        <v>19.2</v>
      </c>
      <c r="AA18" s="37">
        <v>800</v>
      </c>
      <c r="AB18" s="1">
        <v>19.182337629892189</v>
      </c>
      <c r="AC18" s="28">
        <f t="shared" si="9"/>
        <v>19.864556501843889</v>
      </c>
      <c r="AD18" s="27">
        <f t="shared" si="0"/>
        <v>20.057099999999998</v>
      </c>
      <c r="AE18" s="38">
        <f t="shared" si="20"/>
        <v>7.2441066336890007E-3</v>
      </c>
      <c r="AF18" s="38">
        <f t="shared" si="21"/>
        <v>3.6066833697259424E-3</v>
      </c>
      <c r="AG18" s="38">
        <f t="shared" si="22"/>
        <v>-1.2858000000000019E-2</v>
      </c>
      <c r="AH18" s="37">
        <v>800</v>
      </c>
      <c r="AJ18" s="35">
        <f t="shared" si="11"/>
        <v>2408.9034000000001</v>
      </c>
      <c r="AK18">
        <f t="shared" si="12"/>
        <v>148235552732.33075</v>
      </c>
      <c r="AL18">
        <f t="shared" si="13"/>
        <v>19.864556501843889</v>
      </c>
      <c r="AN18">
        <v>3.4285999999999999</v>
      </c>
      <c r="AO18" s="28">
        <f t="shared" si="14"/>
        <v>19.628599999999999</v>
      </c>
      <c r="AQ18">
        <v>3.8571</v>
      </c>
      <c r="AR18" s="28">
        <f t="shared" si="15"/>
        <v>20.057099999999998</v>
      </c>
      <c r="AS18" s="38">
        <f t="shared" si="23"/>
        <v>-1.2858000000000001E-2</v>
      </c>
      <c r="AU18">
        <f t="shared" si="16"/>
        <v>19.288729229681259</v>
      </c>
      <c r="AV18">
        <f t="shared" si="17"/>
        <v>19.951476907640153</v>
      </c>
      <c r="AW18">
        <f t="shared" si="18"/>
        <v>19.735700000000001</v>
      </c>
    </row>
    <row r="19" spans="1:49" x14ac:dyDescent="0.3">
      <c r="A19">
        <f t="shared" si="2"/>
        <v>1700</v>
      </c>
      <c r="B19">
        <v>18</v>
      </c>
      <c r="C19" s="1">
        <v>21.685041237236799</v>
      </c>
      <c r="D19" s="9">
        <v>17.805555555555557</v>
      </c>
      <c r="E19">
        <v>11.6</v>
      </c>
      <c r="F19" s="27">
        <f t="shared" si="3"/>
        <v>387.94856816812421</v>
      </c>
      <c r="G19">
        <v>4.1486999999999998</v>
      </c>
      <c r="H19" s="28">
        <f t="shared" si="4"/>
        <v>21.954255555555555</v>
      </c>
      <c r="I19">
        <v>4.1417000000000002</v>
      </c>
      <c r="J19" s="28">
        <f t="shared" si="5"/>
        <v>21.947255555555557</v>
      </c>
      <c r="K19">
        <v>5.2190000000000003</v>
      </c>
      <c r="L19" s="28">
        <f t="shared" si="6"/>
        <v>23.024555555555558</v>
      </c>
      <c r="M19">
        <v>23.2</v>
      </c>
      <c r="N19" s="29">
        <v>5.1757</v>
      </c>
      <c r="O19" s="28">
        <f t="shared" si="7"/>
        <v>22.116699999999998</v>
      </c>
      <c r="Q19" s="28"/>
      <c r="R19" s="37">
        <v>850</v>
      </c>
      <c r="S19">
        <v>2.5</v>
      </c>
      <c r="T19" s="28">
        <f t="shared" si="8"/>
        <v>18.7</v>
      </c>
      <c r="AA19" s="37">
        <v>850</v>
      </c>
      <c r="AB19" s="1">
        <v>19.395120829470329</v>
      </c>
      <c r="AC19" s="28">
        <f t="shared" si="9"/>
        <v>20.038397313436416</v>
      </c>
      <c r="AD19" s="27">
        <f t="shared" si="0"/>
        <v>19.414300000000001</v>
      </c>
      <c r="AE19" s="38">
        <f t="shared" si="20"/>
        <v>4.2556639915628126E-3</v>
      </c>
      <c r="AF19" s="38">
        <f t="shared" si="21"/>
        <v>3.4768162318505346E-3</v>
      </c>
      <c r="AG19" s="38">
        <f t="shared" si="22"/>
        <v>-1.2855999999999953E-2</v>
      </c>
      <c r="AH19" s="37">
        <v>850</v>
      </c>
      <c r="AJ19" s="35">
        <f t="shared" si="11"/>
        <v>2458.9034000000001</v>
      </c>
      <c r="AK19">
        <f t="shared" si="12"/>
        <v>148235686594.55075</v>
      </c>
      <c r="AL19">
        <f t="shared" si="13"/>
        <v>20.038397313436416</v>
      </c>
      <c r="AN19">
        <v>2.8571</v>
      </c>
      <c r="AO19" s="28">
        <f t="shared" si="14"/>
        <v>19.057099999999998</v>
      </c>
      <c r="AQ19">
        <v>3.2143000000000002</v>
      </c>
      <c r="AR19" s="28">
        <f t="shared" si="15"/>
        <v>19.414300000000001</v>
      </c>
      <c r="AS19" s="38">
        <f t="shared" si="23"/>
        <v>-1.2855999999999996E-2</v>
      </c>
      <c r="AU19">
        <f t="shared" si="16"/>
        <v>19.552167675586091</v>
      </c>
      <c r="AV19">
        <f t="shared" si="17"/>
        <v>20.122071045209577</v>
      </c>
      <c r="AW19">
        <f t="shared" si="18"/>
        <v>19.092849999999999</v>
      </c>
    </row>
    <row r="20" spans="1:49" x14ac:dyDescent="0.3">
      <c r="A20">
        <f t="shared" si="2"/>
        <v>1800</v>
      </c>
      <c r="B20">
        <v>19</v>
      </c>
      <c r="C20" s="1">
        <v>20.913911979364531</v>
      </c>
      <c r="D20" s="9">
        <v>17.899999999999999</v>
      </c>
      <c r="E20">
        <v>15.6</v>
      </c>
      <c r="F20" s="27">
        <f t="shared" si="3"/>
        <v>301.3911979364533</v>
      </c>
      <c r="G20">
        <v>4.1615000000000002</v>
      </c>
      <c r="H20" s="28">
        <f t="shared" si="4"/>
        <v>22.061499999999999</v>
      </c>
      <c r="I20">
        <v>4.1546000000000003</v>
      </c>
      <c r="J20" s="28">
        <f t="shared" si="5"/>
        <v>22.054600000000001</v>
      </c>
      <c r="K20">
        <v>5.3</v>
      </c>
      <c r="L20" s="28">
        <f t="shared" si="6"/>
        <v>23.2</v>
      </c>
      <c r="M20">
        <v>23.2</v>
      </c>
      <c r="N20" s="29">
        <v>5.3</v>
      </c>
      <c r="O20" s="28">
        <f t="shared" si="7"/>
        <v>22.45</v>
      </c>
      <c r="P20">
        <v>7</v>
      </c>
      <c r="Q20" s="28">
        <f t="shared" si="24"/>
        <v>23.2</v>
      </c>
      <c r="R20" s="37">
        <v>900</v>
      </c>
      <c r="S20">
        <v>2</v>
      </c>
      <c r="T20" s="28">
        <f t="shared" si="8"/>
        <v>18.2</v>
      </c>
      <c r="AA20" s="37">
        <v>900</v>
      </c>
      <c r="AB20" s="1">
        <v>19.709214521701849</v>
      </c>
      <c r="AC20" s="28">
        <f t="shared" si="9"/>
        <v>20.205744776982737</v>
      </c>
      <c r="AD20" s="27">
        <f t="shared" si="0"/>
        <v>18.7714</v>
      </c>
      <c r="AE20" s="38">
        <f t="shared" si="20"/>
        <v>6.2818738446303972E-3</v>
      </c>
      <c r="AF20" s="38">
        <f t="shared" si="21"/>
        <v>3.346949270926416E-3</v>
      </c>
      <c r="AG20" s="38">
        <f t="shared" si="22"/>
        <v>-1.2858000000000019E-2</v>
      </c>
      <c r="AH20" s="37">
        <v>900</v>
      </c>
      <c r="AJ20" s="35">
        <f t="shared" si="11"/>
        <v>2508.9034000000001</v>
      </c>
      <c r="AK20">
        <f t="shared" si="12"/>
        <v>148235815456.77075</v>
      </c>
      <c r="AL20">
        <f t="shared" si="13"/>
        <v>20.205744776982737</v>
      </c>
      <c r="AN20">
        <v>2.3285999999999998</v>
      </c>
      <c r="AO20" s="28">
        <f t="shared" si="14"/>
        <v>18.528599999999997</v>
      </c>
      <c r="AQ20">
        <v>2.5714000000000001</v>
      </c>
      <c r="AR20" s="28">
        <f t="shared" si="15"/>
        <v>18.7714</v>
      </c>
      <c r="AS20" s="38">
        <f t="shared" si="23"/>
        <v>-1.2858000000000001E-2</v>
      </c>
      <c r="AU20">
        <f t="shared" si="16"/>
        <v>19.847121821022007</v>
      </c>
      <c r="AV20">
        <f t="shared" si="17"/>
        <v>20.286171838981954</v>
      </c>
      <c r="AW20">
        <f t="shared" si="18"/>
        <v>18.480599999999999</v>
      </c>
    </row>
    <row r="21" spans="1:49" x14ac:dyDescent="0.3">
      <c r="A21">
        <f t="shared" si="2"/>
        <v>1900</v>
      </c>
      <c r="B21">
        <v>20</v>
      </c>
      <c r="C21" s="1">
        <v>20.15231743913272</v>
      </c>
      <c r="D21" s="9">
        <v>17.994444444444444</v>
      </c>
      <c r="E21">
        <v>11.6</v>
      </c>
      <c r="F21" s="27">
        <f t="shared" si="3"/>
        <v>215.7872994688276</v>
      </c>
      <c r="G21">
        <v>4.1486999999999998</v>
      </c>
      <c r="H21" s="28">
        <f t="shared" si="4"/>
        <v>22.143144444444445</v>
      </c>
      <c r="I21">
        <f>I19</f>
        <v>4.1417000000000002</v>
      </c>
      <c r="J21" s="28">
        <f t="shared" si="5"/>
        <v>22.136144444444444</v>
      </c>
      <c r="K21">
        <v>5.03</v>
      </c>
      <c r="L21" s="28">
        <f t="shared" si="6"/>
        <v>23.024444444444445</v>
      </c>
      <c r="M21">
        <v>23.2</v>
      </c>
      <c r="N21" s="29">
        <v>4.9867999999999997</v>
      </c>
      <c r="O21" s="28">
        <f t="shared" si="7"/>
        <v>22.116699999999998</v>
      </c>
      <c r="Q21" s="28"/>
      <c r="R21" s="37">
        <v>950</v>
      </c>
      <c r="S21">
        <v>1.5</v>
      </c>
      <c r="T21" s="28">
        <f t="shared" si="8"/>
        <v>17.7</v>
      </c>
      <c r="AA21" s="37">
        <v>950</v>
      </c>
      <c r="AB21" s="1">
        <v>19.985029120342169</v>
      </c>
      <c r="AC21" s="28">
        <f t="shared" si="9"/>
        <v>20.36659890098117</v>
      </c>
      <c r="AD21" s="27">
        <f t="shared" si="0"/>
        <v>18.189799999999998</v>
      </c>
      <c r="AE21" s="38">
        <f t="shared" si="20"/>
        <v>5.5162919728064001E-3</v>
      </c>
      <c r="AF21" s="38">
        <f t="shared" si="21"/>
        <v>3.2170824799686668E-3</v>
      </c>
      <c r="AG21" s="38">
        <f t="shared" si="22"/>
        <v>-1.1632000000000033E-2</v>
      </c>
      <c r="AH21" s="37">
        <v>950</v>
      </c>
      <c r="AJ21" s="35">
        <f t="shared" si="11"/>
        <v>2558.9034000000001</v>
      </c>
      <c r="AK21">
        <f t="shared" si="12"/>
        <v>148235939318.99075</v>
      </c>
      <c r="AL21">
        <f t="shared" si="13"/>
        <v>20.36659890098117</v>
      </c>
      <c r="AN21">
        <v>1.7142999999999999</v>
      </c>
      <c r="AO21" s="28">
        <f t="shared" si="14"/>
        <v>17.914300000000001</v>
      </c>
      <c r="AQ21">
        <v>1.9898</v>
      </c>
      <c r="AR21" s="28">
        <f t="shared" si="15"/>
        <v>18.189799999999998</v>
      </c>
      <c r="AS21" s="38">
        <f t="shared" si="23"/>
        <v>-1.1632000000000002E-2</v>
      </c>
      <c r="AU21">
        <f t="shared" si="16"/>
        <v>20.177214316953474</v>
      </c>
      <c r="AV21">
        <f t="shared" si="17"/>
        <v>20.44377929728098</v>
      </c>
      <c r="AW21">
        <f t="shared" si="18"/>
        <v>17.981449999999999</v>
      </c>
    </row>
    <row r="22" spans="1:49" x14ac:dyDescent="0.3">
      <c r="A22">
        <f t="shared" si="2"/>
        <v>2000</v>
      </c>
      <c r="B22">
        <v>21</v>
      </c>
      <c r="C22" s="1">
        <v>19.514445110632909</v>
      </c>
      <c r="D22" s="9">
        <v>18.088888888888889</v>
      </c>
      <c r="E22">
        <v>15.1</v>
      </c>
      <c r="F22" s="27">
        <f t="shared" si="3"/>
        <v>142.55562217440206</v>
      </c>
      <c r="G22">
        <v>4.1101999999999999</v>
      </c>
      <c r="H22" s="28">
        <f t="shared" si="4"/>
        <v>22.199088888888888</v>
      </c>
      <c r="I22">
        <f>I18</f>
        <v>4.1032999999999999</v>
      </c>
      <c r="J22" s="28">
        <f t="shared" si="5"/>
        <v>22.192188888888889</v>
      </c>
      <c r="K22">
        <v>4.4800000000000004</v>
      </c>
      <c r="L22" s="28">
        <f t="shared" si="6"/>
        <v>22.568888888888889</v>
      </c>
      <c r="M22">
        <v>23.2</v>
      </c>
      <c r="N22" s="29">
        <v>4.2359999999999998</v>
      </c>
      <c r="O22" s="28">
        <f t="shared" si="7"/>
        <v>21.2</v>
      </c>
      <c r="Q22" s="28"/>
      <c r="R22" s="37">
        <v>1000</v>
      </c>
      <c r="S22">
        <v>1.0832999999999999</v>
      </c>
      <c r="T22" s="28">
        <f t="shared" si="8"/>
        <v>17.283300000000001</v>
      </c>
      <c r="AA22" s="37">
        <v>1000</v>
      </c>
      <c r="AB22" s="1">
        <v>20.36939951356478</v>
      </c>
      <c r="AC22" s="28">
        <f t="shared" si="9"/>
        <v>20.520959693580789</v>
      </c>
      <c r="AD22" s="27">
        <f t="shared" si="0"/>
        <v>17.773099999999999</v>
      </c>
      <c r="AE22" s="38">
        <f t="shared" si="20"/>
        <v>7.6874078644522115E-3</v>
      </c>
      <c r="AF22" s="38">
        <f t="shared" si="21"/>
        <v>3.0872158519923685E-3</v>
      </c>
      <c r="AG22" s="38">
        <f t="shared" si="22"/>
        <v>-8.3339999999999751E-3</v>
      </c>
      <c r="AH22" s="37">
        <v>1000</v>
      </c>
      <c r="AJ22" s="35">
        <f t="shared" si="11"/>
        <v>2608.9034000000001</v>
      </c>
      <c r="AK22">
        <f t="shared" si="12"/>
        <v>148236058181.21075</v>
      </c>
      <c r="AL22">
        <f t="shared" si="13"/>
        <v>20.520959693580789</v>
      </c>
      <c r="AN22">
        <v>1.3129</v>
      </c>
      <c r="AO22" s="28">
        <f t="shared" si="14"/>
        <v>17.512899999999998</v>
      </c>
      <c r="AQ22">
        <v>1.5730999999999999</v>
      </c>
      <c r="AR22" s="28">
        <f t="shared" si="15"/>
        <v>17.773099999999999</v>
      </c>
      <c r="AS22" s="38">
        <f t="shared" si="23"/>
        <v>-8.3340000000000011E-3</v>
      </c>
      <c r="AU22">
        <f t="shared" si="16"/>
        <v>20.591421573865674</v>
      </c>
      <c r="AV22">
        <f t="shared" si="17"/>
        <v>20.594893428052</v>
      </c>
      <c r="AW22">
        <f t="shared" si="18"/>
        <v>17.648099999999999</v>
      </c>
    </row>
    <row r="23" spans="1:49" x14ac:dyDescent="0.3">
      <c r="A23">
        <f t="shared" si="2"/>
        <v>2100</v>
      </c>
      <c r="B23">
        <v>22</v>
      </c>
      <c r="C23" s="1">
        <v>19.208045162869649</v>
      </c>
      <c r="D23" s="9">
        <v>18.183333333333334</v>
      </c>
      <c r="E23">
        <v>12.1</v>
      </c>
      <c r="F23" s="27">
        <f t="shared" si="3"/>
        <v>102.47118295363151</v>
      </c>
      <c r="G23">
        <v>4.0458999999999996</v>
      </c>
      <c r="H23" s="28">
        <f t="shared" si="4"/>
        <v>22.229233333333333</v>
      </c>
      <c r="I23">
        <f>I17</f>
        <v>4.0392000000000001</v>
      </c>
      <c r="J23" s="28">
        <f t="shared" si="5"/>
        <v>22.222533333333335</v>
      </c>
      <c r="K23">
        <v>3.7223000000000002</v>
      </c>
      <c r="L23" s="28">
        <f t="shared" si="6"/>
        <v>21.905633333333334</v>
      </c>
      <c r="M23">
        <v>23.2</v>
      </c>
      <c r="N23" s="29">
        <v>3.048</v>
      </c>
      <c r="O23" s="28">
        <f t="shared" si="7"/>
        <v>20.2</v>
      </c>
      <c r="Q23" s="28"/>
      <c r="R23" s="37">
        <v>1050</v>
      </c>
      <c r="S23">
        <v>0.83330000000000004</v>
      </c>
      <c r="T23" s="28">
        <f t="shared" si="8"/>
        <v>17.033300000000001</v>
      </c>
      <c r="AA23" s="37">
        <v>1050</v>
      </c>
      <c r="AB23" s="1">
        <v>20.813443634166571</v>
      </c>
      <c r="AC23" s="28">
        <f t="shared" si="9"/>
        <v>20.668827162523211</v>
      </c>
      <c r="AD23" s="27">
        <f t="shared" si="0"/>
        <v>17.523099999999999</v>
      </c>
      <c r="AE23" s="38">
        <f t="shared" si="20"/>
        <v>8.8808824120358305E-3</v>
      </c>
      <c r="AF23" s="38">
        <f t="shared" si="21"/>
        <v>2.9573493788484484E-3</v>
      </c>
      <c r="AG23" s="38">
        <f t="shared" si="22"/>
        <v>-5.0000000000000001E-3</v>
      </c>
      <c r="AH23" s="37">
        <v>1050</v>
      </c>
      <c r="AJ23" s="35">
        <f t="shared" si="11"/>
        <v>2658.9034000000001</v>
      </c>
      <c r="AK23">
        <f t="shared" si="12"/>
        <v>148236172043.43076</v>
      </c>
      <c r="AL23">
        <f t="shared" si="13"/>
        <v>20.668827162523211</v>
      </c>
      <c r="AN23">
        <v>1.0629</v>
      </c>
      <c r="AO23" s="28">
        <f t="shared" si="14"/>
        <v>17.262899999999998</v>
      </c>
      <c r="AQ23">
        <v>1.3230999999999999</v>
      </c>
      <c r="AR23" s="28">
        <f t="shared" si="15"/>
        <v>17.523099999999999</v>
      </c>
      <c r="AS23" s="38">
        <f t="shared" si="23"/>
        <v>-5.0000000000000001E-3</v>
      </c>
      <c r="AU23">
        <f t="shared" si="16"/>
        <v>20.999342254574188</v>
      </c>
      <c r="AV23">
        <f t="shared" si="17"/>
        <v>20.739514238920219</v>
      </c>
      <c r="AW23">
        <f t="shared" si="18"/>
        <v>17.481349999999999</v>
      </c>
    </row>
    <row r="24" spans="1:49" x14ac:dyDescent="0.3">
      <c r="A24">
        <f t="shared" si="2"/>
        <v>2200</v>
      </c>
      <c r="B24">
        <v>23</v>
      </c>
      <c r="C24" s="1">
        <v>19.163088389471781</v>
      </c>
      <c r="D24" s="9">
        <v>18.277777777777779</v>
      </c>
      <c r="E24">
        <v>16.100000000000001</v>
      </c>
      <c r="F24" s="27">
        <f t="shared" si="3"/>
        <v>88.53106116940026</v>
      </c>
      <c r="G24">
        <f>G16</f>
        <v>3.956</v>
      </c>
      <c r="H24" s="28">
        <f t="shared" si="4"/>
        <v>22.233777777777778</v>
      </c>
      <c r="I24">
        <f>I16</f>
        <v>3.9493999999999998</v>
      </c>
      <c r="J24" s="28">
        <f t="shared" si="5"/>
        <v>22.227177777777779</v>
      </c>
      <c r="K24">
        <v>2.8475000000000001</v>
      </c>
      <c r="L24" s="28">
        <f t="shared" si="6"/>
        <v>21.125277777777779</v>
      </c>
      <c r="M24">
        <v>23.2</v>
      </c>
      <c r="N24" s="29">
        <v>1.4221999999999999</v>
      </c>
      <c r="O24" s="28">
        <f t="shared" si="7"/>
        <v>19.2</v>
      </c>
      <c r="P24">
        <v>3.5</v>
      </c>
      <c r="Q24" s="28">
        <f t="shared" si="24"/>
        <v>19.7</v>
      </c>
      <c r="R24" s="37">
        <v>1100</v>
      </c>
      <c r="S24">
        <v>0.75</v>
      </c>
      <c r="T24" s="28">
        <f t="shared" si="8"/>
        <v>16.95</v>
      </c>
      <c r="U24">
        <v>0</v>
      </c>
      <c r="V24">
        <f>U24+C$2</f>
        <v>16.2</v>
      </c>
      <c r="W24" s="37">
        <f>R24</f>
        <v>1100</v>
      </c>
      <c r="AA24" s="37">
        <v>1100</v>
      </c>
      <c r="AB24" s="1">
        <v>21.185240874981801</v>
      </c>
      <c r="AC24" s="28">
        <f t="shared" si="9"/>
        <v>20.810201315317226</v>
      </c>
      <c r="AD24" s="27">
        <f t="shared" si="0"/>
        <v>17.439599999999999</v>
      </c>
      <c r="AE24" s="38">
        <f t="shared" si="20"/>
        <v>7.4359448163045985E-3</v>
      </c>
      <c r="AF24" s="38">
        <f t="shared" si="21"/>
        <v>2.8274830558802934E-3</v>
      </c>
      <c r="AG24" s="38">
        <f t="shared" si="22"/>
        <v>-1.6700000000000159E-3</v>
      </c>
      <c r="AH24" s="37">
        <v>1100</v>
      </c>
      <c r="AJ24" s="35">
        <f t="shared" si="11"/>
        <v>2708.9034000000001</v>
      </c>
      <c r="AK24">
        <f t="shared" si="12"/>
        <v>148236280905.65076</v>
      </c>
      <c r="AL24">
        <f t="shared" si="13"/>
        <v>20.810201315317226</v>
      </c>
      <c r="AN24">
        <v>0.97960000000000003</v>
      </c>
      <c r="AO24" s="28">
        <f t="shared" si="14"/>
        <v>17.179600000000001</v>
      </c>
      <c r="AQ24">
        <v>1.2396</v>
      </c>
      <c r="AR24" s="28">
        <f t="shared" si="15"/>
        <v>17.439599999999999</v>
      </c>
      <c r="AS24" s="38">
        <f t="shared" si="23"/>
        <v>-1.6699999999999981E-3</v>
      </c>
      <c r="AU24">
        <f t="shared" si="16"/>
        <v>21.350349337113443</v>
      </c>
      <c r="AV24">
        <f t="shared" si="17"/>
        <v>20.8776417372198</v>
      </c>
      <c r="AW24">
        <f t="shared" si="18"/>
        <v>17.481349999999999</v>
      </c>
    </row>
    <row r="25" spans="1:49" x14ac:dyDescent="0.3">
      <c r="A25">
        <f t="shared" si="2"/>
        <v>2300</v>
      </c>
      <c r="B25">
        <v>24</v>
      </c>
      <c r="C25" s="1">
        <v>19.56886483268708</v>
      </c>
      <c r="D25" s="9">
        <v>18.372222222222224</v>
      </c>
      <c r="E25">
        <v>12.100000000000001</v>
      </c>
      <c r="F25" s="27">
        <f t="shared" si="3"/>
        <v>119.66426104648562</v>
      </c>
      <c r="G25">
        <f>G15</f>
        <v>3.8403999999999998</v>
      </c>
      <c r="H25" s="28">
        <f t="shared" si="4"/>
        <v>22.212622222222222</v>
      </c>
      <c r="I25">
        <f>I15</f>
        <v>3.8340000000000001</v>
      </c>
      <c r="J25" s="28">
        <f t="shared" si="5"/>
        <v>22.206222222222223</v>
      </c>
      <c r="K25">
        <v>1.9634</v>
      </c>
      <c r="L25" s="28">
        <f t="shared" si="6"/>
        <v>20.335622222222224</v>
      </c>
      <c r="M25">
        <v>23.2</v>
      </c>
      <c r="N25" s="29">
        <v>0.69510000000000005</v>
      </c>
      <c r="O25" s="28">
        <f t="shared" si="7"/>
        <v>18.2</v>
      </c>
      <c r="Q25" s="28"/>
      <c r="R25" s="37">
        <v>1150</v>
      </c>
      <c r="S25">
        <v>0.83330000000000004</v>
      </c>
      <c r="T25" s="28">
        <f t="shared" si="8"/>
        <v>17.033300000000001</v>
      </c>
      <c r="AA25" s="37">
        <v>1150</v>
      </c>
      <c r="AB25" s="1">
        <v>21.51545779924508</v>
      </c>
      <c r="AC25" s="28">
        <f t="shared" si="9"/>
        <v>20.945082159122375</v>
      </c>
      <c r="AD25" s="27">
        <f t="shared" si="0"/>
        <v>17.523099999999999</v>
      </c>
      <c r="AE25" s="38">
        <f t="shared" si="20"/>
        <v>6.6043384852655859E-3</v>
      </c>
      <c r="AF25" s="38">
        <f t="shared" si="21"/>
        <v>2.6976168761029839E-3</v>
      </c>
      <c r="AG25" s="38">
        <f t="shared" si="22"/>
        <v>1.6700000000000159E-3</v>
      </c>
      <c r="AH25" s="37">
        <v>1150</v>
      </c>
      <c r="AJ25" s="35">
        <f t="shared" si="11"/>
        <v>2758.9034000000001</v>
      </c>
      <c r="AK25">
        <f t="shared" si="12"/>
        <v>148236384767.87076</v>
      </c>
      <c r="AL25">
        <f t="shared" si="13"/>
        <v>20.945082159122375</v>
      </c>
      <c r="AN25">
        <v>1.0629</v>
      </c>
      <c r="AO25" s="28">
        <f t="shared" si="14"/>
        <v>17.262899999999998</v>
      </c>
      <c r="AQ25">
        <v>1.3230999999999999</v>
      </c>
      <c r="AR25" s="28">
        <f t="shared" si="15"/>
        <v>17.523099999999999</v>
      </c>
      <c r="AS25" s="38">
        <f t="shared" si="23"/>
        <v>1.6699999999999981E-3</v>
      </c>
      <c r="AU25">
        <f t="shared" si="16"/>
        <v>21.72687077827884</v>
      </c>
      <c r="AV25">
        <f t="shared" si="17"/>
        <v>21.009275929935665</v>
      </c>
      <c r="AW25">
        <f t="shared" si="18"/>
        <v>17.648099999999999</v>
      </c>
    </row>
    <row r="26" spans="1:49" x14ac:dyDescent="0.3">
      <c r="A26">
        <f t="shared" si="2"/>
        <v>2400</v>
      </c>
      <c r="B26">
        <v>25</v>
      </c>
      <c r="C26" s="1">
        <v>20.41691357784077</v>
      </c>
      <c r="D26" s="9">
        <v>18.466666666666669</v>
      </c>
      <c r="E26">
        <v>15.600000000000001</v>
      </c>
      <c r="F26" s="27">
        <f t="shared" si="3"/>
        <v>195.02469111741016</v>
      </c>
      <c r="G26">
        <f>G14</f>
        <v>3.6991000000000001</v>
      </c>
      <c r="H26" s="28">
        <f t="shared" si="4"/>
        <v>22.16576666666667</v>
      </c>
      <c r="I26">
        <f>I14</f>
        <v>3.6928999999999998</v>
      </c>
      <c r="J26" s="28">
        <f t="shared" si="5"/>
        <v>22.15956666666667</v>
      </c>
      <c r="K26">
        <v>1.2403</v>
      </c>
      <c r="L26" s="28">
        <f t="shared" si="6"/>
        <v>19.70696666666667</v>
      </c>
      <c r="M26">
        <v>23.2</v>
      </c>
      <c r="N26" s="29">
        <v>0.221</v>
      </c>
      <c r="O26" s="28">
        <f t="shared" si="7"/>
        <v>17.283300000000001</v>
      </c>
      <c r="Q26" s="28"/>
      <c r="R26" s="37">
        <v>1200</v>
      </c>
      <c r="S26">
        <v>1.0832999999999999</v>
      </c>
      <c r="T26" s="28">
        <f t="shared" si="8"/>
        <v>17.283300000000001</v>
      </c>
      <c r="AA26" s="37">
        <v>1200</v>
      </c>
      <c r="AB26" s="1">
        <v>21.9382837573126</v>
      </c>
      <c r="AC26" s="28">
        <f t="shared" si="9"/>
        <v>21.073469700748955</v>
      </c>
      <c r="AD26" s="27">
        <f t="shared" si="0"/>
        <v>17.773099999999999</v>
      </c>
      <c r="AE26" s="38">
        <f t="shared" si="20"/>
        <v>8.4565191613503992E-3</v>
      </c>
      <c r="AF26" s="38">
        <f t="shared" si="21"/>
        <v>2.5677508325316011E-3</v>
      </c>
      <c r="AG26" s="38">
        <f t="shared" si="22"/>
        <v>5.0000000000000001E-3</v>
      </c>
      <c r="AH26" s="37">
        <v>1200</v>
      </c>
      <c r="AJ26" s="35">
        <f t="shared" si="11"/>
        <v>2808.9034000000001</v>
      </c>
      <c r="AK26">
        <f t="shared" si="12"/>
        <v>148236483630.09076</v>
      </c>
      <c r="AL26">
        <f t="shared" si="13"/>
        <v>21.073469700748955</v>
      </c>
      <c r="AN26">
        <v>1.3129</v>
      </c>
      <c r="AO26" s="28">
        <f t="shared" si="14"/>
        <v>17.512899999999998</v>
      </c>
      <c r="AQ26">
        <v>1.5730999999999999</v>
      </c>
      <c r="AR26" s="28">
        <f t="shared" si="15"/>
        <v>17.773099999999999</v>
      </c>
      <c r="AS26" s="38">
        <f t="shared" si="23"/>
        <v>5.0000000000000001E-3</v>
      </c>
      <c r="AU26">
        <f t="shared" si="16"/>
        <v>22.146139784857638</v>
      </c>
      <c r="AV26">
        <f t="shared" si="17"/>
        <v>21.13441682373259</v>
      </c>
      <c r="AW26">
        <f t="shared" si="18"/>
        <v>17.950849999999999</v>
      </c>
    </row>
    <row r="27" spans="1:49" x14ac:dyDescent="0.3">
      <c r="A27">
        <f t="shared" si="2"/>
        <v>2500</v>
      </c>
      <c r="B27">
        <v>26</v>
      </c>
      <c r="C27" s="1">
        <v>21.56018265494739</v>
      </c>
      <c r="D27" s="9">
        <v>18.56111111111111</v>
      </c>
      <c r="E27">
        <v>11.600000000000001</v>
      </c>
      <c r="F27" s="27">
        <f t="shared" si="3"/>
        <v>299.90715438362798</v>
      </c>
      <c r="G27">
        <f>G13</f>
        <v>3.5322</v>
      </c>
      <c r="H27" s="28">
        <f t="shared" si="4"/>
        <v>22.09331111111111</v>
      </c>
      <c r="I27">
        <f>I13</f>
        <v>3.5263</v>
      </c>
      <c r="J27" s="28">
        <f t="shared" si="5"/>
        <v>22.087411111111109</v>
      </c>
      <c r="K27">
        <v>0.87960000000000005</v>
      </c>
      <c r="L27" s="28">
        <f t="shared" si="6"/>
        <v>19.44071111111111</v>
      </c>
      <c r="M27">
        <v>23.2</v>
      </c>
      <c r="N27" s="29">
        <v>0</v>
      </c>
      <c r="O27" s="28">
        <f t="shared" si="7"/>
        <v>16.95</v>
      </c>
      <c r="P27">
        <v>2.3611</v>
      </c>
      <c r="Q27" s="28">
        <f t="shared" si="24"/>
        <v>18.5611</v>
      </c>
      <c r="R27" s="37">
        <v>1250</v>
      </c>
      <c r="S27">
        <v>1.5</v>
      </c>
      <c r="T27" s="28">
        <f t="shared" si="8"/>
        <v>17.7</v>
      </c>
      <c r="AA27" s="37">
        <v>1250</v>
      </c>
      <c r="AB27" s="1">
        <v>22.35399581240268</v>
      </c>
      <c r="AC27" s="28">
        <f t="shared" si="9"/>
        <v>21.195363946716224</v>
      </c>
      <c r="AD27" s="27">
        <f t="shared" si="0"/>
        <v>18.128599999999999</v>
      </c>
      <c r="AE27" s="38">
        <f t="shared" si="20"/>
        <v>8.3142411018015845E-3</v>
      </c>
      <c r="AF27" s="38">
        <f t="shared" si="21"/>
        <v>2.4378849193453789E-3</v>
      </c>
      <c r="AG27" s="38">
        <f t="shared" si="22"/>
        <v>7.1099999999999853E-3</v>
      </c>
      <c r="AH27" s="37">
        <v>1250</v>
      </c>
      <c r="AJ27" s="35">
        <f t="shared" si="11"/>
        <v>2858.9034000000001</v>
      </c>
      <c r="AK27">
        <f t="shared" si="12"/>
        <v>148236577492.31076</v>
      </c>
      <c r="AL27">
        <f t="shared" si="13"/>
        <v>21.195363946716224</v>
      </c>
      <c r="AN27">
        <v>1.7142999999999999</v>
      </c>
      <c r="AO27" s="28">
        <f t="shared" si="14"/>
        <v>17.914300000000001</v>
      </c>
      <c r="AQ27">
        <v>1.9286000000000001</v>
      </c>
      <c r="AR27" s="28">
        <f t="shared" si="15"/>
        <v>18.128599999999999</v>
      </c>
      <c r="AS27" s="38">
        <f t="shared" si="23"/>
        <v>7.1100000000000026E-3</v>
      </c>
      <c r="AU27">
        <f t="shared" si="16"/>
        <v>22.57702554016922</v>
      </c>
      <c r="AV27">
        <f t="shared" si="17"/>
        <v>21.253064424955209</v>
      </c>
      <c r="AW27">
        <f t="shared" si="18"/>
        <v>18.45</v>
      </c>
    </row>
    <row r="28" spans="1:49" x14ac:dyDescent="0.3">
      <c r="A28">
        <f t="shared" si="2"/>
        <v>2600</v>
      </c>
      <c r="B28">
        <v>27</v>
      </c>
      <c r="C28" s="1">
        <v>22.412964446331369</v>
      </c>
      <c r="D28" s="9">
        <v>18.655555555555555</v>
      </c>
      <c r="E28">
        <v>15.100000000000001</v>
      </c>
      <c r="F28" s="27">
        <f t="shared" si="3"/>
        <v>375.74088907758141</v>
      </c>
      <c r="G28">
        <f>G12</f>
        <v>3.3395000000000001</v>
      </c>
      <c r="H28" s="28">
        <f t="shared" si="4"/>
        <v>21.995055555555556</v>
      </c>
      <c r="I28">
        <f>I12</f>
        <v>3.3338999999999999</v>
      </c>
      <c r="J28" s="28">
        <f t="shared" si="5"/>
        <v>21.989455555555555</v>
      </c>
      <c r="K28">
        <v>1.0503</v>
      </c>
      <c r="L28" s="28">
        <f t="shared" si="6"/>
        <v>19.705855555555555</v>
      </c>
      <c r="M28">
        <v>23.2</v>
      </c>
      <c r="N28" s="29">
        <v>3.2099999999999997E-2</v>
      </c>
      <c r="O28" s="28">
        <f t="shared" si="7"/>
        <v>17.283300000000001</v>
      </c>
      <c r="Q28" s="28"/>
      <c r="R28" s="37">
        <v>1300</v>
      </c>
      <c r="S28">
        <v>2</v>
      </c>
      <c r="T28" s="28">
        <f t="shared" si="8"/>
        <v>18.2</v>
      </c>
      <c r="AA28" s="37">
        <v>1300</v>
      </c>
      <c r="AB28" s="1">
        <v>22.800055267935761</v>
      </c>
      <c r="AC28" s="28">
        <f t="shared" si="9"/>
        <v>21.310764903194194</v>
      </c>
      <c r="AD28" s="27">
        <f t="shared" si="0"/>
        <v>18.7714</v>
      </c>
      <c r="AE28" s="38">
        <f t="shared" si="20"/>
        <v>8.9211891106616287E-3</v>
      </c>
      <c r="AF28" s="38">
        <f t="shared" si="21"/>
        <v>2.3080191295593976E-3</v>
      </c>
      <c r="AG28" s="38">
        <f t="shared" si="22"/>
        <v>1.2856000000000024E-2</v>
      </c>
      <c r="AH28" s="37">
        <v>1300</v>
      </c>
      <c r="AJ28" s="35">
        <f t="shared" si="11"/>
        <v>2908.9034000000001</v>
      </c>
      <c r="AK28">
        <f t="shared" si="12"/>
        <v>148236666354.53076</v>
      </c>
      <c r="AL28">
        <f t="shared" si="13"/>
        <v>21.310764903194194</v>
      </c>
      <c r="AN28">
        <v>2.3285999999999998</v>
      </c>
      <c r="AO28" s="28">
        <f t="shared" si="14"/>
        <v>18.528599999999997</v>
      </c>
      <c r="AQ28">
        <v>2.5714000000000001</v>
      </c>
      <c r="AR28" s="28">
        <f t="shared" si="15"/>
        <v>18.7714</v>
      </c>
      <c r="AS28" s="38">
        <f t="shared" si="23"/>
        <v>1.2856000000000001E-2</v>
      </c>
      <c r="AU28">
        <f t="shared" si="16"/>
        <v>22.939337467534401</v>
      </c>
      <c r="AV28">
        <f t="shared" si="17"/>
        <v>21.365218739598912</v>
      </c>
      <c r="AW28">
        <f t="shared" si="18"/>
        <v>19.092849999999999</v>
      </c>
    </row>
    <row r="29" spans="1:49" x14ac:dyDescent="0.3">
      <c r="A29">
        <f t="shared" si="2"/>
        <v>2700</v>
      </c>
      <c r="B29">
        <v>28</v>
      </c>
      <c r="C29" s="1">
        <v>23.213427008272301</v>
      </c>
      <c r="D29" s="9">
        <v>18.75</v>
      </c>
      <c r="E29">
        <v>15.400000000000002</v>
      </c>
      <c r="F29" s="27">
        <f t="shared" si="3"/>
        <v>446.34270082723015</v>
      </c>
      <c r="G29">
        <v>3.1212</v>
      </c>
      <c r="H29" s="28">
        <f t="shared" si="4"/>
        <v>21.871200000000002</v>
      </c>
      <c r="I29">
        <f>I11</f>
        <v>3.1158999999999999</v>
      </c>
      <c r="J29" s="28">
        <f t="shared" si="5"/>
        <v>21.8659</v>
      </c>
      <c r="K29">
        <v>1.5541</v>
      </c>
      <c r="L29" s="28">
        <f t="shared" si="6"/>
        <v>20.304099999999998</v>
      </c>
      <c r="M29">
        <v>23.2</v>
      </c>
      <c r="N29" s="29">
        <v>0.31730000000000003</v>
      </c>
      <c r="O29" s="28">
        <f t="shared" si="7"/>
        <v>18.2</v>
      </c>
      <c r="Q29" s="28"/>
      <c r="R29" s="37">
        <v>1350</v>
      </c>
      <c r="S29">
        <v>2.5</v>
      </c>
      <c r="T29" s="28">
        <f t="shared" si="8"/>
        <v>18.7</v>
      </c>
      <c r="AA29" s="37">
        <v>1350</v>
      </c>
      <c r="AB29" s="1">
        <v>23.07861966713304</v>
      </c>
      <c r="AC29" s="28">
        <f t="shared" si="9"/>
        <v>21.419672576003631</v>
      </c>
      <c r="AD29" s="27">
        <f t="shared" si="0"/>
        <v>19.414300000000001</v>
      </c>
      <c r="AE29" s="38">
        <f t="shared" si="20"/>
        <v>5.5712879839455807E-3</v>
      </c>
      <c r="AF29" s="38">
        <f t="shared" si="21"/>
        <v>2.1781534561887382E-3</v>
      </c>
      <c r="AG29" s="38">
        <f t="shared" si="22"/>
        <v>1.2858000000000019E-2</v>
      </c>
      <c r="AH29" s="37">
        <v>1350</v>
      </c>
      <c r="AJ29" s="35">
        <f t="shared" si="11"/>
        <v>2958.9034000000001</v>
      </c>
      <c r="AK29">
        <f t="shared" si="12"/>
        <v>148236750216.75076</v>
      </c>
      <c r="AL29">
        <f t="shared" si="13"/>
        <v>21.419672576003631</v>
      </c>
      <c r="AN29">
        <v>2.8571</v>
      </c>
      <c r="AO29" s="28">
        <f t="shared" si="14"/>
        <v>19.057099999999998</v>
      </c>
      <c r="AQ29">
        <v>3.2143000000000002</v>
      </c>
      <c r="AR29" s="28">
        <f t="shared" si="15"/>
        <v>19.414300000000001</v>
      </c>
      <c r="AS29" s="38">
        <f t="shared" si="23"/>
        <v>1.2858000000000001E-2</v>
      </c>
      <c r="AU29">
        <f t="shared" si="16"/>
        <v>23.150371870146881</v>
      </c>
      <c r="AV29">
        <f t="shared" si="17"/>
        <v>21.470879773338947</v>
      </c>
      <c r="AW29">
        <f t="shared" si="18"/>
        <v>19.735700000000001</v>
      </c>
    </row>
    <row r="30" spans="1:49" x14ac:dyDescent="0.3">
      <c r="A30">
        <f t="shared" si="2"/>
        <v>2800</v>
      </c>
      <c r="B30">
        <v>29</v>
      </c>
      <c r="C30" s="1">
        <v>24.00158638949922</v>
      </c>
      <c r="D30" s="9">
        <v>18.844444444444445</v>
      </c>
      <c r="E30">
        <v>12.500000000000002</v>
      </c>
      <c r="F30" s="27">
        <f t="shared" si="3"/>
        <v>515.71419450547751</v>
      </c>
      <c r="G30">
        <f>G10</f>
        <v>2.8771</v>
      </c>
      <c r="H30" s="28">
        <f t="shared" si="4"/>
        <v>21.721544444444444</v>
      </c>
      <c r="I30">
        <f>I10</f>
        <v>2.8723000000000001</v>
      </c>
      <c r="J30" s="28">
        <f t="shared" si="5"/>
        <v>21.716744444444444</v>
      </c>
      <c r="K30">
        <v>2.1802999999999999</v>
      </c>
      <c r="L30" s="28">
        <f t="shared" si="6"/>
        <v>21.024744444444444</v>
      </c>
      <c r="M30">
        <v>23.2</v>
      </c>
      <c r="N30" s="29">
        <v>0.85560000000000003</v>
      </c>
      <c r="O30" s="28">
        <f t="shared" si="7"/>
        <v>19.2</v>
      </c>
      <c r="P30">
        <v>3.5</v>
      </c>
      <c r="Q30" s="28">
        <f t="shared" si="24"/>
        <v>19.7</v>
      </c>
      <c r="R30" s="37">
        <v>1400</v>
      </c>
      <c r="S30">
        <v>3</v>
      </c>
      <c r="T30" s="28">
        <f t="shared" si="8"/>
        <v>19.2</v>
      </c>
      <c r="AA30" s="37">
        <v>1400</v>
      </c>
      <c r="AB30" s="1">
        <v>23.222124073160721</v>
      </c>
      <c r="AC30" s="28">
        <f t="shared" si="9"/>
        <v>21.522086970674263</v>
      </c>
      <c r="AD30" s="27">
        <f t="shared" si="0"/>
        <v>20.057099999999998</v>
      </c>
      <c r="AE30" s="38">
        <f t="shared" si="20"/>
        <v>2.8700881205536177E-3</v>
      </c>
      <c r="AF30" s="38">
        <f t="shared" si="21"/>
        <v>2.0482878934126349E-3</v>
      </c>
      <c r="AG30" s="38">
        <f t="shared" si="22"/>
        <v>1.2855999999999953E-2</v>
      </c>
      <c r="AH30" s="37">
        <v>1400</v>
      </c>
      <c r="AJ30" s="35">
        <f t="shared" si="11"/>
        <v>3008.9034000000001</v>
      </c>
      <c r="AK30">
        <f t="shared" si="12"/>
        <v>148236829078.97076</v>
      </c>
      <c r="AL30">
        <f t="shared" si="13"/>
        <v>21.522086970674263</v>
      </c>
      <c r="AN30">
        <v>3.4285999999999999</v>
      </c>
      <c r="AO30" s="28">
        <f t="shared" si="14"/>
        <v>19.628599999999999</v>
      </c>
      <c r="AQ30">
        <v>3.8571</v>
      </c>
      <c r="AR30" s="28">
        <f t="shared" si="15"/>
        <v>20.057099999999998</v>
      </c>
      <c r="AS30" s="38">
        <f t="shared" si="23"/>
        <v>1.2855999999999996E-2</v>
      </c>
      <c r="AU30">
        <f t="shared" si="16"/>
        <v>23.24106203658036</v>
      </c>
      <c r="AV30">
        <f t="shared" si="17"/>
        <v>21.570047531501313</v>
      </c>
      <c r="AW30">
        <f t="shared" si="18"/>
        <v>20.378549999999997</v>
      </c>
    </row>
    <row r="31" spans="1:49" x14ac:dyDescent="0.3">
      <c r="A31">
        <f t="shared" si="2"/>
        <v>2900</v>
      </c>
      <c r="B31">
        <v>30</v>
      </c>
      <c r="C31" s="1">
        <v>24.302311240474591</v>
      </c>
      <c r="D31" s="9">
        <v>18.93888888888889</v>
      </c>
      <c r="E31">
        <v>11.600000000000001</v>
      </c>
      <c r="F31" s="27">
        <f t="shared" si="3"/>
        <v>536.34223515857013</v>
      </c>
      <c r="G31">
        <f>G9</f>
        <v>2.6074000000000002</v>
      </c>
      <c r="H31" s="28">
        <f t="shared" si="4"/>
        <v>21.546288888888888</v>
      </c>
      <c r="I31">
        <f>I9</f>
        <v>2.6030000000000002</v>
      </c>
      <c r="J31" s="28">
        <f t="shared" si="5"/>
        <v>21.541888888888892</v>
      </c>
      <c r="K31">
        <v>2.7835000000000001</v>
      </c>
      <c r="L31" s="28">
        <f t="shared" si="6"/>
        <v>21.72238888888889</v>
      </c>
      <c r="M31">
        <v>23.2</v>
      </c>
      <c r="N31" s="29">
        <v>2.3018000000000001</v>
      </c>
      <c r="O31" s="28">
        <f t="shared" si="7"/>
        <v>20.2</v>
      </c>
      <c r="Q31" s="28"/>
      <c r="R31" s="37">
        <v>1450</v>
      </c>
      <c r="S31">
        <v>3.5</v>
      </c>
      <c r="T31" s="28">
        <f t="shared" si="8"/>
        <v>19.7</v>
      </c>
      <c r="AA31" s="37">
        <v>1450</v>
      </c>
      <c r="AB31" s="1">
        <v>23.26</v>
      </c>
      <c r="AC31" s="28">
        <f t="shared" si="9"/>
        <v>21.618008092328363</v>
      </c>
      <c r="AD31" s="27">
        <f t="shared" si="0"/>
        <v>20.7</v>
      </c>
      <c r="AE31" s="38">
        <f t="shared" si="20"/>
        <v>7.5751853678561075E-4</v>
      </c>
      <c r="AF31" s="38">
        <f t="shared" si="21"/>
        <v>1.9184224330820144E-3</v>
      </c>
      <c r="AG31" s="38">
        <f t="shared" si="22"/>
        <v>1.2858000000000019E-2</v>
      </c>
      <c r="AH31" s="37">
        <v>1450</v>
      </c>
      <c r="AJ31" s="35">
        <f t="shared" si="11"/>
        <v>3058.9034000000001</v>
      </c>
      <c r="AK31">
        <f t="shared" si="12"/>
        <v>148236902941.19077</v>
      </c>
      <c r="AL31">
        <f t="shared" si="13"/>
        <v>21.618008092328363</v>
      </c>
      <c r="AN31">
        <v>4</v>
      </c>
      <c r="AO31" s="28">
        <f t="shared" si="14"/>
        <v>20.2</v>
      </c>
      <c r="AQ31">
        <v>4.5</v>
      </c>
      <c r="AR31" s="28">
        <f t="shared" si="15"/>
        <v>20.7</v>
      </c>
      <c r="AS31" s="38">
        <f t="shared" si="23"/>
        <v>1.2858000000000001E-2</v>
      </c>
      <c r="AU31">
        <f t="shared" si="16"/>
        <v>23.189347050068363</v>
      </c>
      <c r="AV31">
        <f t="shared" si="17"/>
        <v>21.66272201909187</v>
      </c>
      <c r="AW31">
        <f t="shared" si="18"/>
        <v>21.021450000000002</v>
      </c>
    </row>
    <row r="32" spans="1:49" x14ac:dyDescent="0.3">
      <c r="A32">
        <f t="shared" si="2"/>
        <v>3000</v>
      </c>
      <c r="B32">
        <v>31</v>
      </c>
      <c r="C32" s="1">
        <v>24</v>
      </c>
      <c r="D32" s="9">
        <v>19.033333333333335</v>
      </c>
      <c r="E32">
        <v>15.500000000000002</v>
      </c>
      <c r="F32" s="27">
        <f t="shared" si="3"/>
        <v>496.66666666666652</v>
      </c>
      <c r="G32">
        <f>G8</f>
        <v>2.3119999999999998</v>
      </c>
      <c r="H32" s="28">
        <f t="shared" si="4"/>
        <v>21.345333333333336</v>
      </c>
      <c r="I32">
        <f>I8</f>
        <v>2.3081</v>
      </c>
      <c r="J32" s="28">
        <f t="shared" si="5"/>
        <v>21.341433333333335</v>
      </c>
      <c r="K32">
        <v>3.1819000000000002</v>
      </c>
      <c r="L32" s="28">
        <f t="shared" si="6"/>
        <v>22.215233333333334</v>
      </c>
      <c r="M32">
        <v>23.2</v>
      </c>
      <c r="N32" s="29">
        <v>3.3041999999999998</v>
      </c>
      <c r="O32" s="28">
        <f t="shared" si="7"/>
        <v>21.2</v>
      </c>
      <c r="Q32" s="28"/>
      <c r="R32" s="37">
        <v>1500</v>
      </c>
      <c r="S32">
        <v>4</v>
      </c>
      <c r="T32" s="28">
        <f t="shared" si="8"/>
        <v>20.2</v>
      </c>
      <c r="AA32" s="37">
        <v>1500</v>
      </c>
      <c r="AB32" s="1">
        <v>23.118694100136729</v>
      </c>
      <c r="AC32" s="28">
        <f t="shared" si="9"/>
        <v>21.707435945855377</v>
      </c>
      <c r="AD32" s="27">
        <f t="shared" si="0"/>
        <v>21.3429</v>
      </c>
      <c r="AE32" s="38">
        <f t="shared" si="20"/>
        <v>-2.8261179972654559E-3</v>
      </c>
      <c r="AF32" s="38">
        <f t="shared" si="21"/>
        <v>1.7885570705402642E-3</v>
      </c>
      <c r="AG32" s="38">
        <f t="shared" si="22"/>
        <v>1.2858000000000019E-2</v>
      </c>
      <c r="AH32" s="37">
        <v>1500</v>
      </c>
      <c r="AJ32" s="35">
        <f t="shared" si="11"/>
        <v>3108.9034000000001</v>
      </c>
      <c r="AK32">
        <f t="shared" si="12"/>
        <v>148236971803.41074</v>
      </c>
      <c r="AL32">
        <f t="shared" si="13"/>
        <v>21.707435945855377</v>
      </c>
      <c r="AN32">
        <v>4.5713999999999997</v>
      </c>
      <c r="AO32" s="28">
        <f t="shared" si="14"/>
        <v>20.7714</v>
      </c>
      <c r="AQ32">
        <v>5.1429</v>
      </c>
      <c r="AR32" s="28">
        <f t="shared" si="15"/>
        <v>21.3429</v>
      </c>
      <c r="AS32" s="38">
        <f t="shared" si="23"/>
        <v>1.2858000000000001E-2</v>
      </c>
      <c r="AU32">
        <f t="shared" si="16"/>
        <v>22.991877604483143</v>
      </c>
      <c r="AV32">
        <f t="shared" si="17"/>
        <v>21.748903240854542</v>
      </c>
      <c r="AW32">
        <f t="shared" si="18"/>
        <v>21.664300000000001</v>
      </c>
    </row>
    <row r="33" spans="1:49" x14ac:dyDescent="0.3">
      <c r="A33">
        <f t="shared" si="2"/>
        <v>3100</v>
      </c>
      <c r="B33">
        <v>32</v>
      </c>
      <c r="C33" s="1">
        <v>23.54435048117206</v>
      </c>
      <c r="D33" s="9">
        <v>19.12777777777778</v>
      </c>
      <c r="E33">
        <v>19.400000000000002</v>
      </c>
      <c r="F33" s="27">
        <f t="shared" si="3"/>
        <v>441.65727033942801</v>
      </c>
      <c r="G33">
        <f>G7</f>
        <v>1.9908999999999999</v>
      </c>
      <c r="H33" s="28">
        <f t="shared" si="4"/>
        <v>21.11867777777778</v>
      </c>
      <c r="I33">
        <f>I7</f>
        <v>1.9875</v>
      </c>
      <c r="J33" s="28">
        <f t="shared" si="5"/>
        <v>21.115277777777781</v>
      </c>
      <c r="K33">
        <v>3.2791000000000001</v>
      </c>
      <c r="L33" s="28">
        <f t="shared" si="6"/>
        <v>22.40687777777778</v>
      </c>
      <c r="M33">
        <v>23.2</v>
      </c>
      <c r="N33" s="29">
        <v>3.8628999999999998</v>
      </c>
      <c r="O33" s="28">
        <f t="shared" si="7"/>
        <v>22.139800000000001</v>
      </c>
      <c r="Q33" s="28"/>
      <c r="R33" s="37">
        <v>1550</v>
      </c>
      <c r="S33">
        <v>4.5</v>
      </c>
      <c r="T33" s="28">
        <f t="shared" si="8"/>
        <v>20.7</v>
      </c>
      <c r="AA33" s="37">
        <v>1550</v>
      </c>
      <c r="AB33" s="1">
        <v>22.865061108829561</v>
      </c>
      <c r="AC33" s="28">
        <f t="shared" si="9"/>
        <v>21.790370535853707</v>
      </c>
      <c r="AD33" s="27">
        <f t="shared" si="0"/>
        <v>21.985700000000001</v>
      </c>
      <c r="AE33" s="38">
        <f t="shared" si="20"/>
        <v>-5.072659826143351E-3</v>
      </c>
      <c r="AF33" s="38">
        <f t="shared" si="21"/>
        <v>1.6586917999666185E-3</v>
      </c>
      <c r="AG33" s="38">
        <f t="shared" si="22"/>
        <v>1.2856000000000024E-2</v>
      </c>
      <c r="AH33" s="37">
        <v>1550</v>
      </c>
      <c r="AJ33" s="35">
        <f t="shared" si="11"/>
        <v>3158.9034000000001</v>
      </c>
      <c r="AK33">
        <f t="shared" si="12"/>
        <v>148237035665.63074</v>
      </c>
      <c r="AL33">
        <f t="shared" si="13"/>
        <v>21.790370535853707</v>
      </c>
      <c r="AN33">
        <v>5.1429</v>
      </c>
      <c r="AO33" s="28">
        <f t="shared" si="14"/>
        <v>21.3429</v>
      </c>
      <c r="AQ33">
        <v>5.7857000000000003</v>
      </c>
      <c r="AR33" s="28">
        <f t="shared" si="15"/>
        <v>21.985700000000001</v>
      </c>
      <c r="AS33" s="38">
        <f t="shared" si="23"/>
        <v>1.2856000000000005E-2</v>
      </c>
      <c r="AU33">
        <f t="shared" si="16"/>
        <v>22.683158570816744</v>
      </c>
      <c r="AV33">
        <f t="shared" si="17"/>
        <v>21.8285912011258</v>
      </c>
      <c r="AW33">
        <f t="shared" si="18"/>
        <v>22.30715</v>
      </c>
    </row>
    <row r="34" spans="1:49" x14ac:dyDescent="0.3">
      <c r="A34">
        <f t="shared" si="2"/>
        <v>3200</v>
      </c>
      <c r="B34">
        <v>33</v>
      </c>
      <c r="C34" s="1">
        <v>22.791726575079771</v>
      </c>
      <c r="D34" s="9">
        <v>19.222222222222225</v>
      </c>
      <c r="E34">
        <v>18.600000000000001</v>
      </c>
      <c r="F34" s="27">
        <f t="shared" si="3"/>
        <v>356.95043528575462</v>
      </c>
      <c r="G34">
        <f>G6</f>
        <v>1.6640999999999999</v>
      </c>
      <c r="H34" s="28">
        <f t="shared" si="4"/>
        <v>20.886322222222226</v>
      </c>
      <c r="I34">
        <v>1.6413</v>
      </c>
      <c r="J34" s="28">
        <f t="shared" si="5"/>
        <v>20.863522222222226</v>
      </c>
      <c r="K34">
        <v>3.0756999999999999</v>
      </c>
      <c r="L34" s="28">
        <f t="shared" si="6"/>
        <v>22.297922222222226</v>
      </c>
      <c r="M34">
        <v>23.2</v>
      </c>
      <c r="N34" s="29">
        <v>3.9777999999999998</v>
      </c>
      <c r="O34" s="28">
        <f t="shared" si="7"/>
        <v>22.523099999999999</v>
      </c>
      <c r="P34">
        <v>7</v>
      </c>
      <c r="Q34" s="28">
        <f t="shared" si="24"/>
        <v>23.2</v>
      </c>
      <c r="R34" s="37">
        <v>1600</v>
      </c>
      <c r="S34">
        <v>5</v>
      </c>
      <c r="T34" s="28">
        <f t="shared" si="8"/>
        <v>21.2</v>
      </c>
      <c r="AA34" s="37">
        <v>1600</v>
      </c>
      <c r="AB34" s="1">
        <v>22.50125603280393</v>
      </c>
      <c r="AC34" s="28">
        <f t="shared" si="9"/>
        <v>21.866811866397892</v>
      </c>
      <c r="AD34" s="27">
        <f t="shared" ref="AD34:AD66" si="25">AR34</f>
        <v>22.628599999999999</v>
      </c>
      <c r="AE34" s="38">
        <f t="shared" si="20"/>
        <v>-7.2761015205126253E-3</v>
      </c>
      <c r="AF34" s="38">
        <f t="shared" si="21"/>
        <v>1.5288266108836979E-3</v>
      </c>
      <c r="AG34" s="38">
        <f t="shared" si="22"/>
        <v>1.2857999999999948E-2</v>
      </c>
      <c r="AH34" s="37">
        <v>1600</v>
      </c>
      <c r="AJ34" s="35">
        <f t="shared" si="11"/>
        <v>3208.9034000000001</v>
      </c>
      <c r="AK34">
        <f t="shared" si="12"/>
        <v>148237094527.85074</v>
      </c>
      <c r="AL34">
        <f t="shared" si="13"/>
        <v>21.866811866397892</v>
      </c>
      <c r="AN34">
        <v>5.7142999999999997</v>
      </c>
      <c r="AO34" s="28">
        <f t="shared" si="14"/>
        <v>21.914299999999997</v>
      </c>
      <c r="AQ34">
        <v>6.4286000000000003</v>
      </c>
      <c r="AR34" s="28">
        <f t="shared" si="15"/>
        <v>22.628599999999999</v>
      </c>
      <c r="AS34" s="38">
        <f t="shared" si="23"/>
        <v>1.2858000000000001E-2</v>
      </c>
      <c r="AU34">
        <f t="shared" si="16"/>
        <v>22.29113345689349</v>
      </c>
      <c r="AV34">
        <f t="shared" si="17"/>
        <v>21.901785903921972</v>
      </c>
      <c r="AW34">
        <f t="shared" si="18"/>
        <v>22.9194</v>
      </c>
    </row>
    <row r="35" spans="1:49" x14ac:dyDescent="0.3">
      <c r="A35">
        <f t="shared" si="2"/>
        <v>3300</v>
      </c>
      <c r="B35">
        <v>34</v>
      </c>
      <c r="C35" s="1">
        <v>22.00703436627866</v>
      </c>
      <c r="D35" s="9">
        <v>19.316666666666666</v>
      </c>
      <c r="E35">
        <v>15.8</v>
      </c>
      <c r="F35" s="27">
        <f t="shared" si="3"/>
        <v>269.03676996119935</v>
      </c>
      <c r="G35">
        <f>G5</f>
        <v>1.2716000000000001</v>
      </c>
      <c r="H35" s="28">
        <f t="shared" si="4"/>
        <v>20.588266666666666</v>
      </c>
      <c r="I35">
        <v>1.2694000000000001</v>
      </c>
      <c r="J35" s="28">
        <f t="shared" si="5"/>
        <v>20.586066666666667</v>
      </c>
      <c r="K35">
        <v>2.5998999999999999</v>
      </c>
      <c r="L35" s="28">
        <f t="shared" si="6"/>
        <v>21.916566666666668</v>
      </c>
      <c r="M35">
        <v>23.2</v>
      </c>
      <c r="N35" s="29">
        <v>3.649</v>
      </c>
      <c r="O35" s="28">
        <f t="shared" si="7"/>
        <v>22.239799999999999</v>
      </c>
      <c r="Q35" s="28"/>
      <c r="R35" s="37">
        <v>1650</v>
      </c>
      <c r="S35">
        <v>5.5</v>
      </c>
      <c r="T35" s="28">
        <f t="shared" si="8"/>
        <v>21.7</v>
      </c>
      <c r="AA35" s="37">
        <v>1650</v>
      </c>
      <c r="AB35" s="1">
        <v>22.081010880983051</v>
      </c>
      <c r="AC35" s="28">
        <f t="shared" si="9"/>
        <v>21.936759941446052</v>
      </c>
      <c r="AD35" s="27">
        <f t="shared" si="25"/>
        <v>23.2102</v>
      </c>
      <c r="AE35" s="38">
        <f t="shared" si="20"/>
        <v>-8.404903036417579E-3</v>
      </c>
      <c r="AF35" s="38">
        <f t="shared" si="21"/>
        <v>1.3989615009631961E-3</v>
      </c>
      <c r="AG35" s="38">
        <f t="shared" si="22"/>
        <v>1.1632000000000033E-2</v>
      </c>
      <c r="AH35" s="37">
        <v>1650</v>
      </c>
      <c r="AJ35" s="35">
        <f t="shared" si="11"/>
        <v>3258.9034000000001</v>
      </c>
      <c r="AK35">
        <f t="shared" si="12"/>
        <v>148237148390.07074</v>
      </c>
      <c r="AL35">
        <f t="shared" si="13"/>
        <v>21.936759941446052</v>
      </c>
      <c r="AN35">
        <v>6.2857000000000003</v>
      </c>
      <c r="AO35" s="28">
        <f t="shared" si="14"/>
        <v>22.485700000000001</v>
      </c>
      <c r="AQ35">
        <v>7.0102000000000002</v>
      </c>
      <c r="AR35" s="28">
        <f t="shared" si="15"/>
        <v>23.2102</v>
      </c>
      <c r="AS35" s="38">
        <f t="shared" si="23"/>
        <v>1.1631999999999998E-2</v>
      </c>
      <c r="AU35">
        <f t="shared" si="16"/>
        <v>21.883026059109923</v>
      </c>
      <c r="AV35">
        <f t="shared" si="17"/>
        <v>21.968487352968349</v>
      </c>
      <c r="AW35">
        <f t="shared" si="18"/>
        <v>23.41855</v>
      </c>
    </row>
    <row r="36" spans="1:49" x14ac:dyDescent="0.3">
      <c r="A36">
        <f t="shared" si="2"/>
        <v>3400</v>
      </c>
      <c r="B36">
        <v>35</v>
      </c>
      <c r="C36" s="1">
        <v>21.364055877997689</v>
      </c>
      <c r="D36" s="9">
        <v>19.411111111111111</v>
      </c>
      <c r="E36">
        <v>18.8</v>
      </c>
      <c r="F36" s="27">
        <f t="shared" si="3"/>
        <v>195.29447668865777</v>
      </c>
      <c r="G36">
        <f>G4</f>
        <v>0.87</v>
      </c>
      <c r="H36" s="28">
        <f t="shared" si="4"/>
        <v>20.281111111111112</v>
      </c>
      <c r="I36">
        <v>0.87190000000000001</v>
      </c>
      <c r="J36" s="28">
        <f t="shared" si="5"/>
        <v>20.283011111111112</v>
      </c>
      <c r="K36">
        <v>1.8968</v>
      </c>
      <c r="L36" s="28">
        <f t="shared" si="6"/>
        <v>21.30791111111111</v>
      </c>
      <c r="M36">
        <v>23.2</v>
      </c>
      <c r="N36" s="29">
        <v>2.8763999999999998</v>
      </c>
      <c r="O36" s="28">
        <f t="shared" si="7"/>
        <v>21.4</v>
      </c>
      <c r="Q36" s="28"/>
      <c r="R36" s="37">
        <v>1700</v>
      </c>
      <c r="S36">
        <v>5.9166999999999996</v>
      </c>
      <c r="T36" s="28">
        <f t="shared" si="8"/>
        <v>22.116699999999998</v>
      </c>
      <c r="AA36" s="37">
        <v>1700</v>
      </c>
      <c r="AB36" s="1">
        <v>21.685041237236799</v>
      </c>
      <c r="AC36" s="28">
        <f t="shared" si="9"/>
        <v>22.000214764490647</v>
      </c>
      <c r="AD36" s="27">
        <f t="shared" si="25"/>
        <v>23.626899999999999</v>
      </c>
      <c r="AE36" s="38">
        <f t="shared" si="20"/>
        <v>-7.9193928749250377E-3</v>
      </c>
      <c r="AF36" s="38">
        <f t="shared" si="21"/>
        <v>1.2690964608918875E-3</v>
      </c>
      <c r="AG36" s="38">
        <f t="shared" si="22"/>
        <v>8.3339999999999751E-3</v>
      </c>
      <c r="AH36" s="37">
        <v>1700</v>
      </c>
      <c r="AJ36" s="35">
        <f t="shared" si="11"/>
        <v>3308.9034000000001</v>
      </c>
      <c r="AK36">
        <f t="shared" si="12"/>
        <v>148237197252.29074</v>
      </c>
      <c r="AL36">
        <f t="shared" si="13"/>
        <v>22.000214764490647</v>
      </c>
      <c r="AN36">
        <v>6.6871</v>
      </c>
      <c r="AO36" s="28">
        <f t="shared" si="14"/>
        <v>22.8871</v>
      </c>
      <c r="AQ36">
        <v>7.4268999999999998</v>
      </c>
      <c r="AR36" s="28">
        <f t="shared" si="15"/>
        <v>23.626899999999999</v>
      </c>
      <c r="AS36" s="38">
        <f t="shared" si="23"/>
        <v>8.3339999999999925E-3</v>
      </c>
      <c r="AU36">
        <f t="shared" si="16"/>
        <v>21.474999413800063</v>
      </c>
      <c r="AV36">
        <f t="shared" si="17"/>
        <v>22.028695551611872</v>
      </c>
      <c r="AW36">
        <f t="shared" si="18"/>
        <v>23.751899999999999</v>
      </c>
    </row>
    <row r="37" spans="1:49" x14ac:dyDescent="0.3">
      <c r="A37">
        <f t="shared" si="2"/>
        <v>3500</v>
      </c>
      <c r="B37">
        <v>36</v>
      </c>
      <c r="C37" s="1">
        <v>20.414459886974011</v>
      </c>
      <c r="D37" s="9">
        <v>19.505555555555556</v>
      </c>
      <c r="E37">
        <v>15.600000000000001</v>
      </c>
      <c r="F37" s="27">
        <f t="shared" si="3"/>
        <v>90.890433141845506</v>
      </c>
      <c r="G37">
        <f>G3</f>
        <v>0.44</v>
      </c>
      <c r="H37" s="28">
        <f t="shared" si="4"/>
        <v>19.945555555555558</v>
      </c>
      <c r="I37">
        <v>0.44879999999999998</v>
      </c>
      <c r="J37" s="28">
        <f t="shared" si="5"/>
        <v>19.954355555555555</v>
      </c>
      <c r="K37">
        <v>1.0152000000000001</v>
      </c>
      <c r="L37" s="28">
        <f t="shared" si="6"/>
        <v>20.520755555555557</v>
      </c>
      <c r="M37">
        <v>23.2</v>
      </c>
      <c r="N37" s="29">
        <v>1.6600999999999999</v>
      </c>
      <c r="O37" s="28">
        <f t="shared" si="7"/>
        <v>20.5</v>
      </c>
      <c r="Q37" s="28"/>
      <c r="R37" s="37">
        <v>1750</v>
      </c>
      <c r="S37">
        <v>6.1666999999999996</v>
      </c>
      <c r="T37" s="28">
        <f t="shared" si="8"/>
        <v>22.366699999999998</v>
      </c>
      <c r="AA37" s="37">
        <v>1750</v>
      </c>
      <c r="AB37" s="1">
        <v>21.264957590363331</v>
      </c>
      <c r="AC37" s="28">
        <f t="shared" si="9"/>
        <v>22.057176338733097</v>
      </c>
      <c r="AD37" s="27">
        <f t="shared" si="25"/>
        <v>23.876899999999999</v>
      </c>
      <c r="AE37" s="38">
        <f t="shared" si="20"/>
        <v>-8.4016729374693719E-3</v>
      </c>
      <c r="AF37" s="38">
        <f t="shared" si="21"/>
        <v>1.1392314848490059E-3</v>
      </c>
      <c r="AG37" s="38">
        <f t="shared" si="22"/>
        <v>5.0000000000000001E-3</v>
      </c>
      <c r="AH37" s="37">
        <v>1750</v>
      </c>
      <c r="AJ37" s="35">
        <f t="shared" si="11"/>
        <v>3358.9034000000001</v>
      </c>
      <c r="AK37">
        <f t="shared" si="12"/>
        <v>148237241114.51074</v>
      </c>
      <c r="AL37">
        <f t="shared" si="13"/>
        <v>22.057176338733097</v>
      </c>
      <c r="AN37">
        <v>6.9371</v>
      </c>
      <c r="AO37" s="28">
        <f t="shared" si="14"/>
        <v>23.1371</v>
      </c>
      <c r="AQ37">
        <v>7.6768999999999998</v>
      </c>
      <c r="AR37" s="28">
        <f t="shared" si="15"/>
        <v>23.876899999999999</v>
      </c>
      <c r="AS37" s="38">
        <f t="shared" si="23"/>
        <v>5.0000000000000001E-3</v>
      </c>
      <c r="AU37">
        <f t="shared" si="16"/>
        <v>21.089434784863933</v>
      </c>
      <c r="AV37">
        <f t="shared" si="17"/>
        <v>22.082410502937545</v>
      </c>
      <c r="AW37">
        <f t="shared" si="18"/>
        <v>23.91845</v>
      </c>
    </row>
    <row r="38" spans="1:49" x14ac:dyDescent="0.3">
      <c r="A38">
        <f t="shared" si="2"/>
        <v>3600</v>
      </c>
      <c r="B38">
        <v>37</v>
      </c>
      <c r="C38" s="1">
        <v>19.600000000000001</v>
      </c>
      <c r="D38" s="9">
        <v>19.600000000000001</v>
      </c>
      <c r="E38">
        <v>19.600000000000001</v>
      </c>
      <c r="F38" s="27">
        <f t="shared" si="3"/>
        <v>0</v>
      </c>
      <c r="G38">
        <f>G2</f>
        <v>0</v>
      </c>
      <c r="H38" s="28">
        <f t="shared" si="4"/>
        <v>19.600000000000001</v>
      </c>
      <c r="I38">
        <v>0</v>
      </c>
      <c r="J38" s="28">
        <f>D38+I38</f>
        <v>19.600000000000001</v>
      </c>
      <c r="K38">
        <v>0</v>
      </c>
      <c r="L38" s="28">
        <f t="shared" si="6"/>
        <v>19.600000000000001</v>
      </c>
      <c r="M38">
        <v>23.2</v>
      </c>
      <c r="N38" s="29">
        <v>0</v>
      </c>
      <c r="O38" s="28">
        <f t="shared" si="7"/>
        <v>19.599999999999998</v>
      </c>
      <c r="P38">
        <v>3.4</v>
      </c>
      <c r="Q38" s="28">
        <f t="shared" si="24"/>
        <v>19.599999999999998</v>
      </c>
      <c r="R38" s="37">
        <v>1800</v>
      </c>
      <c r="S38">
        <v>6.25</v>
      </c>
      <c r="T38" s="28">
        <f t="shared" si="8"/>
        <v>22.45</v>
      </c>
      <c r="U38">
        <v>7</v>
      </c>
      <c r="V38">
        <f>U38+C$2</f>
        <v>23.2</v>
      </c>
      <c r="W38" s="37">
        <f>R38</f>
        <v>1800</v>
      </c>
      <c r="AA38" s="37">
        <v>1800</v>
      </c>
      <c r="AB38" s="1">
        <v>20.913911979364531</v>
      </c>
      <c r="AC38" s="28">
        <f t="shared" si="9"/>
        <v>22.107644667141994</v>
      </c>
      <c r="AD38" s="27">
        <f t="shared" si="25"/>
        <v>23.96</v>
      </c>
      <c r="AE38" s="38">
        <f t="shared" si="20"/>
        <v>-7.0209122199759834E-3</v>
      </c>
      <c r="AF38" s="38">
        <f t="shared" si="21"/>
        <v>1.0093665681779385E-3</v>
      </c>
      <c r="AG38" s="38">
        <f t="shared" si="22"/>
        <v>1.6620000000000345E-3</v>
      </c>
      <c r="AH38" s="37">
        <v>1800</v>
      </c>
      <c r="AJ38" s="35">
        <f t="shared" si="11"/>
        <v>3408.9034000000001</v>
      </c>
      <c r="AK38">
        <f t="shared" si="12"/>
        <v>148237279976.73074</v>
      </c>
      <c r="AL38">
        <f t="shared" si="13"/>
        <v>22.107644667141994</v>
      </c>
      <c r="AN38">
        <v>7</v>
      </c>
      <c r="AO38" s="28">
        <f t="shared" si="14"/>
        <v>23.2</v>
      </c>
      <c r="AQ38">
        <v>7.76</v>
      </c>
      <c r="AR38" s="28">
        <f t="shared" si="15"/>
        <v>23.96</v>
      </c>
      <c r="AS38" s="38">
        <f t="shared" si="23"/>
        <v>1.661999999999999E-3</v>
      </c>
      <c r="AU38">
        <f t="shared" si="16"/>
        <v>20.730401854211038</v>
      </c>
      <c r="AV38">
        <f t="shared" si="17"/>
        <v>22.129632209652026</v>
      </c>
      <c r="AW38">
        <f t="shared" si="18"/>
        <v>23.91845</v>
      </c>
    </row>
    <row r="39" spans="1:49" x14ac:dyDescent="0.3">
      <c r="F39" s="27">
        <f>SUM(F2:F38)</f>
        <v>10041.387522256693</v>
      </c>
      <c r="J39" s="28">
        <f>MAX(J2:J38)</f>
        <v>22.227177777777779</v>
      </c>
      <c r="K39" s="28"/>
      <c r="L39" s="28">
        <f t="shared" ref="L39" si="26">MAX(L2:L38)</f>
        <v>23.2</v>
      </c>
      <c r="R39" s="37">
        <v>1850</v>
      </c>
      <c r="S39">
        <v>6.1666999999999996</v>
      </c>
      <c r="T39" s="28">
        <f t="shared" si="8"/>
        <v>22.366699999999998</v>
      </c>
      <c r="AA39" s="37">
        <v>1850</v>
      </c>
      <c r="AB39" s="1">
        <v>20.546891729057549</v>
      </c>
      <c r="AC39" s="28">
        <f t="shared" si="9"/>
        <v>22.151619752162059</v>
      </c>
      <c r="AD39" s="27">
        <f t="shared" si="25"/>
        <v>23.876899999999999</v>
      </c>
      <c r="AE39" s="38">
        <f t="shared" si="20"/>
        <v>-7.3404050061396473E-3</v>
      </c>
      <c r="AF39" s="38">
        <f t="shared" si="21"/>
        <v>8.7950170040130616E-4</v>
      </c>
      <c r="AG39" s="38">
        <f t="shared" si="22"/>
        <v>-1.6620000000000345E-3</v>
      </c>
      <c r="AH39" s="37">
        <v>1850</v>
      </c>
      <c r="AJ39" s="35">
        <f t="shared" si="11"/>
        <v>3458.9034000000001</v>
      </c>
      <c r="AK39">
        <f t="shared" si="12"/>
        <v>148237313838.95074</v>
      </c>
      <c r="AL39">
        <f t="shared" si="13"/>
        <v>22.151619752162059</v>
      </c>
      <c r="AN39">
        <v>6.9371</v>
      </c>
      <c r="AO39" s="28">
        <f t="shared" si="14"/>
        <v>23.1371</v>
      </c>
      <c r="AQ39">
        <v>7.6768999999999998</v>
      </c>
      <c r="AR39" s="28">
        <f t="shared" si="15"/>
        <v>23.876899999999999</v>
      </c>
      <c r="AS39" s="38">
        <f t="shared" si="23"/>
        <v>-1.661999999999999E-3</v>
      </c>
      <c r="AU39">
        <f t="shared" si="16"/>
        <v>20.349604584095133</v>
      </c>
      <c r="AV39">
        <f t="shared" si="17"/>
        <v>22.170360674112725</v>
      </c>
      <c r="AW39">
        <f t="shared" si="18"/>
        <v>23.751899999999999</v>
      </c>
    </row>
    <row r="40" spans="1:49" x14ac:dyDescent="0.3">
      <c r="R40" s="37">
        <v>1900</v>
      </c>
      <c r="S40">
        <v>5.9166999999999996</v>
      </c>
      <c r="T40" s="28">
        <f t="shared" si="8"/>
        <v>22.116699999999998</v>
      </c>
      <c r="AA40" s="37">
        <v>1900</v>
      </c>
      <c r="AB40" s="1">
        <v>20.15231743913272</v>
      </c>
      <c r="AC40" s="28">
        <f t="shared" si="9"/>
        <v>22.189101596063391</v>
      </c>
      <c r="AD40" s="27">
        <f t="shared" si="25"/>
        <v>23.626899999999999</v>
      </c>
      <c r="AE40" s="38">
        <f t="shared" si="20"/>
        <v>-7.8914857984965885E-3</v>
      </c>
      <c r="AF40" s="38">
        <f t="shared" si="21"/>
        <v>7.4963687802664936E-4</v>
      </c>
      <c r="AG40" s="38">
        <f t="shared" si="22"/>
        <v>-5.0000000000000001E-3</v>
      </c>
      <c r="AH40" s="37">
        <v>1900</v>
      </c>
      <c r="AJ40" s="35">
        <f t="shared" si="11"/>
        <v>3508.9034000000001</v>
      </c>
      <c r="AK40">
        <f t="shared" si="12"/>
        <v>148237342701.17075</v>
      </c>
      <c r="AL40">
        <f t="shared" si="13"/>
        <v>22.189101596063391</v>
      </c>
      <c r="AN40">
        <v>6.6871</v>
      </c>
      <c r="AO40" s="28">
        <f t="shared" si="14"/>
        <v>22.8871</v>
      </c>
      <c r="AQ40">
        <v>7.4268999999999998</v>
      </c>
      <c r="AR40" s="28">
        <f t="shared" si="15"/>
        <v>23.626899999999999</v>
      </c>
      <c r="AS40" s="38">
        <f t="shared" si="23"/>
        <v>-5.0000000000000001E-3</v>
      </c>
      <c r="AU40">
        <f t="shared" si="16"/>
        <v>19.975719862187788</v>
      </c>
      <c r="AV40">
        <f t="shared" si="17"/>
        <v>22.204595898386014</v>
      </c>
      <c r="AW40">
        <f t="shared" si="18"/>
        <v>23.41855</v>
      </c>
    </row>
    <row r="41" spans="1:49" x14ac:dyDescent="0.3">
      <c r="R41" s="37">
        <v>1950</v>
      </c>
      <c r="S41">
        <v>5.5</v>
      </c>
      <c r="T41" s="28">
        <f t="shared" si="8"/>
        <v>21.7</v>
      </c>
      <c r="AA41" s="37">
        <v>1950</v>
      </c>
      <c r="AB41" s="1">
        <v>19.799122285242859</v>
      </c>
      <c r="AC41" s="28">
        <f t="shared" si="9"/>
        <v>22.220090200708636</v>
      </c>
      <c r="AD41" s="27">
        <f t="shared" si="25"/>
        <v>23.2102</v>
      </c>
      <c r="AE41" s="38">
        <f t="shared" si="20"/>
        <v>-7.0639030777972069E-3</v>
      </c>
      <c r="AF41" s="38">
        <f t="shared" si="21"/>
        <v>6.1977209290489557E-4</v>
      </c>
      <c r="AG41" s="38">
        <f t="shared" si="22"/>
        <v>-8.3339999999999751E-3</v>
      </c>
      <c r="AH41" s="37">
        <v>1950</v>
      </c>
      <c r="AJ41" s="35">
        <f t="shared" si="11"/>
        <v>3558.9034000000001</v>
      </c>
      <c r="AK41">
        <f t="shared" si="12"/>
        <v>148237366563.39075</v>
      </c>
      <c r="AL41">
        <f t="shared" si="13"/>
        <v>22.220090200708636</v>
      </c>
      <c r="AN41">
        <v>6.2857000000000003</v>
      </c>
      <c r="AO41" s="28">
        <f t="shared" si="14"/>
        <v>22.485700000000001</v>
      </c>
      <c r="AQ41">
        <v>7.0102000000000002</v>
      </c>
      <c r="AR41" s="28">
        <f t="shared" si="15"/>
        <v>23.2102</v>
      </c>
      <c r="AS41" s="38">
        <f t="shared" si="23"/>
        <v>-8.3339999999999925E-3</v>
      </c>
      <c r="AU41">
        <f t="shared" si="16"/>
        <v>19.656783697937882</v>
      </c>
      <c r="AV41">
        <f t="shared" si="17"/>
        <v>22.232337884218122</v>
      </c>
      <c r="AW41">
        <f t="shared" si="18"/>
        <v>22.9194</v>
      </c>
    </row>
    <row r="42" spans="1:49" x14ac:dyDescent="0.3">
      <c r="R42" s="37">
        <v>2000</v>
      </c>
      <c r="S42">
        <v>5</v>
      </c>
      <c r="T42" s="28">
        <f t="shared" si="8"/>
        <v>21.2</v>
      </c>
      <c r="AA42" s="37">
        <v>2000</v>
      </c>
      <c r="AB42" s="1">
        <v>19.514445110632909</v>
      </c>
      <c r="AC42" s="28">
        <f t="shared" si="9"/>
        <v>22.244585567727608</v>
      </c>
      <c r="AD42" s="27">
        <f t="shared" si="25"/>
        <v>22.628599999999999</v>
      </c>
      <c r="AE42" s="38">
        <f t="shared" si="20"/>
        <v>-5.6935434921989983E-3</v>
      </c>
      <c r="AF42" s="38">
        <f t="shared" si="21"/>
        <v>4.8990734037943182E-4</v>
      </c>
      <c r="AG42" s="38">
        <f t="shared" si="22"/>
        <v>-1.1632000000000033E-2</v>
      </c>
      <c r="AH42" s="37">
        <v>2000</v>
      </c>
      <c r="AJ42" s="35">
        <f t="shared" si="11"/>
        <v>3608.9034000000001</v>
      </c>
      <c r="AK42">
        <f t="shared" si="12"/>
        <v>148237385425.61075</v>
      </c>
      <c r="AL42">
        <f t="shared" si="13"/>
        <v>22.244585567727608</v>
      </c>
      <c r="AN42">
        <v>5.7142999999999997</v>
      </c>
      <c r="AO42" s="28">
        <f t="shared" si="14"/>
        <v>21.914299999999997</v>
      </c>
      <c r="AQ42">
        <v>6.4286000000000003</v>
      </c>
      <c r="AR42" s="28">
        <f t="shared" si="15"/>
        <v>22.628599999999999</v>
      </c>
      <c r="AS42" s="38">
        <f t="shared" si="23"/>
        <v>-1.1631999999999998E-2</v>
      </c>
      <c r="AU42">
        <f t="shared" si="16"/>
        <v>19.421024647864662</v>
      </c>
      <c r="AV42">
        <f t="shared" si="17"/>
        <v>22.253586633035138</v>
      </c>
      <c r="AW42">
        <f t="shared" si="18"/>
        <v>22.30715</v>
      </c>
    </row>
    <row r="43" spans="1:49" x14ac:dyDescent="0.3">
      <c r="R43" s="37">
        <v>2050</v>
      </c>
      <c r="S43">
        <v>4.5</v>
      </c>
      <c r="T43" s="28">
        <f t="shared" si="8"/>
        <v>20.7</v>
      </c>
      <c r="AA43" s="37">
        <v>2050</v>
      </c>
      <c r="AB43" s="1">
        <v>19.327604185096419</v>
      </c>
      <c r="AC43" s="28">
        <f t="shared" si="9"/>
        <v>22.262587698342667</v>
      </c>
      <c r="AD43" s="27">
        <f t="shared" si="25"/>
        <v>21.985700000000001</v>
      </c>
      <c r="AE43" s="38">
        <f t="shared" si="20"/>
        <v>-3.7368185107298046E-3</v>
      </c>
      <c r="AF43" s="38">
        <f t="shared" si="21"/>
        <v>3.6004261230118575E-4</v>
      </c>
      <c r="AG43" s="38">
        <f t="shared" si="22"/>
        <v>-1.2857999999999948E-2</v>
      </c>
      <c r="AH43" s="37">
        <v>2050</v>
      </c>
      <c r="AJ43" s="35">
        <f t="shared" si="11"/>
        <v>3658.9034000000001</v>
      </c>
      <c r="AK43">
        <f t="shared" si="12"/>
        <v>148237399287.83075</v>
      </c>
      <c r="AL43">
        <f t="shared" si="13"/>
        <v>22.262587698342667</v>
      </c>
      <c r="AN43">
        <v>5.1429</v>
      </c>
      <c r="AO43" s="28">
        <f t="shared" si="14"/>
        <v>21.3429</v>
      </c>
      <c r="AQ43">
        <v>5.7857000000000003</v>
      </c>
      <c r="AR43" s="28">
        <f t="shared" si="15"/>
        <v>21.985700000000001</v>
      </c>
      <c r="AS43" s="38">
        <f t="shared" si="23"/>
        <v>-1.2858000000000001E-2</v>
      </c>
      <c r="AU43">
        <f t="shared" si="16"/>
        <v>19.267824673983036</v>
      </c>
      <c r="AV43">
        <f t="shared" si="17"/>
        <v>22.268342145884798</v>
      </c>
      <c r="AW43">
        <f t="shared" si="18"/>
        <v>21.664300000000001</v>
      </c>
    </row>
    <row r="44" spans="1:49" x14ac:dyDescent="0.3">
      <c r="R44" s="37">
        <v>2100</v>
      </c>
      <c r="S44">
        <v>4</v>
      </c>
      <c r="T44" s="28">
        <f t="shared" si="8"/>
        <v>20.2</v>
      </c>
      <c r="AA44" s="37">
        <v>2100</v>
      </c>
      <c r="AB44" s="1">
        <v>19.208045162869649</v>
      </c>
      <c r="AC44" s="28">
        <f t="shared" si="9"/>
        <v>22.274096593426929</v>
      </c>
      <c r="AD44" s="27">
        <f t="shared" si="25"/>
        <v>21.3429</v>
      </c>
      <c r="AE44" s="38">
        <f t="shared" si="20"/>
        <v>-2.3911804445354077E-3</v>
      </c>
      <c r="AF44" s="38">
        <f t="shared" si="21"/>
        <v>2.301779016852379E-4</v>
      </c>
      <c r="AG44" s="38">
        <f t="shared" si="22"/>
        <v>-1.2856000000000024E-2</v>
      </c>
      <c r="AH44" s="37">
        <v>2100</v>
      </c>
      <c r="AJ44" s="35">
        <f t="shared" si="11"/>
        <v>3708.9034000000001</v>
      </c>
      <c r="AK44">
        <f t="shared" si="12"/>
        <v>148237408150.05075</v>
      </c>
      <c r="AL44">
        <f t="shared" si="13"/>
        <v>22.274096593426929</v>
      </c>
      <c r="AN44">
        <v>4.5713999999999997</v>
      </c>
      <c r="AO44" s="28">
        <f t="shared" si="14"/>
        <v>20.7714</v>
      </c>
      <c r="AQ44">
        <v>5.1429</v>
      </c>
      <c r="AR44" s="28">
        <f t="shared" si="15"/>
        <v>21.3429</v>
      </c>
      <c r="AS44" s="38">
        <f t="shared" si="23"/>
        <v>-1.2856000000000005E-2</v>
      </c>
      <c r="AU44">
        <f t="shared" si="16"/>
        <v>19.204022581434824</v>
      </c>
      <c r="AV44">
        <f t="shared" si="17"/>
        <v>22.276604423523803</v>
      </c>
      <c r="AW44">
        <f t="shared" si="18"/>
        <v>21.021450000000002</v>
      </c>
    </row>
    <row r="45" spans="1:49" x14ac:dyDescent="0.3">
      <c r="R45" s="37">
        <v>2150</v>
      </c>
      <c r="S45">
        <v>3.5</v>
      </c>
      <c r="T45" s="28">
        <f t="shared" si="8"/>
        <v>19.7</v>
      </c>
      <c r="AA45" s="37">
        <v>2150</v>
      </c>
      <c r="AB45" s="1">
        <v>19.2</v>
      </c>
      <c r="AC45" s="28">
        <f t="shared" si="9"/>
        <v>22.279112253620678</v>
      </c>
      <c r="AD45" s="27">
        <f t="shared" si="25"/>
        <v>20.7</v>
      </c>
      <c r="AE45" s="38">
        <f t="shared" si="20"/>
        <v>-1.6090325739298805E-4</v>
      </c>
      <c r="AF45" s="38">
        <f t="shared" si="21"/>
        <v>1.0031320387497544E-4</v>
      </c>
      <c r="AG45" s="38">
        <f t="shared" si="22"/>
        <v>-1.2858000000000019E-2</v>
      </c>
      <c r="AH45" s="37">
        <v>2150</v>
      </c>
      <c r="AJ45" s="35">
        <f t="shared" si="11"/>
        <v>3758.9034000000001</v>
      </c>
      <c r="AK45">
        <f t="shared" si="12"/>
        <v>148237412012.27075</v>
      </c>
      <c r="AL45">
        <f t="shared" si="13"/>
        <v>22.279112253620678</v>
      </c>
      <c r="AN45">
        <v>4</v>
      </c>
      <c r="AO45" s="28">
        <f t="shared" si="14"/>
        <v>20.2</v>
      </c>
      <c r="AQ45">
        <v>4.5</v>
      </c>
      <c r="AR45" s="28">
        <f t="shared" si="15"/>
        <v>20.7</v>
      </c>
      <c r="AS45" s="38">
        <f t="shared" si="23"/>
        <v>-1.2858000000000001E-2</v>
      </c>
      <c r="AU45">
        <f t="shared" si="16"/>
        <v>19.181544194735892</v>
      </c>
      <c r="AV45">
        <f t="shared" si="17"/>
        <v>22.278373466359607</v>
      </c>
      <c r="AW45">
        <f t="shared" si="18"/>
        <v>20.378549999999997</v>
      </c>
    </row>
    <row r="46" spans="1:49" x14ac:dyDescent="0.3">
      <c r="R46" s="37">
        <v>2200</v>
      </c>
      <c r="S46">
        <v>3</v>
      </c>
      <c r="T46" s="28">
        <f t="shared" si="8"/>
        <v>19.2</v>
      </c>
      <c r="AA46" s="37">
        <v>2200</v>
      </c>
      <c r="AB46" s="1">
        <v>19.163088389471781</v>
      </c>
      <c r="AC46" s="28">
        <f t="shared" si="9"/>
        <v>22.277634679098536</v>
      </c>
      <c r="AD46" s="27">
        <f t="shared" si="25"/>
        <v>20.057099999999998</v>
      </c>
      <c r="AE46" s="38">
        <f t="shared" si="20"/>
        <v>-7.382322105643624E-4</v>
      </c>
      <c r="AF46" s="38">
        <f t="shared" si="21"/>
        <v>-2.9551490442827343E-5</v>
      </c>
      <c r="AG46" s="38">
        <f t="shared" si="22"/>
        <v>-1.2858000000000019E-2</v>
      </c>
      <c r="AH46" s="37">
        <v>2200</v>
      </c>
      <c r="AJ46" s="35">
        <f t="shared" si="11"/>
        <v>3808.9034000000001</v>
      </c>
      <c r="AK46">
        <f t="shared" si="12"/>
        <v>148237410874.49075</v>
      </c>
      <c r="AL46">
        <f t="shared" si="13"/>
        <v>22.277634679098536</v>
      </c>
      <c r="AN46">
        <v>3.4285999999999999</v>
      </c>
      <c r="AO46" s="28">
        <f t="shared" si="14"/>
        <v>19.628599999999999</v>
      </c>
      <c r="AQ46">
        <v>3.8571</v>
      </c>
      <c r="AR46" s="28">
        <f t="shared" si="15"/>
        <v>20.057099999999998</v>
      </c>
      <c r="AS46" s="38">
        <f t="shared" si="23"/>
        <v>-1.2858000000000001E-2</v>
      </c>
      <c r="AU46">
        <f t="shared" si="16"/>
        <v>19.245489889723</v>
      </c>
      <c r="AV46">
        <f t="shared" si="17"/>
        <v>22.273649274479521</v>
      </c>
      <c r="AW46">
        <f t="shared" si="18"/>
        <v>19.735700000000001</v>
      </c>
    </row>
    <row r="47" spans="1:49" x14ac:dyDescent="0.3">
      <c r="R47" s="37">
        <v>2250</v>
      </c>
      <c r="S47">
        <v>2.5</v>
      </c>
      <c r="T47" s="28">
        <f t="shared" si="8"/>
        <v>18.7</v>
      </c>
      <c r="AA47" s="37">
        <v>2250</v>
      </c>
      <c r="AB47" s="1">
        <v>19.327891389974219</v>
      </c>
      <c r="AC47" s="28">
        <f t="shared" si="9"/>
        <v>22.269663869860505</v>
      </c>
      <c r="AD47" s="27">
        <f t="shared" si="25"/>
        <v>19.414300000000001</v>
      </c>
      <c r="AE47" s="38">
        <f t="shared" si="20"/>
        <v>3.2960600100487626E-3</v>
      </c>
      <c r="AF47" s="38">
        <f t="shared" si="21"/>
        <v>-1.5941618476063014E-4</v>
      </c>
      <c r="AG47" s="38">
        <f t="shared" si="22"/>
        <v>-1.2855999999999953E-2</v>
      </c>
      <c r="AH47" s="37">
        <v>2250</v>
      </c>
      <c r="AJ47" s="35">
        <f t="shared" si="11"/>
        <v>3858.9034000000001</v>
      </c>
      <c r="AK47">
        <f t="shared" si="12"/>
        <v>148237404736.71075</v>
      </c>
      <c r="AL47">
        <f t="shared" si="13"/>
        <v>22.269663869860505</v>
      </c>
      <c r="AN47">
        <v>2.8571</v>
      </c>
      <c r="AO47" s="28">
        <f t="shared" si="14"/>
        <v>19.057099999999998</v>
      </c>
      <c r="AQ47">
        <v>3.2143000000000002</v>
      </c>
      <c r="AR47" s="28">
        <f t="shared" si="15"/>
        <v>19.414300000000001</v>
      </c>
      <c r="AS47" s="38">
        <f t="shared" si="23"/>
        <v>-1.2855999999999996E-2</v>
      </c>
      <c r="AU47">
        <f t="shared" si="16"/>
        <v>19.448378111330648</v>
      </c>
      <c r="AV47">
        <f t="shared" si="17"/>
        <v>22.262431847650713</v>
      </c>
      <c r="AW47">
        <f t="shared" si="18"/>
        <v>19.092849999999999</v>
      </c>
    </row>
    <row r="48" spans="1:49" x14ac:dyDescent="0.3">
      <c r="R48" s="37">
        <v>2300</v>
      </c>
      <c r="S48">
        <v>2</v>
      </c>
      <c r="T48" s="28">
        <f t="shared" si="8"/>
        <v>18.2</v>
      </c>
      <c r="AA48" s="37">
        <v>2300</v>
      </c>
      <c r="AB48" s="1">
        <v>19.56886483268708</v>
      </c>
      <c r="AC48" s="28">
        <f t="shared" si="9"/>
        <v>22.255199825440922</v>
      </c>
      <c r="AD48" s="27">
        <f t="shared" si="25"/>
        <v>18.7714</v>
      </c>
      <c r="AE48" s="38">
        <f t="shared" si="20"/>
        <v>4.8194688542572096E-3</v>
      </c>
      <c r="AF48" s="38">
        <f t="shared" si="21"/>
        <v>-2.8928088839165868E-4</v>
      </c>
      <c r="AG48" s="38">
        <f t="shared" si="22"/>
        <v>-1.2858000000000019E-2</v>
      </c>
      <c r="AH48" s="37">
        <v>2300</v>
      </c>
      <c r="AJ48" s="35">
        <f t="shared" si="11"/>
        <v>3908.9034000000001</v>
      </c>
      <c r="AK48">
        <f t="shared" si="12"/>
        <v>148237393598.93076</v>
      </c>
      <c r="AL48">
        <f t="shared" si="13"/>
        <v>22.255199825440922</v>
      </c>
      <c r="AN48">
        <v>2.3285999999999998</v>
      </c>
      <c r="AO48" s="28">
        <f t="shared" si="14"/>
        <v>18.528599999999997</v>
      </c>
      <c r="AQ48">
        <v>2.5714000000000001</v>
      </c>
      <c r="AR48" s="28">
        <f t="shared" si="15"/>
        <v>18.7714</v>
      </c>
      <c r="AS48" s="38">
        <f t="shared" si="23"/>
        <v>-1.2858000000000001E-2</v>
      </c>
      <c r="AU48">
        <f t="shared" si="16"/>
        <v>19.768445525907843</v>
      </c>
      <c r="AV48">
        <f t="shared" si="17"/>
        <v>22.244721185320213</v>
      </c>
      <c r="AW48">
        <f t="shared" si="18"/>
        <v>18.480599999999999</v>
      </c>
    </row>
    <row r="49" spans="18:49" x14ac:dyDescent="0.3">
      <c r="R49" s="37">
        <v>2350</v>
      </c>
      <c r="S49">
        <v>1.5</v>
      </c>
      <c r="T49" s="28">
        <f t="shared" si="8"/>
        <v>17.7</v>
      </c>
      <c r="AA49" s="37">
        <v>2350</v>
      </c>
      <c r="AB49" s="1">
        <v>19.96802621912861</v>
      </c>
      <c r="AC49" s="28">
        <f t="shared" si="9"/>
        <v>22.234242545199503</v>
      </c>
      <c r="AD49" s="27">
        <f t="shared" si="25"/>
        <v>18.189799999999998</v>
      </c>
      <c r="AE49" s="38">
        <f t="shared" si="20"/>
        <v>7.9832277288306129E-3</v>
      </c>
      <c r="AF49" s="38">
        <f t="shared" si="21"/>
        <v>-4.1914560482837261E-4</v>
      </c>
      <c r="AG49" s="38">
        <f t="shared" si="22"/>
        <v>-1.1632000000000033E-2</v>
      </c>
      <c r="AH49" s="37">
        <v>2350</v>
      </c>
      <c r="AJ49" s="35">
        <f t="shared" si="11"/>
        <v>3958.9034000000001</v>
      </c>
      <c r="AK49">
        <f t="shared" si="12"/>
        <v>148237377461.15076</v>
      </c>
      <c r="AL49">
        <f t="shared" si="13"/>
        <v>22.234242545199503</v>
      </c>
      <c r="AN49">
        <v>1.7142999999999999</v>
      </c>
      <c r="AO49" s="28">
        <f t="shared" si="14"/>
        <v>17.914300000000001</v>
      </c>
      <c r="AQ49">
        <v>1.9898</v>
      </c>
      <c r="AR49" s="28">
        <f t="shared" si="15"/>
        <v>18.189799999999998</v>
      </c>
      <c r="AS49" s="38">
        <f t="shared" si="23"/>
        <v>-1.1632000000000002E-2</v>
      </c>
      <c r="AU49">
        <f t="shared" si="16"/>
        <v>20.192469898484688</v>
      </c>
      <c r="AV49">
        <f t="shared" si="17"/>
        <v>22.2205172865858</v>
      </c>
      <c r="AW49">
        <f t="shared" si="18"/>
        <v>17.981449999999999</v>
      </c>
    </row>
    <row r="50" spans="18:49" x14ac:dyDescent="0.3">
      <c r="R50" s="37">
        <v>2400</v>
      </c>
      <c r="S50">
        <v>1.0832999999999999</v>
      </c>
      <c r="T50" s="28">
        <f t="shared" si="8"/>
        <v>17.283300000000001</v>
      </c>
      <c r="AA50" s="37">
        <v>2400</v>
      </c>
      <c r="AB50" s="1">
        <v>20.41691357784077</v>
      </c>
      <c r="AC50" s="28">
        <f t="shared" si="9"/>
        <v>22.206792027972096</v>
      </c>
      <c r="AD50" s="27">
        <f t="shared" si="25"/>
        <v>17.773099999999999</v>
      </c>
      <c r="AE50" s="38">
        <f t="shared" si="20"/>
        <v>8.9777471742431905E-3</v>
      </c>
      <c r="AF50" s="38">
        <f t="shared" si="21"/>
        <v>-5.4901034454815092E-4</v>
      </c>
      <c r="AG50" s="38">
        <f t="shared" si="22"/>
        <v>-8.3339999999999751E-3</v>
      </c>
      <c r="AH50" s="37">
        <v>2400</v>
      </c>
      <c r="AJ50" s="35">
        <f t="shared" si="11"/>
        <v>4008.9034000000001</v>
      </c>
      <c r="AK50">
        <f t="shared" si="12"/>
        <v>148237356323.37076</v>
      </c>
      <c r="AL50">
        <f t="shared" si="13"/>
        <v>22.206792027972096</v>
      </c>
      <c r="AN50">
        <v>1.3129</v>
      </c>
      <c r="AO50" s="28">
        <f t="shared" si="14"/>
        <v>17.512899999999998</v>
      </c>
      <c r="AQ50">
        <v>1.5730999999999999</v>
      </c>
      <c r="AR50" s="28">
        <f t="shared" si="15"/>
        <v>17.773099999999999</v>
      </c>
      <c r="AS50" s="38">
        <f t="shared" si="23"/>
        <v>-8.3340000000000011E-3</v>
      </c>
      <c r="AU50">
        <f t="shared" si="16"/>
        <v>20.735660198886627</v>
      </c>
      <c r="AV50">
        <f t="shared" si="17"/>
        <v>22.18982015019601</v>
      </c>
      <c r="AW50">
        <f t="shared" si="18"/>
        <v>17.648099999999999</v>
      </c>
    </row>
    <row r="51" spans="18:49" x14ac:dyDescent="0.3">
      <c r="R51" s="37">
        <v>2450</v>
      </c>
      <c r="S51">
        <v>0.83330000000000004</v>
      </c>
      <c r="T51" s="28">
        <f t="shared" si="8"/>
        <v>17.033300000000001</v>
      </c>
      <c r="AA51" s="37">
        <v>2450</v>
      </c>
      <c r="AB51" s="1">
        <v>21.054406819932488</v>
      </c>
      <c r="AC51" s="28">
        <f t="shared" si="9"/>
        <v>22.172848272419923</v>
      </c>
      <c r="AD51" s="27">
        <f t="shared" si="25"/>
        <v>17.523099999999999</v>
      </c>
      <c r="AE51" s="38">
        <f t="shared" si="20"/>
        <v>1.2749864841834366E-2</v>
      </c>
      <c r="AF51" s="38">
        <f t="shared" si="21"/>
        <v>-6.7887511104345319E-4</v>
      </c>
      <c r="AG51" s="38">
        <f t="shared" si="22"/>
        <v>-5.0000000000000001E-3</v>
      </c>
      <c r="AH51" s="37">
        <v>2450</v>
      </c>
      <c r="AJ51" s="35">
        <f t="shared" si="11"/>
        <v>4058.9034000000001</v>
      </c>
      <c r="AK51">
        <f t="shared" si="12"/>
        <v>148237330185.59076</v>
      </c>
      <c r="AL51">
        <f t="shared" si="13"/>
        <v>22.172848272419923</v>
      </c>
      <c r="AN51">
        <v>1.0629</v>
      </c>
      <c r="AO51" s="28">
        <f t="shared" si="14"/>
        <v>17.262899999999998</v>
      </c>
      <c r="AQ51">
        <v>1.3230999999999999</v>
      </c>
      <c r="AR51" s="28">
        <f t="shared" si="15"/>
        <v>17.523099999999999</v>
      </c>
      <c r="AS51" s="38">
        <f t="shared" si="23"/>
        <v>-5.0000000000000001E-3</v>
      </c>
      <c r="AU51">
        <f t="shared" si="16"/>
        <v>21.307294737439939</v>
      </c>
      <c r="AV51">
        <f t="shared" si="17"/>
        <v>22.152629774608339</v>
      </c>
      <c r="AW51">
        <f t="shared" si="18"/>
        <v>17.481349999999999</v>
      </c>
    </row>
    <row r="52" spans="18:49" x14ac:dyDescent="0.3">
      <c r="R52" s="37">
        <v>2500</v>
      </c>
      <c r="S52">
        <v>0.75</v>
      </c>
      <c r="T52" s="28">
        <f t="shared" si="8"/>
        <v>16.95</v>
      </c>
      <c r="U52">
        <v>0</v>
      </c>
      <c r="V52">
        <f>U52+C$2</f>
        <v>16.2</v>
      </c>
      <c r="W52" s="37">
        <f>R52</f>
        <v>2500</v>
      </c>
      <c r="AA52" s="37">
        <v>2500</v>
      </c>
      <c r="AB52" s="1">
        <v>21.56018265494739</v>
      </c>
      <c r="AC52" s="28">
        <f t="shared" si="9"/>
        <v>22.132411276796756</v>
      </c>
      <c r="AD52" s="27">
        <f t="shared" si="25"/>
        <v>17.439599999999999</v>
      </c>
      <c r="AE52" s="38">
        <f t="shared" si="20"/>
        <v>1.0115516700298031E-2</v>
      </c>
      <c r="AF52" s="38">
        <f t="shared" si="21"/>
        <v>-8.0873991246335211E-4</v>
      </c>
      <c r="AG52" s="38">
        <f t="shared" si="22"/>
        <v>-1.6700000000000159E-3</v>
      </c>
      <c r="AH52" s="37">
        <v>2500</v>
      </c>
      <c r="AJ52" s="35">
        <f t="shared" si="11"/>
        <v>4108.9034000000001</v>
      </c>
      <c r="AK52">
        <f t="shared" si="12"/>
        <v>148237299047.81076</v>
      </c>
      <c r="AL52">
        <f t="shared" si="13"/>
        <v>22.132411276796756</v>
      </c>
      <c r="AN52">
        <v>0.97960000000000003</v>
      </c>
      <c r="AO52" s="28">
        <f t="shared" si="14"/>
        <v>17.179600000000001</v>
      </c>
      <c r="AQ52">
        <v>1.2396</v>
      </c>
      <c r="AR52" s="28">
        <f t="shared" si="15"/>
        <v>17.439599999999999</v>
      </c>
      <c r="AS52" s="38">
        <f t="shared" si="23"/>
        <v>-1.6699999999999981E-3</v>
      </c>
      <c r="AU52">
        <f t="shared" si="16"/>
        <v>21.803476652937142</v>
      </c>
      <c r="AV52">
        <f t="shared" si="17"/>
        <v>22.108946157960144</v>
      </c>
      <c r="AW52">
        <f t="shared" si="18"/>
        <v>17.481349999999999</v>
      </c>
    </row>
    <row r="53" spans="18:49" x14ac:dyDescent="0.3">
      <c r="R53" s="37">
        <v>2550</v>
      </c>
      <c r="S53">
        <v>0.83330000000000004</v>
      </c>
      <c r="T53" s="28">
        <f t="shared" si="8"/>
        <v>17.033300000000001</v>
      </c>
      <c r="AA53" s="37">
        <v>2550</v>
      </c>
      <c r="AB53" s="1">
        <v>22.046770650926891</v>
      </c>
      <c r="AC53" s="28">
        <f t="shared" si="9"/>
        <v>22.085481039123533</v>
      </c>
      <c r="AD53" s="27">
        <f t="shared" si="25"/>
        <v>17.523099999999999</v>
      </c>
      <c r="AE53" s="38">
        <f t="shared" si="20"/>
        <v>9.7317599195900321E-3</v>
      </c>
      <c r="AF53" s="38">
        <f t="shared" si="21"/>
        <v>-9.3860475346446042E-4</v>
      </c>
      <c r="AG53" s="38">
        <f t="shared" si="22"/>
        <v>1.6700000000000159E-3</v>
      </c>
      <c r="AH53" s="37">
        <v>2550</v>
      </c>
      <c r="AJ53" s="35">
        <f t="shared" si="11"/>
        <v>4158.9034000000001</v>
      </c>
      <c r="AK53">
        <f t="shared" si="12"/>
        <v>148237262910.03076</v>
      </c>
      <c r="AL53">
        <f t="shared" si="13"/>
        <v>22.085481039123533</v>
      </c>
      <c r="AN53">
        <v>1.0629</v>
      </c>
      <c r="AO53" s="28">
        <f t="shared" si="14"/>
        <v>17.262899999999998</v>
      </c>
      <c r="AQ53">
        <v>1.3230999999999999</v>
      </c>
      <c r="AR53" s="28">
        <f t="shared" si="15"/>
        <v>17.523099999999999</v>
      </c>
      <c r="AS53" s="38">
        <f t="shared" si="23"/>
        <v>1.6699999999999981E-3</v>
      </c>
      <c r="AU53">
        <f t="shared" si="16"/>
        <v>22.22986754862913</v>
      </c>
      <c r="AV53">
        <f t="shared" si="17"/>
        <v>22.058769298039532</v>
      </c>
      <c r="AW53">
        <f t="shared" si="18"/>
        <v>17.648099999999999</v>
      </c>
    </row>
    <row r="54" spans="18:49" x14ac:dyDescent="0.3">
      <c r="R54" s="37">
        <v>2600</v>
      </c>
      <c r="S54">
        <v>1.0832999999999999</v>
      </c>
      <c r="T54" s="28">
        <f t="shared" si="8"/>
        <v>17.283300000000001</v>
      </c>
      <c r="AA54" s="37">
        <v>2600</v>
      </c>
      <c r="AB54" s="1">
        <v>22.412964446331369</v>
      </c>
      <c r="AC54" s="28">
        <f t="shared" si="9"/>
        <v>22.032057556955532</v>
      </c>
      <c r="AD54" s="27">
        <f t="shared" si="25"/>
        <v>17.773099999999999</v>
      </c>
      <c r="AE54" s="38">
        <f t="shared" si="20"/>
        <v>7.3238759080895477E-3</v>
      </c>
      <c r="AF54" s="38">
        <f t="shared" si="21"/>
        <v>-1.0684696433600038E-3</v>
      </c>
      <c r="AG54" s="38">
        <f t="shared" si="22"/>
        <v>5.0000000000000001E-3</v>
      </c>
      <c r="AH54" s="37">
        <v>2600</v>
      </c>
      <c r="AJ54" s="35">
        <f t="shared" si="11"/>
        <v>4208.9034000000001</v>
      </c>
      <c r="AK54">
        <f t="shared" si="12"/>
        <v>148237221772.25076</v>
      </c>
      <c r="AL54">
        <f t="shared" si="13"/>
        <v>22.032057556955532</v>
      </c>
      <c r="AN54">
        <v>1.3129</v>
      </c>
      <c r="AO54" s="28">
        <f t="shared" si="14"/>
        <v>17.512899999999998</v>
      </c>
      <c r="AQ54">
        <v>1.5730999999999999</v>
      </c>
      <c r="AR54" s="28">
        <f t="shared" si="15"/>
        <v>17.773099999999999</v>
      </c>
      <c r="AS54" s="38">
        <f t="shared" si="23"/>
        <v>5.0000000000000001E-3</v>
      </c>
      <c r="AU54">
        <f t="shared" si="16"/>
        <v>22.586878161110697</v>
      </c>
      <c r="AV54">
        <f t="shared" si="17"/>
        <v>22.002099192314471</v>
      </c>
      <c r="AW54">
        <f t="shared" si="18"/>
        <v>17.950849999999999</v>
      </c>
    </row>
    <row r="55" spans="18:49" x14ac:dyDescent="0.3">
      <c r="R55" s="37">
        <v>2650</v>
      </c>
      <c r="S55">
        <v>1.5</v>
      </c>
      <c r="T55" s="28">
        <f t="shared" si="8"/>
        <v>17.7</v>
      </c>
      <c r="AA55" s="37">
        <v>2650</v>
      </c>
      <c r="AB55" s="1">
        <v>22.760791875890021</v>
      </c>
      <c r="AC55" s="28">
        <f t="shared" si="9"/>
        <v>21.97214082767341</v>
      </c>
      <c r="AD55" s="27">
        <f t="shared" si="25"/>
        <v>18.128599999999999</v>
      </c>
      <c r="AE55" s="38">
        <f t="shared" si="20"/>
        <v>6.9565485911730462E-3</v>
      </c>
      <c r="AF55" s="38">
        <f t="shared" si="21"/>
        <v>-1.1983345856424422E-3</v>
      </c>
      <c r="AG55" s="38">
        <f t="shared" si="22"/>
        <v>7.1099999999999853E-3</v>
      </c>
      <c r="AH55" s="37">
        <v>2650</v>
      </c>
      <c r="AJ55" s="35">
        <f t="shared" si="11"/>
        <v>4258.9034000000001</v>
      </c>
      <c r="AK55">
        <f t="shared" si="12"/>
        <v>148237175634.47076</v>
      </c>
      <c r="AL55">
        <f t="shared" si="13"/>
        <v>21.97214082767341</v>
      </c>
      <c r="AN55">
        <v>1.7141999999999999</v>
      </c>
      <c r="AO55" s="28">
        <f t="shared" si="14"/>
        <v>17.914200000000001</v>
      </c>
      <c r="AQ55">
        <v>1.9286000000000001</v>
      </c>
      <c r="AR55" s="28">
        <f t="shared" si="15"/>
        <v>18.128599999999999</v>
      </c>
      <c r="AS55" s="38">
        <f t="shared" si="23"/>
        <v>7.1100000000000026E-3</v>
      </c>
      <c r="AU55">
        <f t="shared" si="16"/>
        <v>22.987109442081163</v>
      </c>
      <c r="AV55">
        <f t="shared" si="17"/>
        <v>21.938935837903681</v>
      </c>
      <c r="AW55">
        <f t="shared" si="18"/>
        <v>18.45</v>
      </c>
    </row>
    <row r="56" spans="18:49" x14ac:dyDescent="0.3">
      <c r="R56" s="37">
        <v>2700</v>
      </c>
      <c r="S56">
        <v>2</v>
      </c>
      <c r="T56" s="28">
        <f t="shared" si="8"/>
        <v>18.2</v>
      </c>
      <c r="AA56" s="37">
        <v>2700</v>
      </c>
      <c r="AB56" s="1">
        <v>23.213427008272301</v>
      </c>
      <c r="AC56" s="28">
        <f t="shared" si="9"/>
        <v>21.905730848133953</v>
      </c>
      <c r="AD56" s="27">
        <f t="shared" si="25"/>
        <v>18.7714</v>
      </c>
      <c r="AE56" s="38">
        <f t="shared" si="20"/>
        <v>9.0527026476456031E-3</v>
      </c>
      <c r="AF56" s="38">
        <f t="shared" si="21"/>
        <v>-1.3281995907891541E-3</v>
      </c>
      <c r="AG56" s="38">
        <f t="shared" si="22"/>
        <v>1.2856000000000024E-2</v>
      </c>
      <c r="AH56" s="37">
        <v>2700</v>
      </c>
      <c r="AJ56" s="35">
        <f t="shared" si="11"/>
        <v>4308.9034000000001</v>
      </c>
      <c r="AK56">
        <f t="shared" si="12"/>
        <v>148237124496.69077</v>
      </c>
      <c r="AL56">
        <f t="shared" si="13"/>
        <v>21.905730848133953</v>
      </c>
      <c r="AN56">
        <v>2.2856999999999998</v>
      </c>
      <c r="AO56" s="28">
        <f t="shared" si="14"/>
        <v>18.485699999999998</v>
      </c>
      <c r="AQ56">
        <v>2.5714000000000001</v>
      </c>
      <c r="AR56" s="28">
        <f t="shared" si="15"/>
        <v>18.7714</v>
      </c>
      <c r="AS56" s="38">
        <f t="shared" si="23"/>
        <v>1.2856000000000001E-2</v>
      </c>
      <c r="AU56">
        <f t="shared" si="16"/>
        <v>23.44331251403716</v>
      </c>
      <c r="AV56">
        <f t="shared" si="17"/>
        <v>21.869279231576638</v>
      </c>
      <c r="AW56">
        <f t="shared" si="18"/>
        <v>19.092849999999999</v>
      </c>
    </row>
    <row r="57" spans="18:49" x14ac:dyDescent="0.3">
      <c r="R57" s="37">
        <v>2750</v>
      </c>
      <c r="S57">
        <v>2.5</v>
      </c>
      <c r="T57" s="28">
        <f t="shared" si="8"/>
        <v>18.7</v>
      </c>
      <c r="AA57" s="37">
        <v>2750</v>
      </c>
      <c r="AB57" s="1">
        <v>23.673198019802019</v>
      </c>
      <c r="AC57" s="28">
        <f t="shared" si="9"/>
        <v>21.832827615019323</v>
      </c>
      <c r="AD57" s="27">
        <f t="shared" si="25"/>
        <v>19.414300000000001</v>
      </c>
      <c r="AE57" s="38">
        <f t="shared" si="20"/>
        <v>9.1954202305943519E-3</v>
      </c>
      <c r="AF57" s="38">
        <f t="shared" si="21"/>
        <v>-1.4580646622925997E-3</v>
      </c>
      <c r="AG57" s="38">
        <f t="shared" si="22"/>
        <v>1.2858000000000019E-2</v>
      </c>
      <c r="AH57" s="37">
        <v>2750</v>
      </c>
      <c r="AJ57" s="35">
        <f t="shared" si="11"/>
        <v>4358.9034000000001</v>
      </c>
      <c r="AK57">
        <f t="shared" si="12"/>
        <v>148237068358.91074</v>
      </c>
      <c r="AL57">
        <f t="shared" si="13"/>
        <v>21.832827615019323</v>
      </c>
      <c r="AN57">
        <v>2.8571</v>
      </c>
      <c r="AO57" s="28">
        <f t="shared" si="14"/>
        <v>19.057099999999998</v>
      </c>
      <c r="AQ57">
        <v>3.2143000000000002</v>
      </c>
      <c r="AR57" s="28">
        <f t="shared" si="15"/>
        <v>19.414300000000001</v>
      </c>
      <c r="AS57" s="38">
        <f t="shared" si="23"/>
        <v>1.2858000000000001E-2</v>
      </c>
      <c r="AU57">
        <f t="shared" si="16"/>
        <v>23.837392204650619</v>
      </c>
      <c r="AV57">
        <f t="shared" si="17"/>
        <v>21.79312936984088</v>
      </c>
      <c r="AW57">
        <f t="shared" si="18"/>
        <v>19.735700000000001</v>
      </c>
    </row>
    <row r="58" spans="18:49" x14ac:dyDescent="0.3">
      <c r="R58" s="37">
        <v>2800</v>
      </c>
      <c r="S58">
        <v>3</v>
      </c>
      <c r="T58" s="28">
        <f t="shared" si="8"/>
        <v>19.2</v>
      </c>
      <c r="AA58" s="37">
        <v>2800</v>
      </c>
      <c r="AB58" s="1">
        <v>24.00158638949922</v>
      </c>
      <c r="AC58" s="28">
        <f t="shared" si="9"/>
        <v>21.753431124662438</v>
      </c>
      <c r="AD58" s="27">
        <f t="shared" si="25"/>
        <v>20.057099999999998</v>
      </c>
      <c r="AE58" s="38">
        <f t="shared" si="20"/>
        <v>6.5677673939440236E-3</v>
      </c>
      <c r="AF58" s="38">
        <f t="shared" si="21"/>
        <v>-1.5879298071376979E-3</v>
      </c>
      <c r="AG58" s="38">
        <f t="shared" si="22"/>
        <v>1.2855999999999953E-2</v>
      </c>
      <c r="AH58" s="37">
        <v>2800</v>
      </c>
      <c r="AJ58" s="35">
        <f t="shared" si="11"/>
        <v>4408.9034000000001</v>
      </c>
      <c r="AK58">
        <f t="shared" si="12"/>
        <v>148237007221.13074</v>
      </c>
      <c r="AL58">
        <f t="shared" si="13"/>
        <v>21.753431124662438</v>
      </c>
      <c r="AN58">
        <v>3.4285999999999999</v>
      </c>
      <c r="AO58" s="28">
        <f t="shared" si="14"/>
        <v>19.628599999999999</v>
      </c>
      <c r="AQ58">
        <v>3.8571</v>
      </c>
      <c r="AR58" s="28">
        <f t="shared" si="15"/>
        <v>20.057099999999998</v>
      </c>
      <c r="AS58" s="38">
        <f t="shared" si="23"/>
        <v>1.2855999999999996E-2</v>
      </c>
      <c r="AU58">
        <f t="shared" si="16"/>
        <v>24.10905604582538</v>
      </c>
      <c r="AV58">
        <f t="shared" si="17"/>
        <v>21.710486248854703</v>
      </c>
      <c r="AW58">
        <f t="shared" si="18"/>
        <v>20.378549999999997</v>
      </c>
    </row>
    <row r="59" spans="18:49" x14ac:dyDescent="0.3">
      <c r="R59" s="37">
        <v>2850</v>
      </c>
      <c r="S59">
        <v>3.5</v>
      </c>
      <c r="T59" s="28">
        <f t="shared" si="8"/>
        <v>19.7</v>
      </c>
      <c r="AA59" s="37">
        <v>2850</v>
      </c>
      <c r="AB59" s="1">
        <v>24.216525702151539</v>
      </c>
      <c r="AC59" s="28">
        <f t="shared" si="9"/>
        <v>21.667541373046969</v>
      </c>
      <c r="AD59" s="27">
        <f t="shared" si="25"/>
        <v>20.7</v>
      </c>
      <c r="AE59" s="38">
        <f t="shared" si="20"/>
        <v>4.2987862530463874E-3</v>
      </c>
      <c r="AF59" s="38">
        <f t="shared" si="21"/>
        <v>-1.7177950323093683E-3</v>
      </c>
      <c r="AG59" s="38">
        <f t="shared" si="22"/>
        <v>1.2858000000000019E-2</v>
      </c>
      <c r="AH59" s="37">
        <v>2850</v>
      </c>
      <c r="AJ59" s="35">
        <f t="shared" si="11"/>
        <v>4458.9034000000001</v>
      </c>
      <c r="AK59">
        <f t="shared" si="12"/>
        <v>148236941083.35074</v>
      </c>
      <c r="AL59">
        <f t="shared" si="13"/>
        <v>21.667541373046969</v>
      </c>
      <c r="AN59">
        <v>4</v>
      </c>
      <c r="AO59" s="28">
        <f t="shared" si="14"/>
        <v>20.2</v>
      </c>
      <c r="AQ59">
        <v>4.5</v>
      </c>
      <c r="AR59" s="28">
        <f t="shared" si="15"/>
        <v>20.7</v>
      </c>
      <c r="AS59" s="38">
        <f t="shared" si="23"/>
        <v>1.2858000000000001E-2</v>
      </c>
      <c r="AU59">
        <f t="shared" si="16"/>
        <v>24.259418471313065</v>
      </c>
      <c r="AV59">
        <f t="shared" si="17"/>
        <v>21.621349864427156</v>
      </c>
      <c r="AW59">
        <f t="shared" si="18"/>
        <v>21.021450000000002</v>
      </c>
    </row>
    <row r="60" spans="18:49" x14ac:dyDescent="0.3">
      <c r="R60" s="37">
        <v>2900</v>
      </c>
      <c r="S60">
        <v>4</v>
      </c>
      <c r="T60" s="28">
        <f t="shared" si="8"/>
        <v>20.2</v>
      </c>
      <c r="AA60" s="37">
        <v>2900</v>
      </c>
      <c r="AB60" s="1">
        <v>24.302311240474591</v>
      </c>
      <c r="AC60" s="28">
        <f t="shared" si="9"/>
        <v>21.575158355807343</v>
      </c>
      <c r="AD60" s="27">
        <f t="shared" si="25"/>
        <v>21.3429</v>
      </c>
      <c r="AE60" s="38">
        <f t="shared" si="20"/>
        <v>1.7157107664610295E-3</v>
      </c>
      <c r="AF60" s="38">
        <f t="shared" si="21"/>
        <v>-1.8476603447925299E-3</v>
      </c>
      <c r="AG60" s="38">
        <f t="shared" si="22"/>
        <v>1.2858000000000019E-2</v>
      </c>
      <c r="AH60" s="37">
        <v>2900</v>
      </c>
      <c r="AJ60" s="35">
        <f t="shared" si="11"/>
        <v>4508.9034000000001</v>
      </c>
      <c r="AK60">
        <f t="shared" si="12"/>
        <v>148236869945.57074</v>
      </c>
      <c r="AL60">
        <f t="shared" si="13"/>
        <v>21.575158355807343</v>
      </c>
      <c r="AN60">
        <v>4.5713999999999997</v>
      </c>
      <c r="AO60" s="28">
        <f t="shared" si="14"/>
        <v>20.7714</v>
      </c>
      <c r="AQ60">
        <v>5.1429</v>
      </c>
      <c r="AR60" s="28">
        <f t="shared" si="15"/>
        <v>21.3429</v>
      </c>
      <c r="AS60" s="38">
        <f t="shared" si="23"/>
        <v>1.2858000000000001E-2</v>
      </c>
      <c r="AU60">
        <f t="shared" si="16"/>
        <v>24.226798879444086</v>
      </c>
      <c r="AV60">
        <f t="shared" si="17"/>
        <v>21.525720212076248</v>
      </c>
      <c r="AW60">
        <f t="shared" si="18"/>
        <v>21.664300000000001</v>
      </c>
    </row>
    <row r="61" spans="18:49" x14ac:dyDescent="0.3">
      <c r="R61" s="37">
        <v>2950</v>
      </c>
      <c r="S61">
        <v>4.5</v>
      </c>
      <c r="T61" s="28">
        <f t="shared" si="8"/>
        <v>20.7</v>
      </c>
      <c r="AA61" s="37">
        <v>2950</v>
      </c>
      <c r="AB61" s="1">
        <v>24.151286518413581</v>
      </c>
      <c r="AC61" s="28">
        <f t="shared" si="9"/>
        <v>21.476282068345153</v>
      </c>
      <c r="AD61" s="27">
        <f t="shared" si="25"/>
        <v>21.985700000000001</v>
      </c>
      <c r="AE61" s="38">
        <f t="shared" si="20"/>
        <v>-3.0204944412201939E-3</v>
      </c>
      <c r="AF61" s="38">
        <f t="shared" si="21"/>
        <v>-1.9775257492437959E-3</v>
      </c>
      <c r="AG61" s="38">
        <f t="shared" si="22"/>
        <v>1.2856000000000024E-2</v>
      </c>
      <c r="AH61" s="37">
        <v>2950</v>
      </c>
      <c r="AJ61" s="35">
        <f t="shared" si="11"/>
        <v>4558.9034000000001</v>
      </c>
      <c r="AK61">
        <f t="shared" si="12"/>
        <v>148236793807.79074</v>
      </c>
      <c r="AL61">
        <f t="shared" si="13"/>
        <v>21.476282068345153</v>
      </c>
      <c r="AN61">
        <v>5.1429</v>
      </c>
      <c r="AO61" s="28">
        <f t="shared" si="14"/>
        <v>21.3429</v>
      </c>
      <c r="AQ61">
        <v>5.7857000000000003</v>
      </c>
      <c r="AR61" s="28">
        <f t="shared" si="15"/>
        <v>21.985700000000001</v>
      </c>
      <c r="AS61" s="38">
        <f t="shared" si="23"/>
        <v>1.2856000000000005E-2</v>
      </c>
      <c r="AU61">
        <f t="shared" si="16"/>
        <v>24.075643259206792</v>
      </c>
      <c r="AV61">
        <f t="shared" si="17"/>
        <v>21.423597286941639</v>
      </c>
      <c r="AW61">
        <f t="shared" si="18"/>
        <v>22.30715</v>
      </c>
    </row>
    <row r="62" spans="18:49" x14ac:dyDescent="0.3">
      <c r="R62" s="37">
        <v>3000</v>
      </c>
      <c r="S62">
        <v>5</v>
      </c>
      <c r="T62" s="28">
        <f t="shared" si="8"/>
        <v>21.2</v>
      </c>
      <c r="AA62" s="37">
        <v>3000</v>
      </c>
      <c r="AB62" s="1">
        <v>24</v>
      </c>
      <c r="AC62" s="28">
        <f t="shared" si="9"/>
        <v>21.370912505538126</v>
      </c>
      <c r="AD62" s="27">
        <f t="shared" si="25"/>
        <v>22.628599999999999</v>
      </c>
      <c r="AE62" s="38">
        <f t="shared" si="20"/>
        <v>-3.025730368271624E-3</v>
      </c>
      <c r="AF62" s="38">
        <f t="shared" si="21"/>
        <v>-2.1073912561405451E-3</v>
      </c>
      <c r="AG62" s="38">
        <f t="shared" si="22"/>
        <v>1.2857999999999948E-2</v>
      </c>
      <c r="AH62" s="37">
        <v>3000</v>
      </c>
      <c r="AJ62" s="35">
        <f t="shared" si="11"/>
        <v>4608.9034000000001</v>
      </c>
      <c r="AK62">
        <f t="shared" si="12"/>
        <v>148236712670.01074</v>
      </c>
      <c r="AL62">
        <f t="shared" si="13"/>
        <v>21.370912505538126</v>
      </c>
      <c r="AN62">
        <v>5.6881000000000004</v>
      </c>
      <c r="AO62" s="28">
        <f t="shared" si="14"/>
        <v>21.888100000000001</v>
      </c>
      <c r="AQ62">
        <v>6.4286000000000003</v>
      </c>
      <c r="AR62" s="28">
        <f t="shared" si="15"/>
        <v>22.628599999999999</v>
      </c>
      <c r="AS62" s="38">
        <f t="shared" si="23"/>
        <v>1.2858000000000001E-2</v>
      </c>
      <c r="AU62">
        <f t="shared" si="16"/>
        <v>23.925000000000001</v>
      </c>
      <c r="AV62">
        <f t="shared" si="17"/>
        <v>21.314981083842849</v>
      </c>
      <c r="AW62">
        <f t="shared" si="18"/>
        <v>22.905949999999997</v>
      </c>
    </row>
    <row r="63" spans="18:49" x14ac:dyDescent="0.3">
      <c r="R63" s="37">
        <v>3050</v>
      </c>
      <c r="S63">
        <v>5.5</v>
      </c>
      <c r="T63" s="28">
        <f t="shared" si="8"/>
        <v>21.7</v>
      </c>
      <c r="AA63" s="37">
        <v>3050</v>
      </c>
      <c r="AB63" s="1">
        <v>23.85</v>
      </c>
      <c r="AC63" s="28">
        <f t="shared" si="9"/>
        <v>21.259049662147572</v>
      </c>
      <c r="AD63" s="27">
        <f t="shared" si="25"/>
        <v>23.183299999999999</v>
      </c>
      <c r="AE63" s="38">
        <f t="shared" si="20"/>
        <v>-2.9999999999999714E-3</v>
      </c>
      <c r="AF63" s="38">
        <f t="shared" si="21"/>
        <v>-2.2372568678110838E-3</v>
      </c>
      <c r="AG63" s="38">
        <f t="shared" si="22"/>
        <v>1.1094000000000008E-2</v>
      </c>
      <c r="AH63" s="37">
        <v>3050</v>
      </c>
      <c r="AJ63" s="35">
        <f t="shared" si="11"/>
        <v>4658.9034000000001</v>
      </c>
      <c r="AK63">
        <f t="shared" si="12"/>
        <v>148236626532.23074</v>
      </c>
      <c r="AL63">
        <f t="shared" si="13"/>
        <v>21.259049662147572</v>
      </c>
      <c r="AN63">
        <v>6.2695999999999996</v>
      </c>
      <c r="AO63" s="28">
        <f t="shared" si="14"/>
        <v>22.4696</v>
      </c>
      <c r="AQ63">
        <v>6.9832999999999998</v>
      </c>
      <c r="AR63" s="28">
        <f t="shared" si="15"/>
        <v>23.183299999999999</v>
      </c>
      <c r="AS63" s="38">
        <f t="shared" si="23"/>
        <v>1.1093999999999991E-2</v>
      </c>
      <c r="AU63">
        <f t="shared" si="16"/>
        <v>23.697175240586031</v>
      </c>
      <c r="AV63">
        <f t="shared" si="17"/>
        <v>21.199871597279252</v>
      </c>
      <c r="AW63">
        <f t="shared" si="18"/>
        <v>23.37735</v>
      </c>
    </row>
    <row r="64" spans="18:49" x14ac:dyDescent="0.3">
      <c r="R64" s="37">
        <v>3100</v>
      </c>
      <c r="S64">
        <v>5.9398</v>
      </c>
      <c r="T64" s="28">
        <f t="shared" si="8"/>
        <v>22.139800000000001</v>
      </c>
      <c r="AA64" s="37">
        <v>3100</v>
      </c>
      <c r="AB64" s="1">
        <v>23.54435048117206</v>
      </c>
      <c r="AC64" s="28">
        <f t="shared" si="9"/>
        <v>21.140693532410932</v>
      </c>
      <c r="AD64" s="27">
        <f t="shared" si="25"/>
        <v>23.571400000000001</v>
      </c>
      <c r="AE64" s="38">
        <f t="shared" si="20"/>
        <v>-6.1129903765588271E-3</v>
      </c>
      <c r="AF64" s="38">
        <f t="shared" si="21"/>
        <v>-2.3671225947327914E-3</v>
      </c>
      <c r="AG64" s="38">
        <f t="shared" si="22"/>
        <v>7.7620000000000293E-3</v>
      </c>
      <c r="AH64" s="37">
        <v>3100</v>
      </c>
      <c r="AJ64" s="35">
        <f t="shared" si="11"/>
        <v>4708.9034000000001</v>
      </c>
      <c r="AK64">
        <f t="shared" si="12"/>
        <v>148236535394.45074</v>
      </c>
      <c r="AL64">
        <f t="shared" si="13"/>
        <v>21.140693532410932</v>
      </c>
      <c r="AN64">
        <v>6.6844999999999999</v>
      </c>
      <c r="AO64" s="28">
        <f t="shared" si="14"/>
        <v>22.884499999999999</v>
      </c>
      <c r="AQ64">
        <v>7.3714000000000004</v>
      </c>
      <c r="AR64" s="28">
        <f t="shared" si="15"/>
        <v>23.571400000000001</v>
      </c>
      <c r="AS64" s="38">
        <f t="shared" si="23"/>
        <v>7.7620000000000111E-3</v>
      </c>
      <c r="AU64">
        <f t="shared" si="16"/>
        <v>23.344178768510957</v>
      </c>
      <c r="AV64">
        <f t="shared" si="17"/>
        <v>21.078268821430083</v>
      </c>
      <c r="AW64">
        <f t="shared" si="18"/>
        <v>23.682099999999998</v>
      </c>
    </row>
    <row r="65" spans="18:49" x14ac:dyDescent="0.3">
      <c r="R65" s="37">
        <v>3150</v>
      </c>
      <c r="S65">
        <v>6.2148000000000003</v>
      </c>
      <c r="T65" s="28">
        <f t="shared" si="8"/>
        <v>22.4148</v>
      </c>
      <c r="AA65" s="37">
        <v>3150</v>
      </c>
      <c r="AB65" s="1">
        <v>23.144007055849851</v>
      </c>
      <c r="AC65" s="28">
        <f t="shared" si="9"/>
        <v>21.015844110449233</v>
      </c>
      <c r="AD65" s="27">
        <f t="shared" si="25"/>
        <v>23.7928</v>
      </c>
      <c r="AE65" s="38">
        <f t="shared" si="20"/>
        <v>-8.0068685064441786E-3</v>
      </c>
      <c r="AF65" s="38">
        <f t="shared" si="21"/>
        <v>-2.4969884392339737E-3</v>
      </c>
      <c r="AG65" s="38">
        <f t="shared" si="22"/>
        <v>4.4279999999999832E-3</v>
      </c>
      <c r="AH65" s="37">
        <v>3150</v>
      </c>
      <c r="AJ65" s="35">
        <f t="shared" si="11"/>
        <v>4758.9034000000001</v>
      </c>
      <c r="AK65">
        <f t="shared" si="12"/>
        <v>148236439256.67075</v>
      </c>
      <c r="AL65">
        <f t="shared" si="13"/>
        <v>21.015844110449233</v>
      </c>
      <c r="AN65">
        <v>6.9328000000000003</v>
      </c>
      <c r="AO65" s="28">
        <f t="shared" si="14"/>
        <v>23.1328</v>
      </c>
      <c r="AQ65">
        <v>7.5928000000000004</v>
      </c>
      <c r="AR65" s="28">
        <f t="shared" si="15"/>
        <v>23.7928</v>
      </c>
      <c r="AS65" s="38">
        <f t="shared" si="23"/>
        <v>4.4280000000000005E-3</v>
      </c>
      <c r="AU65">
        <f t="shared" si="16"/>
        <v>22.967866815464809</v>
      </c>
      <c r="AV65">
        <f t="shared" si="17"/>
        <v>20.950172750183537</v>
      </c>
      <c r="AW65">
        <f t="shared" si="18"/>
        <v>23.8202</v>
      </c>
    </row>
    <row r="66" spans="18:49" x14ac:dyDescent="0.3">
      <c r="R66" s="37">
        <v>3200</v>
      </c>
      <c r="S66">
        <v>6.3231000000000002</v>
      </c>
      <c r="T66" s="28">
        <f t="shared" si="8"/>
        <v>22.523099999999999</v>
      </c>
      <c r="U66">
        <v>7</v>
      </c>
      <c r="V66">
        <f>U66+C$2</f>
        <v>23.2</v>
      </c>
      <c r="W66" s="37">
        <f>R66</f>
        <v>3200</v>
      </c>
      <c r="AA66" s="37">
        <v>3200</v>
      </c>
      <c r="AB66" s="1">
        <v>22.791726575079771</v>
      </c>
      <c r="AC66" s="28">
        <f t="shared" si="9"/>
        <v>20.88450138991784</v>
      </c>
      <c r="AD66" s="27">
        <f t="shared" si="25"/>
        <v>23.8476</v>
      </c>
      <c r="AE66" s="38">
        <f t="shared" si="20"/>
        <v>-7.0456096154016025E-3</v>
      </c>
      <c r="AF66" s="38">
        <f t="shared" si="21"/>
        <v>-2.6268544106278569E-3</v>
      </c>
      <c r="AG66" s="38">
        <f t="shared" si="22"/>
        <v>1.0960000000000037E-3</v>
      </c>
      <c r="AH66" s="37">
        <v>3200</v>
      </c>
      <c r="AJ66" s="35">
        <f t="shared" si="11"/>
        <v>4808.9034000000001</v>
      </c>
      <c r="AK66">
        <f t="shared" si="12"/>
        <v>148236338118.89075</v>
      </c>
      <c r="AL66">
        <f t="shared" si="13"/>
        <v>20.88450138991784</v>
      </c>
      <c r="AN66">
        <v>7</v>
      </c>
      <c r="AO66" s="28">
        <f t="shared" si="14"/>
        <v>23.2</v>
      </c>
      <c r="AQ66">
        <v>7.6475999999999997</v>
      </c>
      <c r="AR66" s="28">
        <f t="shared" si="15"/>
        <v>23.8476</v>
      </c>
      <c r="AS66" s="38">
        <f t="shared" si="23"/>
        <v>1.0959999999999859E-3</v>
      </c>
      <c r="AU66">
        <f t="shared" si="16"/>
        <v>22.607485983647138</v>
      </c>
      <c r="AV66">
        <f t="shared" si="17"/>
        <v>20.815583377020356</v>
      </c>
      <c r="AW66">
        <f t="shared" si="18"/>
        <v>23.791650000000001</v>
      </c>
    </row>
    <row r="67" spans="18:49" x14ac:dyDescent="0.3">
      <c r="R67" s="37">
        <v>3250</v>
      </c>
      <c r="S67">
        <v>6.2148000000000003</v>
      </c>
      <c r="T67" s="28">
        <f t="shared" ref="T67:T74" si="27">C$2+S67</f>
        <v>22.4148</v>
      </c>
      <c r="AA67" s="37">
        <v>3250</v>
      </c>
      <c r="AB67" s="1">
        <v>22.423245392214501</v>
      </c>
      <c r="AC67" s="28">
        <f t="shared" ref="AC67:AC74" si="28">AL67</f>
        <v>20.746665364122872</v>
      </c>
      <c r="AD67" s="27">
        <f t="shared" ref="AD67:AD74" si="29">AR67</f>
        <v>23.735700000000001</v>
      </c>
      <c r="AE67" s="38">
        <f t="shared" si="20"/>
        <v>-7.3696236573054111E-3</v>
      </c>
      <c r="AF67" s="38">
        <f t="shared" si="21"/>
        <v>-2.7567205158993604E-3</v>
      </c>
      <c r="AG67" s="38">
        <f t="shared" si="22"/>
        <v>-2.2379999999999709E-3</v>
      </c>
      <c r="AH67" s="37">
        <v>3250</v>
      </c>
      <c r="AJ67" s="35">
        <f t="shared" ref="AJ67:AJ74" si="30">1608.9034+AA67</f>
        <v>4858.9034000000001</v>
      </c>
      <c r="AK67">
        <f t="shared" ref="AK67:AK74" si="31">385016.1194^2-(AJ67-3772.5256)^2</f>
        <v>148236231981.11075</v>
      </c>
      <c r="AL67">
        <f t="shared" ref="AL67:AL74" si="32">SQRT(AK67)-383005.1649-2004.87514676392+16.2</f>
        <v>20.746665364122872</v>
      </c>
      <c r="AN67">
        <v>6.9291999999999998</v>
      </c>
      <c r="AO67" s="28">
        <f t="shared" ref="AO67:AO74" si="33">AN67+16.2</f>
        <v>23.129199999999997</v>
      </c>
      <c r="AQ67">
        <v>7.5357000000000003</v>
      </c>
      <c r="AR67" s="28">
        <f t="shared" ref="AR67:AR74" si="34">AQ67+16.2</f>
        <v>23.735700000000001</v>
      </c>
      <c r="AS67" s="38">
        <f t="shared" si="23"/>
        <v>-2.2379999999999887E-3</v>
      </c>
      <c r="AU67">
        <f t="shared" ref="AU67:AU73" si="35">(AB68+AB67)/2</f>
        <v>22.215139879246578</v>
      </c>
      <c r="AV67">
        <f t="shared" ref="AV67:AV73" si="36">(AC68+AC67)/2</f>
        <v>20.674500695130245</v>
      </c>
      <c r="AW67">
        <f t="shared" ref="AW67:AW73" si="37">(AD68+AD67)/2</f>
        <v>23.596400000000003</v>
      </c>
    </row>
    <row r="68" spans="18:49" x14ac:dyDescent="0.3">
      <c r="R68" s="37">
        <v>3300</v>
      </c>
      <c r="S68">
        <v>6.0397999999999996</v>
      </c>
      <c r="T68" s="28">
        <f t="shared" si="27"/>
        <v>22.239799999999999</v>
      </c>
      <c r="AA68" s="37">
        <v>3300</v>
      </c>
      <c r="AB68" s="1">
        <v>22.00703436627866</v>
      </c>
      <c r="AC68" s="28">
        <f t="shared" si="28"/>
        <v>20.602336026137618</v>
      </c>
      <c r="AD68" s="27">
        <f t="shared" si="29"/>
        <v>23.457100000000001</v>
      </c>
      <c r="AE68" s="38">
        <f t="shared" ref="AE68:AE74" si="38">(AB68-AB67)/50</f>
        <v>-8.3242205187168145E-3</v>
      </c>
      <c r="AF68" s="38">
        <f t="shared" ref="AF68:AF74" si="39">(AC68-AC67)/50</f>
        <v>-2.8865867597050966E-3</v>
      </c>
      <c r="AG68" s="38">
        <f t="shared" ref="AG68:AG74" si="40">(AD68-AD67)/50</f>
        <v>-5.572000000000017E-3</v>
      </c>
      <c r="AH68" s="37">
        <v>3300</v>
      </c>
      <c r="AJ68" s="35">
        <f t="shared" si="30"/>
        <v>4908.9034000000001</v>
      </c>
      <c r="AK68">
        <f t="shared" si="31"/>
        <v>148236120843.33075</v>
      </c>
      <c r="AL68">
        <f t="shared" si="32"/>
        <v>20.602336026137618</v>
      </c>
      <c r="AN68">
        <v>6.6773999999999996</v>
      </c>
      <c r="AO68" s="28">
        <f t="shared" si="33"/>
        <v>22.877399999999998</v>
      </c>
      <c r="AQ68">
        <v>7.2571000000000003</v>
      </c>
      <c r="AR68" s="28">
        <f t="shared" si="34"/>
        <v>23.457100000000001</v>
      </c>
      <c r="AS68" s="38">
        <f t="shared" ref="AS68:AS74" si="41">(AQ68-AQ67)/50</f>
        <v>-5.5719999999999988E-3</v>
      </c>
      <c r="AU68">
        <f t="shared" si="35"/>
        <v>21.847216344355232</v>
      </c>
      <c r="AV68">
        <f t="shared" si="36"/>
        <v>20.526924697382764</v>
      </c>
      <c r="AW68">
        <f t="shared" si="37"/>
        <v>23.234499999999997</v>
      </c>
    </row>
    <row r="69" spans="18:49" x14ac:dyDescent="0.3">
      <c r="R69" s="37">
        <v>3350</v>
      </c>
      <c r="S69">
        <v>5.6481000000000003</v>
      </c>
      <c r="T69" s="28">
        <f t="shared" si="27"/>
        <v>21.848099999999999</v>
      </c>
      <c r="AA69" s="37">
        <v>3350</v>
      </c>
      <c r="AB69" s="1">
        <v>21.6873983224318</v>
      </c>
      <c r="AC69" s="28">
        <f t="shared" si="28"/>
        <v>20.451513368627911</v>
      </c>
      <c r="AD69" s="27">
        <f t="shared" si="29"/>
        <v>23.011899999999997</v>
      </c>
      <c r="AE69" s="38">
        <f t="shared" si="38"/>
        <v>-6.3927208769371906E-3</v>
      </c>
      <c r="AF69" s="38">
        <f t="shared" si="39"/>
        <v>-3.0164531501941385E-3</v>
      </c>
      <c r="AG69" s="38">
        <f t="shared" si="40"/>
        <v>-8.9040000000000681E-3</v>
      </c>
      <c r="AH69" s="37">
        <v>3350</v>
      </c>
      <c r="AJ69" s="35">
        <f t="shared" si="30"/>
        <v>4958.9034000000001</v>
      </c>
      <c r="AK69">
        <f t="shared" si="31"/>
        <v>148236004705.55075</v>
      </c>
      <c r="AL69">
        <f t="shared" si="32"/>
        <v>20.451513368627911</v>
      </c>
      <c r="AN69">
        <v>6.2750000000000004</v>
      </c>
      <c r="AO69" s="28">
        <f t="shared" si="33"/>
        <v>22.475000000000001</v>
      </c>
      <c r="AQ69">
        <v>6.8118999999999996</v>
      </c>
      <c r="AR69" s="28">
        <f t="shared" si="34"/>
        <v>23.011899999999997</v>
      </c>
      <c r="AS69" s="38">
        <f t="shared" si="41"/>
        <v>-8.9040000000000143E-3</v>
      </c>
      <c r="AU69">
        <f t="shared" si="35"/>
        <v>21.525727100214745</v>
      </c>
      <c r="AV69">
        <f t="shared" si="36"/>
        <v>20.372855376327333</v>
      </c>
      <c r="AW69">
        <f t="shared" si="37"/>
        <v>22.7059</v>
      </c>
    </row>
    <row r="70" spans="18:49" x14ac:dyDescent="0.3">
      <c r="R70" s="37">
        <v>3400</v>
      </c>
      <c r="S70">
        <v>5.2</v>
      </c>
      <c r="T70" s="28">
        <f t="shared" si="27"/>
        <v>21.4</v>
      </c>
      <c r="AA70" s="37">
        <v>3400</v>
      </c>
      <c r="AB70" s="1">
        <v>21.364055877997689</v>
      </c>
      <c r="AC70" s="28">
        <f t="shared" si="28"/>
        <v>20.294197384026756</v>
      </c>
      <c r="AD70" s="27">
        <f t="shared" si="29"/>
        <v>22.399899999999999</v>
      </c>
      <c r="AE70" s="38">
        <f t="shared" si="38"/>
        <v>-6.4668488886822214E-3</v>
      </c>
      <c r="AF70" s="38">
        <f t="shared" si="39"/>
        <v>-3.1463196920230984E-3</v>
      </c>
      <c r="AG70" s="38">
        <f t="shared" si="40"/>
        <v>-1.2239999999999966E-2</v>
      </c>
      <c r="AH70" s="37">
        <v>3400</v>
      </c>
      <c r="AJ70" s="35">
        <f t="shared" si="30"/>
        <v>5008.9034000000001</v>
      </c>
      <c r="AK70">
        <f t="shared" si="31"/>
        <v>148235883567.77075</v>
      </c>
      <c r="AL70">
        <f t="shared" si="32"/>
        <v>20.294197384026756</v>
      </c>
      <c r="AN70">
        <v>5.6738</v>
      </c>
      <c r="AO70" s="28">
        <f t="shared" si="33"/>
        <v>21.873799999999999</v>
      </c>
      <c r="AQ70">
        <v>6.1999000000000004</v>
      </c>
      <c r="AR70" s="28">
        <f t="shared" si="34"/>
        <v>22.399899999999999</v>
      </c>
      <c r="AS70" s="38">
        <f t="shared" si="41"/>
        <v>-1.2239999999999984E-2</v>
      </c>
      <c r="AU70">
        <f t="shared" si="35"/>
        <v>21.14145642775857</v>
      </c>
      <c r="AV70">
        <f t="shared" si="36"/>
        <v>20.212292724164126</v>
      </c>
      <c r="AW70">
        <f t="shared" si="37"/>
        <v>22.049949999999999</v>
      </c>
    </row>
    <row r="71" spans="18:49" x14ac:dyDescent="0.3">
      <c r="R71" s="37">
        <v>3450</v>
      </c>
      <c r="S71">
        <v>4.75</v>
      </c>
      <c r="T71" s="28">
        <f t="shared" si="27"/>
        <v>20.95</v>
      </c>
      <c r="AA71" s="37">
        <v>3450</v>
      </c>
      <c r="AB71" s="1">
        <v>20.91885697751945</v>
      </c>
      <c r="AC71" s="28">
        <f t="shared" si="28"/>
        <v>20.130388064301496</v>
      </c>
      <c r="AD71" s="27">
        <f t="shared" si="29"/>
        <v>21.7</v>
      </c>
      <c r="AE71" s="38">
        <f t="shared" si="38"/>
        <v>-8.9039780095647812E-3</v>
      </c>
      <c r="AF71" s="38">
        <f t="shared" si="39"/>
        <v>-3.2761863945052028E-3</v>
      </c>
      <c r="AG71" s="38">
        <f t="shared" si="40"/>
        <v>-1.399799999999999E-2</v>
      </c>
      <c r="AH71" s="37">
        <v>3450</v>
      </c>
      <c r="AJ71" s="35">
        <f t="shared" si="30"/>
        <v>5058.9034000000001</v>
      </c>
      <c r="AK71">
        <f t="shared" si="31"/>
        <v>148235757429.99075</v>
      </c>
      <c r="AL71">
        <f t="shared" si="32"/>
        <v>20.130388064301496</v>
      </c>
      <c r="AN71">
        <v>5.125</v>
      </c>
      <c r="AO71" s="28">
        <f t="shared" si="33"/>
        <v>21.324999999999999</v>
      </c>
      <c r="AQ71">
        <v>5.5</v>
      </c>
      <c r="AR71" s="28">
        <f t="shared" si="34"/>
        <v>21.7</v>
      </c>
      <c r="AS71" s="38">
        <f t="shared" si="41"/>
        <v>-1.3998000000000009E-2</v>
      </c>
      <c r="AU71">
        <f t="shared" si="35"/>
        <v>20.666658432246731</v>
      </c>
      <c r="AV71">
        <f t="shared" si="36"/>
        <v>20.045236732744069</v>
      </c>
      <c r="AW71">
        <f t="shared" si="37"/>
        <v>21.35</v>
      </c>
    </row>
    <row r="72" spans="18:49" x14ac:dyDescent="0.3">
      <c r="R72" s="37">
        <v>3500</v>
      </c>
      <c r="S72">
        <v>4.3</v>
      </c>
      <c r="T72" s="28">
        <f t="shared" si="27"/>
        <v>20.5</v>
      </c>
      <c r="AA72" s="37">
        <v>3500</v>
      </c>
      <c r="AB72" s="1">
        <v>20.414459886974011</v>
      </c>
      <c r="AC72" s="28">
        <f t="shared" si="28"/>
        <v>19.960085401186642</v>
      </c>
      <c r="AD72" s="27">
        <f t="shared" si="29"/>
        <v>21</v>
      </c>
      <c r="AE72" s="38">
        <f t="shared" si="38"/>
        <v>-1.0087941810908774E-2</v>
      </c>
      <c r="AF72" s="38">
        <f t="shared" si="39"/>
        <v>-3.4060532622970639E-3</v>
      </c>
      <c r="AG72" s="38">
        <f t="shared" si="40"/>
        <v>-1.3999999999999986E-2</v>
      </c>
      <c r="AH72" s="37">
        <v>3500</v>
      </c>
      <c r="AJ72" s="35">
        <f t="shared" si="30"/>
        <v>5108.9034000000001</v>
      </c>
      <c r="AK72">
        <f t="shared" si="31"/>
        <v>148235626292.21075</v>
      </c>
      <c r="AL72">
        <f t="shared" si="32"/>
        <v>19.960085401186642</v>
      </c>
      <c r="AN72">
        <v>4.55</v>
      </c>
      <c r="AO72" s="28">
        <f t="shared" si="33"/>
        <v>20.75</v>
      </c>
      <c r="AQ72">
        <v>4.8</v>
      </c>
      <c r="AR72" s="28">
        <f t="shared" si="34"/>
        <v>21</v>
      </c>
      <c r="AS72" s="38">
        <f t="shared" si="41"/>
        <v>-1.4000000000000004E-2</v>
      </c>
      <c r="AU72">
        <f t="shared" si="35"/>
        <v>20.225019420191153</v>
      </c>
      <c r="AV72">
        <f t="shared" si="36"/>
        <v>19.871687393627052</v>
      </c>
      <c r="AW72">
        <f t="shared" si="37"/>
        <v>20.65</v>
      </c>
    </row>
    <row r="73" spans="18:49" x14ac:dyDescent="0.3">
      <c r="R73" s="37">
        <v>3550</v>
      </c>
      <c r="S73">
        <v>3.85</v>
      </c>
      <c r="T73" s="28">
        <f t="shared" si="27"/>
        <v>20.05</v>
      </c>
      <c r="AA73" s="37">
        <v>3550</v>
      </c>
      <c r="AB73" s="1">
        <v>20.03557895340829</v>
      </c>
      <c r="AC73" s="28">
        <f t="shared" si="28"/>
        <v>19.783289386067462</v>
      </c>
      <c r="AD73" s="27">
        <f t="shared" si="29"/>
        <v>20.299999999999997</v>
      </c>
      <c r="AE73" s="38">
        <f t="shared" si="38"/>
        <v>-7.5776186713144254E-3</v>
      </c>
      <c r="AF73" s="38">
        <f t="shared" si="39"/>
        <v>-3.5359203023836018E-3</v>
      </c>
      <c r="AG73" s="38">
        <f t="shared" si="40"/>
        <v>-1.4000000000000058E-2</v>
      </c>
      <c r="AH73" s="37">
        <v>3550</v>
      </c>
      <c r="AJ73" s="35">
        <f t="shared" si="30"/>
        <v>5158.9034000000001</v>
      </c>
      <c r="AK73">
        <f t="shared" si="31"/>
        <v>148235490154.43076</v>
      </c>
      <c r="AL73">
        <f t="shared" si="32"/>
        <v>19.783289386067462</v>
      </c>
      <c r="AN73">
        <v>3.9750000000000001</v>
      </c>
      <c r="AO73" s="28">
        <f t="shared" si="33"/>
        <v>20.175000000000001</v>
      </c>
      <c r="AQ73">
        <v>4.0999999999999996</v>
      </c>
      <c r="AR73" s="28">
        <f t="shared" si="34"/>
        <v>20.299999999999997</v>
      </c>
      <c r="AS73" s="38">
        <f t="shared" si="41"/>
        <v>-1.4000000000000004E-2</v>
      </c>
      <c r="AU73">
        <f t="shared" si="35"/>
        <v>19.817789476704146</v>
      </c>
      <c r="AV73">
        <f t="shared" si="36"/>
        <v>19.691644698023719</v>
      </c>
      <c r="AW73">
        <f t="shared" si="37"/>
        <v>19.949999999999996</v>
      </c>
    </row>
    <row r="74" spans="18:49" x14ac:dyDescent="0.3">
      <c r="R74" s="37">
        <v>3600</v>
      </c>
      <c r="S74">
        <v>3.4</v>
      </c>
      <c r="T74" s="28">
        <f t="shared" si="27"/>
        <v>19.599999999999998</v>
      </c>
      <c r="U74">
        <v>3.4</v>
      </c>
      <c r="V74">
        <f>U74+C$2</f>
        <v>19.599999999999998</v>
      </c>
      <c r="W74" s="37">
        <f>R74</f>
        <v>3600</v>
      </c>
      <c r="AA74" s="37">
        <v>3600</v>
      </c>
      <c r="AB74" s="1">
        <v>19.600000000000001</v>
      </c>
      <c r="AC74" s="28">
        <f t="shared" si="28"/>
        <v>19.600000009979976</v>
      </c>
      <c r="AD74" s="27">
        <f t="shared" si="29"/>
        <v>19.599999999999998</v>
      </c>
      <c r="AE74" s="38">
        <f t="shared" si="38"/>
        <v>-8.7115790681657757E-3</v>
      </c>
      <c r="AF74" s="38">
        <f t="shared" si="39"/>
        <v>-3.6657875217497348E-3</v>
      </c>
      <c r="AG74" s="38">
        <f t="shared" si="40"/>
        <v>-1.3999999999999986E-2</v>
      </c>
      <c r="AH74" s="37">
        <v>3600</v>
      </c>
      <c r="AJ74" s="35">
        <f t="shared" si="30"/>
        <v>5208.9034000000001</v>
      </c>
      <c r="AK74">
        <f t="shared" si="31"/>
        <v>148235349016.65076</v>
      </c>
      <c r="AL74">
        <f t="shared" si="32"/>
        <v>19.600000009979976</v>
      </c>
      <c r="AN74">
        <v>3.4</v>
      </c>
      <c r="AO74" s="28">
        <f t="shared" si="33"/>
        <v>19.599999999999998</v>
      </c>
      <c r="AQ74">
        <v>3.4</v>
      </c>
      <c r="AR74" s="28">
        <f t="shared" si="34"/>
        <v>19.599999999999998</v>
      </c>
      <c r="AS74" s="38">
        <f t="shared" si="41"/>
        <v>-1.3999999999999995E-2</v>
      </c>
      <c r="AU74" s="9">
        <f>SUM(AU2:AU73)*50*40</f>
        <v>2979347.3064947817</v>
      </c>
      <c r="AV74" s="9">
        <f t="shared" ref="AV74:AW74" si="42">SUM(AV2:AV73)*50*40</f>
        <v>2981456.4099559877</v>
      </c>
      <c r="AW74" s="9">
        <f t="shared" si="42"/>
        <v>2990001.9999999995</v>
      </c>
    </row>
    <row r="75" spans="18:49" x14ac:dyDescent="0.3">
      <c r="AB75" s="36">
        <f>SUM(AB2:AB74)*100</f>
        <v>150757.36532473908</v>
      </c>
      <c r="AC75" s="36">
        <f t="shared" ref="AC75:AD75" si="43">SUM(AC2:AC74)*100</f>
        <v>150862.82049829853</v>
      </c>
      <c r="AD75" s="36">
        <f t="shared" si="43"/>
        <v>151290.09999999995</v>
      </c>
      <c r="AE75" s="36"/>
      <c r="AF75" s="36"/>
      <c r="AG75" s="36"/>
      <c r="AU75" s="39"/>
      <c r="AV75" s="39">
        <f>AV74/AU74-1</f>
        <v>7.0790788861985199E-4</v>
      </c>
      <c r="AW75" s="39">
        <f>AW74/AU74-1</f>
        <v>3.5761837775647454E-3</v>
      </c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4"/>
  <sheetViews>
    <sheetView topLeftCell="B1" workbookViewId="0">
      <selection activeCell="X15" sqref="X15"/>
    </sheetView>
  </sheetViews>
  <sheetFormatPr defaultRowHeight="14" x14ac:dyDescent="0.3"/>
  <sheetData>
    <row r="1" spans="1:22" x14ac:dyDescent="0.3">
      <c r="C1" t="s">
        <v>35</v>
      </c>
      <c r="D1" t="s">
        <v>27</v>
      </c>
      <c r="E1" t="s">
        <v>44</v>
      </c>
      <c r="G1" t="s">
        <v>49</v>
      </c>
      <c r="H1" t="s">
        <v>48</v>
      </c>
      <c r="I1" t="s">
        <v>47</v>
      </c>
      <c r="J1" t="s">
        <v>53</v>
      </c>
      <c r="K1" t="s">
        <v>47</v>
      </c>
      <c r="L1" t="s">
        <v>50</v>
      </c>
      <c r="M1" t="s">
        <v>51</v>
      </c>
      <c r="N1" t="s">
        <v>47</v>
      </c>
      <c r="O1" t="s">
        <v>55</v>
      </c>
      <c r="T1" t="s">
        <v>95</v>
      </c>
      <c r="V1" t="s">
        <v>96</v>
      </c>
    </row>
    <row r="2" spans="1:22" x14ac:dyDescent="0.3">
      <c r="A2">
        <f>(B2-1)*100</f>
        <v>0</v>
      </c>
      <c r="B2">
        <v>1</v>
      </c>
      <c r="C2" s="1">
        <v>16.2</v>
      </c>
      <c r="D2" s="9">
        <v>16.2</v>
      </c>
      <c r="E2">
        <v>16.2</v>
      </c>
      <c r="F2" s="27">
        <f>(C2-D2)*100</f>
        <v>0</v>
      </c>
      <c r="G2">
        <v>0</v>
      </c>
      <c r="H2" s="28">
        <f>D2+G2</f>
        <v>16.2</v>
      </c>
      <c r="I2">
        <v>0</v>
      </c>
      <c r="J2" s="28">
        <f>D2+I2</f>
        <v>16.2</v>
      </c>
      <c r="K2">
        <v>0</v>
      </c>
      <c r="L2" s="28">
        <f>D2+K2</f>
        <v>16.2</v>
      </c>
      <c r="M2">
        <v>23.2</v>
      </c>
      <c r="N2" s="29">
        <v>0</v>
      </c>
      <c r="O2" s="28">
        <f>D2+N2</f>
        <v>16.2</v>
      </c>
      <c r="P2">
        <v>0</v>
      </c>
      <c r="Q2" s="28">
        <f>D$2+P2</f>
        <v>16.2</v>
      </c>
      <c r="R2" s="37">
        <v>0</v>
      </c>
      <c r="S2">
        <v>0</v>
      </c>
      <c r="T2" s="28">
        <f t="shared" ref="T2:T33" si="0">C$2+S2</f>
        <v>16.2</v>
      </c>
      <c r="U2">
        <v>0</v>
      </c>
      <c r="V2">
        <f>U2+C$2</f>
        <v>16.2</v>
      </c>
    </row>
    <row r="3" spans="1:22" x14ac:dyDescent="0.3">
      <c r="A3">
        <f t="shared" ref="A3:A38" si="1">(B3-1)*100</f>
        <v>100</v>
      </c>
      <c r="B3">
        <v>2</v>
      </c>
      <c r="C3" s="1">
        <v>16.23</v>
      </c>
      <c r="D3" s="9">
        <v>16.294444444444444</v>
      </c>
      <c r="E3">
        <v>12.2</v>
      </c>
      <c r="F3" s="27">
        <f t="shared" ref="F3:F38" si="2">(C3-D3)*100</f>
        <v>-6.444444444444386</v>
      </c>
      <c r="G3">
        <v>0.44</v>
      </c>
      <c r="H3" s="28">
        <f t="shared" ref="H3:H38" si="3">D3+G3</f>
        <v>16.734444444444446</v>
      </c>
      <c r="I3">
        <v>0.44819999999999999</v>
      </c>
      <c r="J3" s="28">
        <f t="shared" ref="J3:J38" si="4">D3+I3</f>
        <v>16.742644444444444</v>
      </c>
      <c r="K3">
        <v>1.6224000000000001</v>
      </c>
      <c r="L3" s="28">
        <f t="shared" ref="L3:L38" si="5">D3+K3</f>
        <v>17.916844444444443</v>
      </c>
      <c r="M3">
        <v>23.2</v>
      </c>
      <c r="N3" s="29">
        <v>2.6402999999999999</v>
      </c>
      <c r="O3" s="28">
        <f t="shared" ref="O3:O38" si="6">D3+N3</f>
        <v>18.934744444444444</v>
      </c>
      <c r="Q3" s="28"/>
      <c r="R3" s="37">
        <v>50</v>
      </c>
      <c r="S3">
        <v>0.875</v>
      </c>
      <c r="T3" s="28">
        <f t="shared" si="0"/>
        <v>17.074999999999999</v>
      </c>
    </row>
    <row r="4" spans="1:22" x14ac:dyDescent="0.3">
      <c r="A4">
        <f t="shared" si="1"/>
        <v>200</v>
      </c>
      <c r="B4">
        <v>3</v>
      </c>
      <c r="C4" s="1">
        <v>16.77265954533005</v>
      </c>
      <c r="D4" s="9">
        <v>16.388888888888889</v>
      </c>
      <c r="E4">
        <v>16.2</v>
      </c>
      <c r="F4" s="27">
        <f t="shared" si="2"/>
        <v>38.377065644116115</v>
      </c>
      <c r="G4">
        <v>0.87</v>
      </c>
      <c r="H4" s="28">
        <f t="shared" si="3"/>
        <v>17.25888888888889</v>
      </c>
      <c r="I4">
        <v>0.872</v>
      </c>
      <c r="J4" s="28">
        <f t="shared" si="4"/>
        <v>17.260888888888889</v>
      </c>
      <c r="K4">
        <v>3.0415000000000001</v>
      </c>
      <c r="L4" s="28">
        <f t="shared" si="5"/>
        <v>19.430388888888888</v>
      </c>
      <c r="M4">
        <v>23.2</v>
      </c>
      <c r="N4" s="29">
        <v>4.6239999999999997</v>
      </c>
      <c r="O4" s="28">
        <f t="shared" si="6"/>
        <v>21.012888888888888</v>
      </c>
      <c r="Q4" s="28"/>
      <c r="R4" s="37">
        <v>100</v>
      </c>
      <c r="S4">
        <v>1.75</v>
      </c>
      <c r="T4" s="28">
        <f t="shared" si="0"/>
        <v>17.95</v>
      </c>
    </row>
    <row r="5" spans="1:22" x14ac:dyDescent="0.3">
      <c r="A5">
        <f t="shared" si="1"/>
        <v>300</v>
      </c>
      <c r="B5">
        <v>4</v>
      </c>
      <c r="C5" s="1">
        <v>17.088302024697409</v>
      </c>
      <c r="D5" s="9">
        <v>16.483333333333334</v>
      </c>
      <c r="E5">
        <v>12.2</v>
      </c>
      <c r="F5" s="27">
        <f t="shared" si="2"/>
        <v>60.496869136407483</v>
      </c>
      <c r="G5">
        <v>1.2716000000000001</v>
      </c>
      <c r="H5" s="28">
        <f t="shared" si="3"/>
        <v>17.754933333333334</v>
      </c>
      <c r="I5">
        <v>1.2695000000000001</v>
      </c>
      <c r="J5" s="28">
        <f t="shared" si="4"/>
        <v>17.752833333333335</v>
      </c>
      <c r="K5">
        <v>4.1882000000000001</v>
      </c>
      <c r="L5" s="28">
        <f t="shared" si="5"/>
        <v>20.671533333333336</v>
      </c>
      <c r="M5">
        <v>23.2</v>
      </c>
      <c r="N5" s="29">
        <v>5.9512</v>
      </c>
      <c r="O5" s="28">
        <f t="shared" si="6"/>
        <v>22.434533333333334</v>
      </c>
      <c r="Q5" s="28"/>
      <c r="R5" s="37">
        <v>150</v>
      </c>
      <c r="S5">
        <v>2.625</v>
      </c>
      <c r="T5" s="28">
        <f t="shared" si="0"/>
        <v>18.824999999999999</v>
      </c>
    </row>
    <row r="6" spans="1:22" x14ac:dyDescent="0.3">
      <c r="A6">
        <f t="shared" si="1"/>
        <v>400</v>
      </c>
      <c r="B6">
        <v>5</v>
      </c>
      <c r="C6" s="1">
        <v>17.50930536380227</v>
      </c>
      <c r="D6" s="9">
        <v>16.577777777777776</v>
      </c>
      <c r="E6">
        <v>16.2</v>
      </c>
      <c r="F6" s="27">
        <f t="shared" si="2"/>
        <v>93.152758602449381</v>
      </c>
      <c r="G6">
        <v>1.6640999999999999</v>
      </c>
      <c r="H6" s="28">
        <f t="shared" si="3"/>
        <v>18.241877777777777</v>
      </c>
      <c r="I6">
        <v>1.6413</v>
      </c>
      <c r="J6" s="28">
        <f t="shared" si="4"/>
        <v>18.219077777777777</v>
      </c>
      <c r="K6">
        <v>4.9866000000000001</v>
      </c>
      <c r="L6" s="28">
        <f t="shared" si="5"/>
        <v>21.564377777777775</v>
      </c>
      <c r="M6">
        <v>23.2</v>
      </c>
      <c r="N6" s="29">
        <v>6.6220999999999997</v>
      </c>
      <c r="O6" s="28">
        <f t="shared" si="6"/>
        <v>23.199877777777775</v>
      </c>
      <c r="P6">
        <v>7</v>
      </c>
      <c r="Q6" s="28">
        <f t="shared" ref="Q6:Q38" si="7">D$2+P6</f>
        <v>23.2</v>
      </c>
      <c r="R6" s="37">
        <v>200</v>
      </c>
      <c r="S6">
        <v>3.5</v>
      </c>
      <c r="T6" s="28">
        <f t="shared" si="0"/>
        <v>19.7</v>
      </c>
    </row>
    <row r="7" spans="1:22" x14ac:dyDescent="0.3">
      <c r="A7">
        <f t="shared" si="1"/>
        <v>500</v>
      </c>
      <c r="B7">
        <v>6</v>
      </c>
      <c r="C7" s="1">
        <v>17.976022409316101</v>
      </c>
      <c r="D7" s="9">
        <v>16.672222222222221</v>
      </c>
      <c r="E7">
        <v>12.2</v>
      </c>
      <c r="F7" s="27">
        <f t="shared" si="2"/>
        <v>130.38001870938808</v>
      </c>
      <c r="G7">
        <v>1.9908999999999999</v>
      </c>
      <c r="H7" s="28">
        <f t="shared" si="3"/>
        <v>18.663122222222221</v>
      </c>
      <c r="I7">
        <v>1.9875</v>
      </c>
      <c r="J7" s="28">
        <f t="shared" si="4"/>
        <v>18.659722222222221</v>
      </c>
      <c r="K7">
        <v>5.3643000000000001</v>
      </c>
      <c r="L7" s="28">
        <f t="shared" si="5"/>
        <v>22.036522222222221</v>
      </c>
      <c r="M7">
        <v>23.2</v>
      </c>
      <c r="N7" s="29">
        <v>6.6369999999999996</v>
      </c>
      <c r="O7" s="28">
        <f t="shared" si="6"/>
        <v>23.309222222222221</v>
      </c>
      <c r="Q7" s="28"/>
      <c r="R7" s="37">
        <v>250</v>
      </c>
      <c r="S7">
        <v>4.3672000000000004</v>
      </c>
      <c r="T7" s="28">
        <f t="shared" si="0"/>
        <v>20.5672</v>
      </c>
    </row>
    <row r="8" spans="1:22" x14ac:dyDescent="0.3">
      <c r="A8">
        <f t="shared" si="1"/>
        <v>600</v>
      </c>
      <c r="B8">
        <v>7</v>
      </c>
      <c r="C8" s="1">
        <v>18.381372409495501</v>
      </c>
      <c r="D8" s="9">
        <v>16.766666666666666</v>
      </c>
      <c r="E8">
        <v>14.2</v>
      </c>
      <c r="F8" s="27">
        <f t="shared" si="2"/>
        <v>161.47057428288355</v>
      </c>
      <c r="G8">
        <v>2.3119999999999998</v>
      </c>
      <c r="H8" s="28">
        <f t="shared" si="3"/>
        <v>19.078666666666667</v>
      </c>
      <c r="I8">
        <v>2.3081</v>
      </c>
      <c r="J8" s="28">
        <f t="shared" si="4"/>
        <v>19.074766666666665</v>
      </c>
      <c r="K8">
        <v>5.2720000000000002</v>
      </c>
      <c r="L8" s="28">
        <f t="shared" si="5"/>
        <v>22.038666666666664</v>
      </c>
      <c r="M8">
        <v>23.2</v>
      </c>
      <c r="N8" s="29">
        <v>5.9954999999999998</v>
      </c>
      <c r="O8" s="28">
        <f t="shared" si="6"/>
        <v>22.762166666666666</v>
      </c>
      <c r="Q8" s="28"/>
      <c r="R8" s="37">
        <v>300</v>
      </c>
      <c r="S8">
        <v>5.1797000000000004</v>
      </c>
      <c r="T8" s="28">
        <f t="shared" si="0"/>
        <v>21.3797</v>
      </c>
    </row>
    <row r="9" spans="1:22" x14ac:dyDescent="0.3">
      <c r="A9">
        <f t="shared" si="1"/>
        <v>700</v>
      </c>
      <c r="B9">
        <v>8</v>
      </c>
      <c r="C9" s="1">
        <v>18.694881042171922</v>
      </c>
      <c r="D9" s="9">
        <v>16.861111111111111</v>
      </c>
      <c r="E9">
        <v>10.5</v>
      </c>
      <c r="F9" s="27">
        <f t="shared" si="2"/>
        <v>183.3769931060811</v>
      </c>
      <c r="G9">
        <v>2.6074000000000002</v>
      </c>
      <c r="H9" s="28">
        <f t="shared" si="3"/>
        <v>19.468511111111113</v>
      </c>
      <c r="I9">
        <v>2.6030000000000002</v>
      </c>
      <c r="J9" s="28">
        <f t="shared" si="4"/>
        <v>19.464111111111112</v>
      </c>
      <c r="K9">
        <v>4.6970999999999998</v>
      </c>
      <c r="L9" s="28">
        <f t="shared" si="5"/>
        <v>21.55821111111111</v>
      </c>
      <c r="M9">
        <v>23.2</v>
      </c>
      <c r="N9" s="29">
        <v>4.6982999999999997</v>
      </c>
      <c r="O9" s="28">
        <f t="shared" si="6"/>
        <v>21.55941111111111</v>
      </c>
      <c r="Q9" s="28"/>
      <c r="R9" s="37">
        <v>350</v>
      </c>
      <c r="S9">
        <v>5.7423000000000002</v>
      </c>
      <c r="T9" s="28">
        <f t="shared" si="0"/>
        <v>21.942299999999999</v>
      </c>
    </row>
    <row r="10" spans="1:22" x14ac:dyDescent="0.3">
      <c r="A10">
        <f t="shared" si="1"/>
        <v>800</v>
      </c>
      <c r="B10">
        <v>9</v>
      </c>
      <c r="C10" s="1">
        <v>19.182337629892189</v>
      </c>
      <c r="D10" s="9">
        <v>16.955555555555556</v>
      </c>
      <c r="E10">
        <v>12</v>
      </c>
      <c r="F10" s="27">
        <f t="shared" si="2"/>
        <v>222.67820743366329</v>
      </c>
      <c r="G10">
        <v>2.8771</v>
      </c>
      <c r="H10" s="28">
        <f t="shared" si="3"/>
        <v>19.832655555555554</v>
      </c>
      <c r="I10">
        <v>2.8723000000000001</v>
      </c>
      <c r="J10" s="28">
        <f t="shared" si="4"/>
        <v>19.827855555555555</v>
      </c>
      <c r="K10">
        <v>3.7639999999999998</v>
      </c>
      <c r="L10" s="28">
        <f t="shared" si="5"/>
        <v>20.719555555555555</v>
      </c>
      <c r="M10">
        <v>23.2</v>
      </c>
      <c r="N10" s="29">
        <v>2.7440000000000002</v>
      </c>
      <c r="O10" s="28">
        <f t="shared" si="6"/>
        <v>19.699555555555555</v>
      </c>
      <c r="P10">
        <v>3.5</v>
      </c>
      <c r="Q10" s="28">
        <f t="shared" si="7"/>
        <v>19.7</v>
      </c>
      <c r="R10" s="37">
        <v>400</v>
      </c>
      <c r="S10">
        <v>6.0548000000000002</v>
      </c>
      <c r="T10" s="28">
        <f t="shared" si="0"/>
        <v>22.254799999999999</v>
      </c>
      <c r="U10">
        <v>7</v>
      </c>
      <c r="V10">
        <f>U10+C$2</f>
        <v>23.2</v>
      </c>
    </row>
    <row r="11" spans="1:22" x14ac:dyDescent="0.3">
      <c r="A11">
        <f t="shared" si="1"/>
        <v>900</v>
      </c>
      <c r="B11">
        <v>10</v>
      </c>
      <c r="C11" s="1">
        <v>19.709214521701849</v>
      </c>
      <c r="D11" s="9">
        <v>17.05</v>
      </c>
      <c r="E11">
        <v>15.5</v>
      </c>
      <c r="F11" s="27">
        <f t="shared" si="2"/>
        <v>265.92145217018481</v>
      </c>
      <c r="G11">
        <v>3.1212</v>
      </c>
      <c r="H11" s="28">
        <f t="shared" si="3"/>
        <v>20.171199999999999</v>
      </c>
      <c r="I11">
        <v>3.1158999999999999</v>
      </c>
      <c r="J11" s="28">
        <f t="shared" si="4"/>
        <v>20.165900000000001</v>
      </c>
      <c r="K11">
        <v>2.7284000000000002</v>
      </c>
      <c r="L11" s="28">
        <f t="shared" si="5"/>
        <v>19.778400000000001</v>
      </c>
      <c r="M11">
        <v>23.2</v>
      </c>
      <c r="N11" s="29">
        <v>1.2827</v>
      </c>
      <c r="O11" s="28">
        <f t="shared" si="6"/>
        <v>18.332699999999999</v>
      </c>
      <c r="Q11" s="28"/>
      <c r="R11" s="37">
        <v>450</v>
      </c>
      <c r="S11">
        <v>6.1172000000000004</v>
      </c>
      <c r="T11" s="28">
        <f t="shared" si="0"/>
        <v>22.3172</v>
      </c>
    </row>
    <row r="12" spans="1:22" x14ac:dyDescent="0.3">
      <c r="A12">
        <f t="shared" si="1"/>
        <v>1000</v>
      </c>
      <c r="B12">
        <v>11</v>
      </c>
      <c r="C12" s="1">
        <v>20.36939951356478</v>
      </c>
      <c r="D12" s="9">
        <v>17.144444444444446</v>
      </c>
      <c r="E12">
        <v>12</v>
      </c>
      <c r="F12" s="27">
        <f t="shared" si="2"/>
        <v>322.49550691203342</v>
      </c>
      <c r="G12">
        <v>3.3395000000000001</v>
      </c>
      <c r="H12" s="28">
        <f t="shared" si="3"/>
        <v>20.483944444444447</v>
      </c>
      <c r="I12">
        <v>3.3338999999999999</v>
      </c>
      <c r="J12" s="28">
        <f t="shared" si="4"/>
        <v>20.478344444444446</v>
      </c>
      <c r="K12">
        <v>1.8007</v>
      </c>
      <c r="L12" s="28">
        <f t="shared" si="5"/>
        <v>18.945144444444445</v>
      </c>
      <c r="M12">
        <v>23.2</v>
      </c>
      <c r="N12" s="29">
        <v>0.3679</v>
      </c>
      <c r="O12" s="28">
        <f t="shared" si="6"/>
        <v>17.512344444444444</v>
      </c>
      <c r="Q12" s="28"/>
      <c r="R12" s="37">
        <v>500</v>
      </c>
      <c r="S12">
        <v>5.9297000000000004</v>
      </c>
      <c r="T12" s="28">
        <f t="shared" si="0"/>
        <v>22.1297</v>
      </c>
    </row>
    <row r="13" spans="1:22" x14ac:dyDescent="0.3">
      <c r="A13">
        <f t="shared" si="1"/>
        <v>1100</v>
      </c>
      <c r="B13">
        <v>12</v>
      </c>
      <c r="C13" s="1">
        <v>21.185240874981801</v>
      </c>
      <c r="D13" s="9">
        <v>17.238888888888887</v>
      </c>
      <c r="E13">
        <v>11.5</v>
      </c>
      <c r="F13" s="27">
        <f t="shared" si="2"/>
        <v>394.63519860929136</v>
      </c>
      <c r="G13">
        <v>3.5322</v>
      </c>
      <c r="H13" s="28">
        <f t="shared" si="3"/>
        <v>20.771088888888887</v>
      </c>
      <c r="I13">
        <v>3.5263</v>
      </c>
      <c r="J13" s="28">
        <f t="shared" si="4"/>
        <v>20.765188888888886</v>
      </c>
      <c r="K13">
        <v>1.3204</v>
      </c>
      <c r="L13" s="28">
        <f t="shared" si="5"/>
        <v>18.559288888888887</v>
      </c>
      <c r="M13">
        <v>23.2</v>
      </c>
      <c r="N13" s="29">
        <v>0</v>
      </c>
      <c r="O13" s="28">
        <f t="shared" si="6"/>
        <v>17.238888888888887</v>
      </c>
      <c r="P13">
        <v>1.03</v>
      </c>
      <c r="Q13" s="28">
        <f t="shared" si="7"/>
        <v>17.23</v>
      </c>
      <c r="R13" s="37">
        <v>550</v>
      </c>
      <c r="S13">
        <v>5.5</v>
      </c>
      <c r="T13" s="28">
        <f t="shared" si="0"/>
        <v>21.7</v>
      </c>
    </row>
    <row r="14" spans="1:22" x14ac:dyDescent="0.3">
      <c r="A14">
        <f t="shared" si="1"/>
        <v>1200</v>
      </c>
      <c r="B14">
        <v>13</v>
      </c>
      <c r="C14" s="1">
        <v>21.9382837573126</v>
      </c>
      <c r="D14" s="9">
        <v>17.333333333333332</v>
      </c>
      <c r="E14">
        <v>15.1</v>
      </c>
      <c r="F14" s="27">
        <f t="shared" si="2"/>
        <v>460.4950423979268</v>
      </c>
      <c r="G14">
        <v>3.6991000000000001</v>
      </c>
      <c r="H14" s="28">
        <f t="shared" si="3"/>
        <v>21.032433333333334</v>
      </c>
      <c r="I14">
        <v>3.6928999999999998</v>
      </c>
      <c r="J14" s="28">
        <f t="shared" si="4"/>
        <v>21.02623333333333</v>
      </c>
      <c r="K14">
        <v>1.6154999999999999</v>
      </c>
      <c r="L14" s="28">
        <f t="shared" si="5"/>
        <v>18.948833333333333</v>
      </c>
      <c r="M14">
        <v>23.2</v>
      </c>
      <c r="N14" s="29">
        <v>0.17899999999999999</v>
      </c>
      <c r="O14" s="28">
        <f t="shared" si="6"/>
        <v>17.512333333333331</v>
      </c>
      <c r="Q14" s="28"/>
      <c r="R14" s="37">
        <v>600</v>
      </c>
      <c r="S14">
        <v>5</v>
      </c>
      <c r="T14" s="28">
        <f t="shared" si="0"/>
        <v>21.2</v>
      </c>
    </row>
    <row r="15" spans="1:22" x14ac:dyDescent="0.3">
      <c r="A15">
        <f t="shared" si="1"/>
        <v>1300</v>
      </c>
      <c r="B15">
        <v>14</v>
      </c>
      <c r="C15" s="1">
        <v>22.800055267935761</v>
      </c>
      <c r="D15" s="9">
        <v>17.427777777777777</v>
      </c>
      <c r="E15">
        <v>11.1</v>
      </c>
      <c r="F15" s="27">
        <f t="shared" si="2"/>
        <v>537.22774901579839</v>
      </c>
      <c r="G15">
        <v>3.8403999999999998</v>
      </c>
      <c r="H15" s="28">
        <f t="shared" si="3"/>
        <v>21.268177777777776</v>
      </c>
      <c r="I15">
        <v>3.8340000000000001</v>
      </c>
      <c r="J15" s="28">
        <f t="shared" si="4"/>
        <v>21.261777777777777</v>
      </c>
      <c r="K15">
        <v>2.4043999999999999</v>
      </c>
      <c r="L15" s="28">
        <f t="shared" si="5"/>
        <v>19.832177777777776</v>
      </c>
      <c r="M15">
        <v>23.2</v>
      </c>
      <c r="N15" s="29">
        <v>0.90490000000000004</v>
      </c>
      <c r="O15" s="28">
        <f t="shared" si="6"/>
        <v>18.332677777777779</v>
      </c>
      <c r="Q15" s="28"/>
      <c r="R15" s="37">
        <v>650</v>
      </c>
      <c r="S15">
        <v>4.5</v>
      </c>
      <c r="T15" s="28">
        <f t="shared" si="0"/>
        <v>20.7</v>
      </c>
    </row>
    <row r="16" spans="1:22" x14ac:dyDescent="0.3">
      <c r="A16">
        <f t="shared" si="1"/>
        <v>1400</v>
      </c>
      <c r="B16">
        <v>15</v>
      </c>
      <c r="C16" s="1">
        <v>23.222124073160721</v>
      </c>
      <c r="D16" s="9">
        <v>17.522222222222222</v>
      </c>
      <c r="E16">
        <v>15.1</v>
      </c>
      <c r="F16" s="27">
        <f t="shared" si="2"/>
        <v>569.99018509384985</v>
      </c>
      <c r="G16">
        <v>3.956</v>
      </c>
      <c r="H16" s="28">
        <f t="shared" si="3"/>
        <v>21.478222222222222</v>
      </c>
      <c r="I16">
        <v>3.9493999999999998</v>
      </c>
      <c r="J16" s="28">
        <f t="shared" si="4"/>
        <v>21.471622222222223</v>
      </c>
      <c r="K16">
        <v>3.3472</v>
      </c>
      <c r="L16" s="28">
        <f t="shared" si="5"/>
        <v>20.869422222222223</v>
      </c>
      <c r="M16">
        <v>23.2</v>
      </c>
      <c r="N16" s="29">
        <v>2.1778</v>
      </c>
      <c r="O16" s="28">
        <f t="shared" si="6"/>
        <v>19.700022222222223</v>
      </c>
      <c r="P16">
        <v>3.5</v>
      </c>
      <c r="Q16" s="28">
        <f t="shared" si="7"/>
        <v>19.7</v>
      </c>
      <c r="R16" s="37">
        <v>700</v>
      </c>
      <c r="S16">
        <v>4</v>
      </c>
      <c r="T16" s="28">
        <f t="shared" si="0"/>
        <v>20.2</v>
      </c>
    </row>
    <row r="17" spans="1:22" x14ac:dyDescent="0.3">
      <c r="A17">
        <f t="shared" si="1"/>
        <v>1500</v>
      </c>
      <c r="B17">
        <v>16</v>
      </c>
      <c r="C17" s="1">
        <v>23.118694100136729</v>
      </c>
      <c r="D17" s="9">
        <v>17.616666666666667</v>
      </c>
      <c r="E17">
        <v>11.1</v>
      </c>
      <c r="F17" s="27">
        <f t="shared" si="2"/>
        <v>550.20274334700616</v>
      </c>
      <c r="G17">
        <v>4.0458999999999996</v>
      </c>
      <c r="H17" s="28">
        <f t="shared" si="3"/>
        <v>21.662566666666667</v>
      </c>
      <c r="I17">
        <v>4.0392000000000001</v>
      </c>
      <c r="J17" s="28">
        <f t="shared" si="4"/>
        <v>21.655866666666668</v>
      </c>
      <c r="K17">
        <v>4.1886000000000001</v>
      </c>
      <c r="L17" s="28">
        <f t="shared" si="5"/>
        <v>21.805266666666668</v>
      </c>
      <c r="M17">
        <v>23.2</v>
      </c>
      <c r="N17" s="29">
        <v>3.6145999999999998</v>
      </c>
      <c r="O17" s="28">
        <f t="shared" si="6"/>
        <v>21.231266666666667</v>
      </c>
      <c r="Q17" s="28"/>
      <c r="R17" s="37">
        <v>750</v>
      </c>
      <c r="S17">
        <v>3.5</v>
      </c>
      <c r="T17" s="28">
        <f t="shared" si="0"/>
        <v>19.7</v>
      </c>
    </row>
    <row r="18" spans="1:22" x14ac:dyDescent="0.3">
      <c r="A18">
        <f t="shared" si="1"/>
        <v>1600</v>
      </c>
      <c r="B18">
        <v>17</v>
      </c>
      <c r="C18" s="1">
        <v>22.50125603280393</v>
      </c>
      <c r="D18" s="9">
        <v>17.711111111111112</v>
      </c>
      <c r="E18">
        <v>15.1</v>
      </c>
      <c r="F18" s="27">
        <f t="shared" si="2"/>
        <v>479.01449216928177</v>
      </c>
      <c r="G18">
        <v>4.1101999999999999</v>
      </c>
      <c r="H18" s="28">
        <f t="shared" si="3"/>
        <v>21.821311111111111</v>
      </c>
      <c r="I18">
        <v>4.1032999999999999</v>
      </c>
      <c r="J18" s="28">
        <f t="shared" si="4"/>
        <v>21.814411111111113</v>
      </c>
      <c r="K18">
        <v>4.8299000000000003</v>
      </c>
      <c r="L18" s="28">
        <f t="shared" si="5"/>
        <v>22.541011111111111</v>
      </c>
      <c r="M18">
        <v>23.2</v>
      </c>
      <c r="N18" s="29">
        <v>4.6139000000000001</v>
      </c>
      <c r="O18" s="28">
        <f t="shared" si="6"/>
        <v>22.325011111111113</v>
      </c>
      <c r="Q18" s="28"/>
      <c r="R18" s="37">
        <v>800</v>
      </c>
      <c r="S18">
        <v>3</v>
      </c>
      <c r="T18" s="28">
        <f t="shared" si="0"/>
        <v>19.2</v>
      </c>
    </row>
    <row r="19" spans="1:22" x14ac:dyDescent="0.3">
      <c r="A19">
        <f t="shared" si="1"/>
        <v>1700</v>
      </c>
      <c r="B19">
        <v>18</v>
      </c>
      <c r="C19" s="1">
        <v>21.685041237236799</v>
      </c>
      <c r="D19" s="9">
        <v>17.805555555555557</v>
      </c>
      <c r="E19">
        <v>11.6</v>
      </c>
      <c r="F19" s="27">
        <f t="shared" si="2"/>
        <v>387.94856816812421</v>
      </c>
      <c r="G19">
        <v>4.1486999999999998</v>
      </c>
      <c r="H19" s="28">
        <f t="shared" si="3"/>
        <v>21.954255555555555</v>
      </c>
      <c r="I19">
        <v>4.1417000000000002</v>
      </c>
      <c r="J19" s="28">
        <f t="shared" si="4"/>
        <v>21.947255555555557</v>
      </c>
      <c r="K19">
        <v>5.2190000000000003</v>
      </c>
      <c r="L19" s="28">
        <f t="shared" si="5"/>
        <v>23.024555555555558</v>
      </c>
      <c r="M19">
        <v>23.2</v>
      </c>
      <c r="N19" s="29">
        <v>5.1757</v>
      </c>
      <c r="O19" s="28">
        <f t="shared" si="6"/>
        <v>22.981255555555556</v>
      </c>
      <c r="Q19" s="28"/>
      <c r="R19" s="37">
        <v>850</v>
      </c>
      <c r="S19">
        <v>2.5</v>
      </c>
      <c r="T19" s="28">
        <f t="shared" si="0"/>
        <v>18.7</v>
      </c>
    </row>
    <row r="20" spans="1:22" x14ac:dyDescent="0.3">
      <c r="A20">
        <f t="shared" si="1"/>
        <v>1800</v>
      </c>
      <c r="B20">
        <v>19</v>
      </c>
      <c r="C20" s="1">
        <v>20.913911979364531</v>
      </c>
      <c r="D20" s="9">
        <v>17.899999999999999</v>
      </c>
      <c r="E20">
        <v>15.6</v>
      </c>
      <c r="F20" s="27">
        <f t="shared" si="2"/>
        <v>301.3911979364533</v>
      </c>
      <c r="G20">
        <v>4.1615000000000002</v>
      </c>
      <c r="H20" s="28">
        <f t="shared" si="3"/>
        <v>22.061499999999999</v>
      </c>
      <c r="I20">
        <v>4.1546000000000003</v>
      </c>
      <c r="J20" s="28">
        <f t="shared" si="4"/>
        <v>22.054600000000001</v>
      </c>
      <c r="K20">
        <v>5.3</v>
      </c>
      <c r="L20" s="28">
        <f t="shared" si="5"/>
        <v>23.2</v>
      </c>
      <c r="M20">
        <v>23.2</v>
      </c>
      <c r="N20" s="29">
        <v>5.3</v>
      </c>
      <c r="O20" s="28">
        <f t="shared" si="6"/>
        <v>23.2</v>
      </c>
      <c r="P20">
        <v>7</v>
      </c>
      <c r="Q20" s="28">
        <f t="shared" si="7"/>
        <v>23.2</v>
      </c>
      <c r="R20" s="37">
        <v>900</v>
      </c>
      <c r="S20">
        <v>2</v>
      </c>
      <c r="T20" s="28">
        <f t="shared" si="0"/>
        <v>18.2</v>
      </c>
    </row>
    <row r="21" spans="1:22" x14ac:dyDescent="0.3">
      <c r="A21">
        <f t="shared" si="1"/>
        <v>1900</v>
      </c>
      <c r="B21">
        <v>20</v>
      </c>
      <c r="C21" s="1">
        <v>20.15231743913272</v>
      </c>
      <c r="D21" s="9">
        <v>17.994444444444444</v>
      </c>
      <c r="E21">
        <v>11.6</v>
      </c>
      <c r="F21" s="27">
        <f t="shared" si="2"/>
        <v>215.7872994688276</v>
      </c>
      <c r="G21">
        <v>4.1486999999999998</v>
      </c>
      <c r="H21" s="28">
        <f t="shared" si="3"/>
        <v>22.143144444444445</v>
      </c>
      <c r="I21">
        <f>I19</f>
        <v>4.1417000000000002</v>
      </c>
      <c r="J21" s="28">
        <f t="shared" si="4"/>
        <v>22.136144444444444</v>
      </c>
      <c r="K21">
        <v>5.03</v>
      </c>
      <c r="L21" s="28">
        <f t="shared" si="5"/>
        <v>23.024444444444445</v>
      </c>
      <c r="M21">
        <v>23.2</v>
      </c>
      <c r="N21" s="29">
        <v>4.9867999999999997</v>
      </c>
      <c r="O21" s="28">
        <f t="shared" si="6"/>
        <v>22.981244444444442</v>
      </c>
      <c r="Q21" s="28"/>
      <c r="R21" s="37">
        <v>950</v>
      </c>
      <c r="S21">
        <v>1.5</v>
      </c>
      <c r="T21" s="28">
        <f t="shared" si="0"/>
        <v>17.7</v>
      </c>
    </row>
    <row r="22" spans="1:22" x14ac:dyDescent="0.3">
      <c r="A22">
        <f t="shared" si="1"/>
        <v>2000</v>
      </c>
      <c r="B22">
        <v>21</v>
      </c>
      <c r="C22" s="1">
        <v>19.514445110632909</v>
      </c>
      <c r="D22" s="9">
        <v>18.088888888888889</v>
      </c>
      <c r="E22">
        <v>15.1</v>
      </c>
      <c r="F22" s="27">
        <f t="shared" si="2"/>
        <v>142.55562217440206</v>
      </c>
      <c r="G22">
        <v>4.1101999999999999</v>
      </c>
      <c r="H22" s="28">
        <f t="shared" si="3"/>
        <v>22.199088888888888</v>
      </c>
      <c r="I22">
        <f>I18</f>
        <v>4.1032999999999999</v>
      </c>
      <c r="J22" s="28">
        <f t="shared" si="4"/>
        <v>22.192188888888889</v>
      </c>
      <c r="K22">
        <v>4.4800000000000004</v>
      </c>
      <c r="L22" s="28">
        <f t="shared" si="5"/>
        <v>22.568888888888889</v>
      </c>
      <c r="M22">
        <v>23.2</v>
      </c>
      <c r="N22" s="29">
        <v>4.2359999999999998</v>
      </c>
      <c r="O22" s="28">
        <f t="shared" si="6"/>
        <v>22.324888888888889</v>
      </c>
      <c r="Q22" s="28"/>
      <c r="R22" s="37">
        <v>1000</v>
      </c>
      <c r="S22">
        <v>1</v>
      </c>
      <c r="T22" s="28">
        <f t="shared" si="0"/>
        <v>17.2</v>
      </c>
    </row>
    <row r="23" spans="1:22" x14ac:dyDescent="0.3">
      <c r="A23">
        <f t="shared" si="1"/>
        <v>2100</v>
      </c>
      <c r="B23">
        <v>22</v>
      </c>
      <c r="C23" s="1">
        <v>19.208045162869649</v>
      </c>
      <c r="D23" s="9">
        <v>18.183333333333334</v>
      </c>
      <c r="E23">
        <v>12.1</v>
      </c>
      <c r="F23" s="27">
        <f t="shared" si="2"/>
        <v>102.47118295363151</v>
      </c>
      <c r="G23">
        <v>4.0458999999999996</v>
      </c>
      <c r="H23" s="28">
        <f t="shared" si="3"/>
        <v>22.229233333333333</v>
      </c>
      <c r="I23">
        <f>I17</f>
        <v>4.0392000000000001</v>
      </c>
      <c r="J23" s="28">
        <f t="shared" si="4"/>
        <v>22.222533333333335</v>
      </c>
      <c r="K23">
        <v>3.7223000000000002</v>
      </c>
      <c r="L23" s="28">
        <f t="shared" si="5"/>
        <v>21.905633333333334</v>
      </c>
      <c r="M23">
        <v>23.2</v>
      </c>
      <c r="N23" s="29">
        <v>3.048</v>
      </c>
      <c r="O23" s="28">
        <f t="shared" si="6"/>
        <v>21.231333333333332</v>
      </c>
      <c r="Q23" s="28"/>
      <c r="R23" s="37">
        <v>1050</v>
      </c>
      <c r="S23">
        <v>0.62680000000000002</v>
      </c>
      <c r="T23" s="28">
        <f t="shared" si="0"/>
        <v>16.826799999999999</v>
      </c>
    </row>
    <row r="24" spans="1:22" x14ac:dyDescent="0.3">
      <c r="A24">
        <f t="shared" si="1"/>
        <v>2200</v>
      </c>
      <c r="B24">
        <v>23</v>
      </c>
      <c r="C24" s="1">
        <v>19.163088389471781</v>
      </c>
      <c r="D24" s="9">
        <v>18.277777777777779</v>
      </c>
      <c r="E24">
        <v>16.100000000000001</v>
      </c>
      <c r="F24" s="27">
        <f t="shared" si="2"/>
        <v>88.53106116940026</v>
      </c>
      <c r="G24">
        <f>G16</f>
        <v>3.956</v>
      </c>
      <c r="H24" s="28">
        <f t="shared" si="3"/>
        <v>22.233777777777778</v>
      </c>
      <c r="I24">
        <f>I16</f>
        <v>3.9493999999999998</v>
      </c>
      <c r="J24" s="28">
        <f t="shared" si="4"/>
        <v>22.227177777777779</v>
      </c>
      <c r="K24">
        <v>2.8475000000000001</v>
      </c>
      <c r="L24" s="28">
        <f t="shared" si="5"/>
        <v>21.125277777777779</v>
      </c>
      <c r="M24">
        <v>23.2</v>
      </c>
      <c r="N24" s="29">
        <v>1.4221999999999999</v>
      </c>
      <c r="O24" s="28">
        <f t="shared" si="6"/>
        <v>19.699977777777779</v>
      </c>
      <c r="P24">
        <v>3.5</v>
      </c>
      <c r="Q24" s="28">
        <f t="shared" si="7"/>
        <v>19.7</v>
      </c>
      <c r="R24" s="37">
        <v>1100</v>
      </c>
      <c r="S24">
        <v>0.5</v>
      </c>
      <c r="T24" s="28">
        <f t="shared" si="0"/>
        <v>16.7</v>
      </c>
      <c r="U24">
        <v>0</v>
      </c>
      <c r="V24">
        <f>U24+C$2</f>
        <v>16.2</v>
      </c>
    </row>
    <row r="25" spans="1:22" x14ac:dyDescent="0.3">
      <c r="A25">
        <f t="shared" si="1"/>
        <v>2300</v>
      </c>
      <c r="B25">
        <v>24</v>
      </c>
      <c r="C25" s="1">
        <v>19.56886483268708</v>
      </c>
      <c r="D25" s="9">
        <v>18.372222222222224</v>
      </c>
      <c r="E25">
        <v>12.100000000000001</v>
      </c>
      <c r="F25" s="27">
        <f t="shared" si="2"/>
        <v>119.66426104648562</v>
      </c>
      <c r="G25">
        <f>G15</f>
        <v>3.8403999999999998</v>
      </c>
      <c r="H25" s="28">
        <f t="shared" si="3"/>
        <v>22.212622222222222</v>
      </c>
      <c r="I25">
        <f>I15</f>
        <v>3.8340000000000001</v>
      </c>
      <c r="J25" s="28">
        <f t="shared" si="4"/>
        <v>22.206222222222223</v>
      </c>
      <c r="K25">
        <v>1.9634</v>
      </c>
      <c r="L25" s="28">
        <f t="shared" si="5"/>
        <v>20.335622222222224</v>
      </c>
      <c r="M25">
        <v>23.2</v>
      </c>
      <c r="N25" s="29">
        <v>0.69510000000000005</v>
      </c>
      <c r="O25" s="28">
        <f t="shared" si="6"/>
        <v>19.067322222222224</v>
      </c>
      <c r="Q25" s="28"/>
      <c r="R25" s="37">
        <v>1150</v>
      </c>
      <c r="S25">
        <v>0.62519999999999998</v>
      </c>
      <c r="T25" s="28">
        <f t="shared" si="0"/>
        <v>16.825199999999999</v>
      </c>
    </row>
    <row r="26" spans="1:22" x14ac:dyDescent="0.3">
      <c r="A26">
        <f t="shared" si="1"/>
        <v>2400</v>
      </c>
      <c r="B26">
        <v>25</v>
      </c>
      <c r="C26" s="1">
        <v>20.41691357784077</v>
      </c>
      <c r="D26" s="9">
        <v>18.466666666666669</v>
      </c>
      <c r="E26">
        <v>15.600000000000001</v>
      </c>
      <c r="F26" s="27">
        <f t="shared" si="2"/>
        <v>195.02469111741016</v>
      </c>
      <c r="G26">
        <f>G14</f>
        <v>3.6991000000000001</v>
      </c>
      <c r="H26" s="28">
        <f t="shared" si="3"/>
        <v>22.16576666666667</v>
      </c>
      <c r="I26">
        <f>I14</f>
        <v>3.6928999999999998</v>
      </c>
      <c r="J26" s="28">
        <f t="shared" si="4"/>
        <v>22.15956666666667</v>
      </c>
      <c r="K26">
        <v>1.2403</v>
      </c>
      <c r="L26" s="28">
        <f t="shared" si="5"/>
        <v>19.70696666666667</v>
      </c>
      <c r="M26">
        <v>23.2</v>
      </c>
      <c r="N26" s="29">
        <v>0.221</v>
      </c>
      <c r="O26" s="28">
        <f t="shared" si="6"/>
        <v>18.687666666666669</v>
      </c>
      <c r="Q26" s="28"/>
      <c r="R26" s="37">
        <v>1200</v>
      </c>
      <c r="S26">
        <v>1</v>
      </c>
      <c r="T26" s="28">
        <f t="shared" si="0"/>
        <v>17.2</v>
      </c>
    </row>
    <row r="27" spans="1:22" x14ac:dyDescent="0.3">
      <c r="A27">
        <f t="shared" si="1"/>
        <v>2500</v>
      </c>
      <c r="B27">
        <v>26</v>
      </c>
      <c r="C27" s="1">
        <v>21.56018265494739</v>
      </c>
      <c r="D27" s="9">
        <v>18.56111111111111</v>
      </c>
      <c r="E27">
        <v>11.600000000000001</v>
      </c>
      <c r="F27" s="27">
        <f t="shared" si="2"/>
        <v>299.90715438362798</v>
      </c>
      <c r="G27">
        <f>G13</f>
        <v>3.5322</v>
      </c>
      <c r="H27" s="28">
        <f t="shared" si="3"/>
        <v>22.09331111111111</v>
      </c>
      <c r="I27">
        <f>I13</f>
        <v>3.5263</v>
      </c>
      <c r="J27" s="28">
        <f t="shared" si="4"/>
        <v>22.087411111111109</v>
      </c>
      <c r="K27">
        <v>0.87960000000000005</v>
      </c>
      <c r="L27" s="28">
        <f t="shared" si="5"/>
        <v>19.44071111111111</v>
      </c>
      <c r="M27">
        <v>23.2</v>
      </c>
      <c r="N27" s="29">
        <v>0</v>
      </c>
      <c r="O27" s="28">
        <f t="shared" si="6"/>
        <v>18.56111111111111</v>
      </c>
      <c r="P27">
        <v>2.3611</v>
      </c>
      <c r="Q27" s="28">
        <f t="shared" si="7"/>
        <v>18.5611</v>
      </c>
      <c r="R27" s="37">
        <v>1250</v>
      </c>
      <c r="S27">
        <v>1.5</v>
      </c>
      <c r="T27" s="28">
        <f t="shared" si="0"/>
        <v>17.7</v>
      </c>
    </row>
    <row r="28" spans="1:22" x14ac:dyDescent="0.3">
      <c r="A28">
        <f t="shared" si="1"/>
        <v>2600</v>
      </c>
      <c r="B28">
        <v>27</v>
      </c>
      <c r="C28" s="1">
        <v>22.412964446331369</v>
      </c>
      <c r="D28" s="9">
        <v>18.655555555555555</v>
      </c>
      <c r="E28">
        <v>15.100000000000001</v>
      </c>
      <c r="F28" s="27">
        <f t="shared" si="2"/>
        <v>375.74088907758141</v>
      </c>
      <c r="G28">
        <f>G12</f>
        <v>3.3395000000000001</v>
      </c>
      <c r="H28" s="28">
        <f t="shared" si="3"/>
        <v>21.995055555555556</v>
      </c>
      <c r="I28">
        <f>I12</f>
        <v>3.3338999999999999</v>
      </c>
      <c r="J28" s="28">
        <f t="shared" si="4"/>
        <v>21.989455555555555</v>
      </c>
      <c r="K28">
        <v>1.0503</v>
      </c>
      <c r="L28" s="28">
        <f t="shared" si="5"/>
        <v>19.705855555555555</v>
      </c>
      <c r="M28">
        <v>23.2</v>
      </c>
      <c r="N28" s="29">
        <v>3.2099999999999997E-2</v>
      </c>
      <c r="O28" s="28">
        <f t="shared" si="6"/>
        <v>18.687655555555555</v>
      </c>
      <c r="Q28" s="28"/>
      <c r="R28" s="37">
        <v>1300</v>
      </c>
      <c r="S28">
        <v>2</v>
      </c>
      <c r="T28" s="28">
        <f t="shared" si="0"/>
        <v>18.2</v>
      </c>
    </row>
    <row r="29" spans="1:22" x14ac:dyDescent="0.3">
      <c r="A29">
        <f t="shared" si="1"/>
        <v>2700</v>
      </c>
      <c r="B29">
        <v>28</v>
      </c>
      <c r="C29" s="1">
        <v>23.213427008272301</v>
      </c>
      <c r="D29" s="9">
        <v>18.75</v>
      </c>
      <c r="E29">
        <v>15.400000000000002</v>
      </c>
      <c r="F29" s="27">
        <f t="shared" si="2"/>
        <v>446.34270082723015</v>
      </c>
      <c r="G29">
        <v>3.1212</v>
      </c>
      <c r="H29" s="28">
        <f t="shared" si="3"/>
        <v>21.871200000000002</v>
      </c>
      <c r="I29">
        <f>I11</f>
        <v>3.1158999999999999</v>
      </c>
      <c r="J29" s="28">
        <f t="shared" si="4"/>
        <v>21.8659</v>
      </c>
      <c r="K29">
        <v>1.5541</v>
      </c>
      <c r="L29" s="28">
        <f t="shared" si="5"/>
        <v>20.304099999999998</v>
      </c>
      <c r="M29">
        <v>23.2</v>
      </c>
      <c r="N29" s="29">
        <v>0.31730000000000003</v>
      </c>
      <c r="O29" s="28">
        <f t="shared" si="6"/>
        <v>19.067299999999999</v>
      </c>
      <c r="Q29" s="28"/>
      <c r="R29" s="37">
        <v>1350</v>
      </c>
      <c r="S29">
        <v>2.5</v>
      </c>
      <c r="T29" s="28">
        <f t="shared" si="0"/>
        <v>18.7</v>
      </c>
    </row>
    <row r="30" spans="1:22" x14ac:dyDescent="0.3">
      <c r="A30">
        <f t="shared" si="1"/>
        <v>2800</v>
      </c>
      <c r="B30">
        <v>29</v>
      </c>
      <c r="C30" s="1">
        <v>24.00158638949922</v>
      </c>
      <c r="D30" s="9">
        <v>18.844444444444445</v>
      </c>
      <c r="E30">
        <v>12.500000000000002</v>
      </c>
      <c r="F30" s="27">
        <f t="shared" si="2"/>
        <v>515.71419450547751</v>
      </c>
      <c r="G30">
        <f>G10</f>
        <v>2.8771</v>
      </c>
      <c r="H30" s="28">
        <f t="shared" si="3"/>
        <v>21.721544444444444</v>
      </c>
      <c r="I30">
        <f>I10</f>
        <v>2.8723000000000001</v>
      </c>
      <c r="J30" s="28">
        <f t="shared" si="4"/>
        <v>21.716744444444444</v>
      </c>
      <c r="K30">
        <v>2.1802999999999999</v>
      </c>
      <c r="L30" s="28">
        <f t="shared" si="5"/>
        <v>21.024744444444444</v>
      </c>
      <c r="M30">
        <v>23.2</v>
      </c>
      <c r="N30" s="29">
        <v>0.85560000000000003</v>
      </c>
      <c r="O30" s="28">
        <f t="shared" si="6"/>
        <v>19.700044444444444</v>
      </c>
      <c r="P30">
        <v>3.5</v>
      </c>
      <c r="Q30" s="28">
        <f t="shared" si="7"/>
        <v>19.7</v>
      </c>
      <c r="R30" s="37">
        <v>1400</v>
      </c>
      <c r="S30">
        <v>3</v>
      </c>
      <c r="T30" s="28">
        <f t="shared" si="0"/>
        <v>19.2</v>
      </c>
    </row>
    <row r="31" spans="1:22" x14ac:dyDescent="0.3">
      <c r="A31">
        <f t="shared" si="1"/>
        <v>2900</v>
      </c>
      <c r="B31">
        <v>30</v>
      </c>
      <c r="C31" s="1">
        <v>24.302311240474591</v>
      </c>
      <c r="D31" s="9">
        <v>18.93888888888889</v>
      </c>
      <c r="E31">
        <v>11.600000000000001</v>
      </c>
      <c r="F31" s="27">
        <f t="shared" si="2"/>
        <v>536.34223515857013</v>
      </c>
      <c r="G31">
        <f>G9</f>
        <v>2.6074000000000002</v>
      </c>
      <c r="H31" s="28">
        <f t="shared" si="3"/>
        <v>21.546288888888888</v>
      </c>
      <c r="I31">
        <f>I9</f>
        <v>2.6030000000000002</v>
      </c>
      <c r="J31" s="28">
        <f t="shared" si="4"/>
        <v>21.541888888888892</v>
      </c>
      <c r="K31">
        <v>2.7835000000000001</v>
      </c>
      <c r="L31" s="28">
        <f t="shared" si="5"/>
        <v>21.72238888888889</v>
      </c>
      <c r="M31">
        <v>23.2</v>
      </c>
      <c r="N31" s="29">
        <v>2.3018000000000001</v>
      </c>
      <c r="O31" s="28">
        <f t="shared" si="6"/>
        <v>21.24068888888889</v>
      </c>
      <c r="Q31" s="28"/>
      <c r="R31" s="37">
        <v>1450</v>
      </c>
      <c r="S31">
        <v>3.5</v>
      </c>
      <c r="T31" s="28">
        <f t="shared" si="0"/>
        <v>19.7</v>
      </c>
    </row>
    <row r="32" spans="1:22" x14ac:dyDescent="0.3">
      <c r="A32">
        <f t="shared" si="1"/>
        <v>3000</v>
      </c>
      <c r="B32">
        <v>31</v>
      </c>
      <c r="C32" s="1">
        <v>24</v>
      </c>
      <c r="D32" s="9">
        <v>19.033333333333335</v>
      </c>
      <c r="E32">
        <v>15.500000000000002</v>
      </c>
      <c r="F32" s="27">
        <f t="shared" si="2"/>
        <v>496.66666666666652</v>
      </c>
      <c r="G32">
        <f>G8</f>
        <v>2.3119999999999998</v>
      </c>
      <c r="H32" s="28">
        <f t="shared" si="3"/>
        <v>21.345333333333336</v>
      </c>
      <c r="I32">
        <f>I8</f>
        <v>2.3081</v>
      </c>
      <c r="J32" s="28">
        <f t="shared" si="4"/>
        <v>21.341433333333335</v>
      </c>
      <c r="K32">
        <v>3.1819000000000002</v>
      </c>
      <c r="L32" s="28">
        <f t="shared" si="5"/>
        <v>22.215233333333334</v>
      </c>
      <c r="M32">
        <v>23.2</v>
      </c>
      <c r="N32" s="29">
        <v>3.3041999999999998</v>
      </c>
      <c r="O32" s="28">
        <f t="shared" si="6"/>
        <v>22.337533333333333</v>
      </c>
      <c r="Q32" s="28"/>
      <c r="R32" s="37">
        <v>1500</v>
      </c>
      <c r="S32">
        <v>4</v>
      </c>
      <c r="T32" s="28">
        <f t="shared" si="0"/>
        <v>20.2</v>
      </c>
    </row>
    <row r="33" spans="1:22" x14ac:dyDescent="0.3">
      <c r="A33">
        <f t="shared" si="1"/>
        <v>3100</v>
      </c>
      <c r="B33">
        <v>32</v>
      </c>
      <c r="C33" s="1">
        <v>23.54435048117206</v>
      </c>
      <c r="D33" s="9">
        <v>19.12777777777778</v>
      </c>
      <c r="E33">
        <v>19.400000000000002</v>
      </c>
      <c r="F33" s="27">
        <f t="shared" si="2"/>
        <v>441.65727033942801</v>
      </c>
      <c r="G33">
        <f>G7</f>
        <v>1.9908999999999999</v>
      </c>
      <c r="H33" s="28">
        <f t="shared" si="3"/>
        <v>21.11867777777778</v>
      </c>
      <c r="I33">
        <f>I7</f>
        <v>1.9875</v>
      </c>
      <c r="J33" s="28">
        <f t="shared" si="4"/>
        <v>21.115277777777781</v>
      </c>
      <c r="K33">
        <v>3.2791000000000001</v>
      </c>
      <c r="L33" s="28">
        <f t="shared" si="5"/>
        <v>22.40687777777778</v>
      </c>
      <c r="M33">
        <v>23.2</v>
      </c>
      <c r="N33" s="29">
        <v>3.8628999999999998</v>
      </c>
      <c r="O33" s="28">
        <f t="shared" si="6"/>
        <v>22.99067777777778</v>
      </c>
      <c r="Q33" s="28"/>
      <c r="R33" s="37">
        <v>1550</v>
      </c>
      <c r="S33">
        <v>4.5</v>
      </c>
      <c r="T33" s="28">
        <f t="shared" si="0"/>
        <v>20.7</v>
      </c>
    </row>
    <row r="34" spans="1:22" x14ac:dyDescent="0.3">
      <c r="A34">
        <f t="shared" si="1"/>
        <v>3200</v>
      </c>
      <c r="B34">
        <v>33</v>
      </c>
      <c r="C34" s="1">
        <v>22.791726575079771</v>
      </c>
      <c r="D34" s="9">
        <v>19.222222222222225</v>
      </c>
      <c r="E34">
        <v>18.600000000000001</v>
      </c>
      <c r="F34" s="27">
        <f t="shared" si="2"/>
        <v>356.95043528575462</v>
      </c>
      <c r="G34">
        <f>G6</f>
        <v>1.6640999999999999</v>
      </c>
      <c r="H34" s="28">
        <f t="shared" si="3"/>
        <v>20.886322222222226</v>
      </c>
      <c r="I34">
        <v>1.6413</v>
      </c>
      <c r="J34" s="28">
        <f t="shared" si="4"/>
        <v>20.863522222222226</v>
      </c>
      <c r="K34">
        <v>3.0756999999999999</v>
      </c>
      <c r="L34" s="28">
        <f t="shared" si="5"/>
        <v>22.297922222222226</v>
      </c>
      <c r="M34">
        <v>23.2</v>
      </c>
      <c r="N34" s="29">
        <v>3.9777999999999998</v>
      </c>
      <c r="O34" s="28">
        <f t="shared" si="6"/>
        <v>23.200022222222223</v>
      </c>
      <c r="P34">
        <v>7</v>
      </c>
      <c r="Q34" s="28">
        <f t="shared" si="7"/>
        <v>23.2</v>
      </c>
      <c r="R34" s="37">
        <v>1600</v>
      </c>
      <c r="S34">
        <v>5</v>
      </c>
      <c r="T34" s="28">
        <f t="shared" ref="T34:T65" si="8">C$2+S34</f>
        <v>21.2</v>
      </c>
    </row>
    <row r="35" spans="1:22" x14ac:dyDescent="0.3">
      <c r="A35">
        <f t="shared" si="1"/>
        <v>3300</v>
      </c>
      <c r="B35">
        <v>34</v>
      </c>
      <c r="C35" s="1">
        <v>22.00703436627866</v>
      </c>
      <c r="D35" s="9">
        <v>19.316666666666666</v>
      </c>
      <c r="E35">
        <v>15.8</v>
      </c>
      <c r="F35" s="27">
        <f t="shared" si="2"/>
        <v>269.03676996119935</v>
      </c>
      <c r="G35">
        <f>G5</f>
        <v>1.2716000000000001</v>
      </c>
      <c r="H35" s="28">
        <f t="shared" si="3"/>
        <v>20.588266666666666</v>
      </c>
      <c r="I35">
        <v>1.2694000000000001</v>
      </c>
      <c r="J35" s="28">
        <f t="shared" si="4"/>
        <v>20.586066666666667</v>
      </c>
      <c r="K35">
        <v>2.5998999999999999</v>
      </c>
      <c r="L35" s="28">
        <f t="shared" si="5"/>
        <v>21.916566666666668</v>
      </c>
      <c r="M35">
        <v>23.2</v>
      </c>
      <c r="N35" s="29">
        <v>3.649</v>
      </c>
      <c r="O35" s="28">
        <f t="shared" si="6"/>
        <v>22.965666666666667</v>
      </c>
      <c r="Q35" s="28"/>
      <c r="R35" s="37">
        <v>1650</v>
      </c>
      <c r="S35">
        <v>5.5</v>
      </c>
      <c r="T35" s="28">
        <f t="shared" si="8"/>
        <v>21.7</v>
      </c>
    </row>
    <row r="36" spans="1:22" x14ac:dyDescent="0.3">
      <c r="A36">
        <f t="shared" si="1"/>
        <v>3400</v>
      </c>
      <c r="B36">
        <v>35</v>
      </c>
      <c r="C36" s="1">
        <v>21.364055877997689</v>
      </c>
      <c r="D36" s="9">
        <v>19.411111111111111</v>
      </c>
      <c r="E36">
        <v>18.8</v>
      </c>
      <c r="F36" s="27">
        <f t="shared" si="2"/>
        <v>195.29447668865777</v>
      </c>
      <c r="G36">
        <f>G4</f>
        <v>0.87</v>
      </c>
      <c r="H36" s="28">
        <f t="shared" si="3"/>
        <v>20.281111111111112</v>
      </c>
      <c r="I36">
        <v>0.87190000000000001</v>
      </c>
      <c r="J36" s="28">
        <f t="shared" si="4"/>
        <v>20.283011111111112</v>
      </c>
      <c r="K36">
        <v>1.8968</v>
      </c>
      <c r="L36" s="28">
        <f t="shared" si="5"/>
        <v>21.30791111111111</v>
      </c>
      <c r="M36">
        <v>23.2</v>
      </c>
      <c r="N36" s="29">
        <v>2.8763999999999998</v>
      </c>
      <c r="O36" s="28">
        <f t="shared" si="6"/>
        <v>22.287511111111112</v>
      </c>
      <c r="Q36" s="28"/>
      <c r="R36" s="37">
        <v>1700</v>
      </c>
      <c r="S36">
        <v>6</v>
      </c>
      <c r="T36" s="28">
        <f t="shared" si="8"/>
        <v>22.2</v>
      </c>
    </row>
    <row r="37" spans="1:22" x14ac:dyDescent="0.3">
      <c r="A37">
        <f t="shared" si="1"/>
        <v>3500</v>
      </c>
      <c r="B37">
        <v>36</v>
      </c>
      <c r="C37" s="1">
        <v>20.414459886974011</v>
      </c>
      <c r="D37" s="9">
        <v>19.505555555555556</v>
      </c>
      <c r="E37">
        <v>15.600000000000001</v>
      </c>
      <c r="F37" s="27">
        <f t="shared" si="2"/>
        <v>90.890433141845506</v>
      </c>
      <c r="G37">
        <f>G3</f>
        <v>0.44</v>
      </c>
      <c r="H37" s="28">
        <f t="shared" si="3"/>
        <v>19.945555555555558</v>
      </c>
      <c r="I37">
        <v>0.44879999999999998</v>
      </c>
      <c r="J37" s="28">
        <f t="shared" si="4"/>
        <v>19.954355555555555</v>
      </c>
      <c r="K37">
        <v>1.0152000000000001</v>
      </c>
      <c r="L37" s="28">
        <f t="shared" si="5"/>
        <v>20.520755555555557</v>
      </c>
      <c r="M37">
        <v>23.2</v>
      </c>
      <c r="N37" s="29">
        <v>1.6600999999999999</v>
      </c>
      <c r="O37" s="28">
        <f t="shared" si="6"/>
        <v>21.165655555555556</v>
      </c>
      <c r="Q37" s="28"/>
      <c r="R37" s="37">
        <v>1750</v>
      </c>
      <c r="S37">
        <v>6.3754</v>
      </c>
      <c r="T37" s="28">
        <f t="shared" si="8"/>
        <v>22.575399999999998</v>
      </c>
    </row>
    <row r="38" spans="1:22" x14ac:dyDescent="0.3">
      <c r="A38">
        <f t="shared" si="1"/>
        <v>3600</v>
      </c>
      <c r="B38">
        <v>37</v>
      </c>
      <c r="C38" s="1">
        <v>19.600000000000001</v>
      </c>
      <c r="D38" s="9">
        <v>19.600000000000001</v>
      </c>
      <c r="E38">
        <v>19.600000000000001</v>
      </c>
      <c r="F38" s="27">
        <f t="shared" si="2"/>
        <v>0</v>
      </c>
      <c r="G38">
        <f>G2</f>
        <v>0</v>
      </c>
      <c r="H38" s="28">
        <f t="shared" si="3"/>
        <v>19.600000000000001</v>
      </c>
      <c r="I38">
        <v>0</v>
      </c>
      <c r="J38" s="28">
        <f t="shared" si="4"/>
        <v>19.600000000000001</v>
      </c>
      <c r="K38">
        <v>0</v>
      </c>
      <c r="L38" s="28">
        <f t="shared" si="5"/>
        <v>19.600000000000001</v>
      </c>
      <c r="M38">
        <v>23.2</v>
      </c>
      <c r="N38" s="29">
        <v>0</v>
      </c>
      <c r="O38" s="28">
        <f t="shared" si="6"/>
        <v>19.600000000000001</v>
      </c>
      <c r="P38">
        <v>3.4</v>
      </c>
      <c r="Q38" s="28">
        <f t="shared" si="7"/>
        <v>19.599999999999998</v>
      </c>
      <c r="R38" s="37">
        <v>1800</v>
      </c>
      <c r="S38">
        <v>6.5</v>
      </c>
      <c r="T38" s="28">
        <f t="shared" si="8"/>
        <v>22.7</v>
      </c>
      <c r="U38">
        <v>7</v>
      </c>
      <c r="V38">
        <f>U38+C$2</f>
        <v>23.2</v>
      </c>
    </row>
    <row r="39" spans="1:22" x14ac:dyDescent="0.3">
      <c r="F39" s="27">
        <f>SUM(F2:F38)</f>
        <v>10041.387522256693</v>
      </c>
      <c r="J39" s="28">
        <f>MAX(J2:J38)</f>
        <v>22.227177777777779</v>
      </c>
      <c r="K39" s="28"/>
      <c r="L39" s="28">
        <f t="shared" ref="L39" si="9">MAX(L2:L38)</f>
        <v>23.2</v>
      </c>
      <c r="R39" s="37">
        <v>1850</v>
      </c>
      <c r="S39">
        <v>6.3746</v>
      </c>
      <c r="T39" s="28">
        <f t="shared" si="8"/>
        <v>22.5746</v>
      </c>
    </row>
    <row r="40" spans="1:22" x14ac:dyDescent="0.3">
      <c r="R40" s="37">
        <v>1900</v>
      </c>
      <c r="S40">
        <v>6</v>
      </c>
      <c r="T40" s="28">
        <f t="shared" si="8"/>
        <v>22.2</v>
      </c>
    </row>
    <row r="41" spans="1:22" x14ac:dyDescent="0.3">
      <c r="R41" s="37">
        <v>1950</v>
      </c>
      <c r="S41">
        <v>5.5</v>
      </c>
      <c r="T41" s="28">
        <f t="shared" si="8"/>
        <v>21.7</v>
      </c>
    </row>
    <row r="42" spans="1:22" x14ac:dyDescent="0.3">
      <c r="R42" s="37">
        <v>2000</v>
      </c>
      <c r="S42">
        <v>5</v>
      </c>
      <c r="T42" s="28">
        <f t="shared" si="8"/>
        <v>21.2</v>
      </c>
    </row>
    <row r="43" spans="1:22" x14ac:dyDescent="0.3">
      <c r="R43" s="37">
        <v>2050</v>
      </c>
      <c r="S43">
        <v>4.5</v>
      </c>
      <c r="T43" s="28">
        <f t="shared" si="8"/>
        <v>20.7</v>
      </c>
    </row>
    <row r="44" spans="1:22" x14ac:dyDescent="0.3">
      <c r="R44" s="37">
        <v>2100</v>
      </c>
      <c r="S44">
        <v>4</v>
      </c>
      <c r="T44" s="28">
        <f t="shared" si="8"/>
        <v>20.2</v>
      </c>
    </row>
    <row r="45" spans="1:22" x14ac:dyDescent="0.3">
      <c r="R45" s="37">
        <v>2150</v>
      </c>
      <c r="S45">
        <v>3.5</v>
      </c>
      <c r="T45" s="28">
        <f t="shared" si="8"/>
        <v>19.7</v>
      </c>
    </row>
    <row r="46" spans="1:22" x14ac:dyDescent="0.3">
      <c r="R46" s="37">
        <v>2200</v>
      </c>
      <c r="S46">
        <v>3</v>
      </c>
      <c r="T46" s="28">
        <f t="shared" si="8"/>
        <v>19.2</v>
      </c>
    </row>
    <row r="47" spans="1:22" x14ac:dyDescent="0.3">
      <c r="R47" s="37">
        <v>2250</v>
      </c>
      <c r="S47">
        <v>2.5</v>
      </c>
      <c r="T47" s="28">
        <f t="shared" si="8"/>
        <v>18.7</v>
      </c>
    </row>
    <row r="48" spans="1:22" x14ac:dyDescent="0.3">
      <c r="R48" s="37">
        <v>2300</v>
      </c>
      <c r="S48">
        <v>2</v>
      </c>
      <c r="T48" s="28">
        <f t="shared" si="8"/>
        <v>18.2</v>
      </c>
    </row>
    <row r="49" spans="18:22" x14ac:dyDescent="0.3">
      <c r="R49" s="37">
        <v>2350</v>
      </c>
      <c r="S49">
        <v>1.5</v>
      </c>
      <c r="T49" s="28">
        <f t="shared" si="8"/>
        <v>17.7</v>
      </c>
    </row>
    <row r="50" spans="18:22" x14ac:dyDescent="0.3">
      <c r="R50" s="37">
        <v>2400</v>
      </c>
      <c r="S50">
        <v>1</v>
      </c>
      <c r="T50" s="28">
        <f t="shared" si="8"/>
        <v>17.2</v>
      </c>
    </row>
    <row r="51" spans="18:22" x14ac:dyDescent="0.3">
      <c r="R51" s="37">
        <v>2450</v>
      </c>
      <c r="S51">
        <v>0.62680000000000002</v>
      </c>
      <c r="T51" s="28">
        <f t="shared" si="8"/>
        <v>16.826799999999999</v>
      </c>
    </row>
    <row r="52" spans="18:22" x14ac:dyDescent="0.3">
      <c r="R52" s="37">
        <v>2500</v>
      </c>
      <c r="S52">
        <v>0.5</v>
      </c>
      <c r="T52" s="28">
        <f t="shared" si="8"/>
        <v>16.7</v>
      </c>
      <c r="U52">
        <v>0</v>
      </c>
      <c r="V52">
        <f>U52+C$2</f>
        <v>16.2</v>
      </c>
    </row>
    <row r="53" spans="18:22" x14ac:dyDescent="0.3">
      <c r="R53" s="37">
        <v>2550</v>
      </c>
      <c r="S53">
        <v>0.62519999999999998</v>
      </c>
      <c r="T53" s="28">
        <f t="shared" si="8"/>
        <v>16.825199999999999</v>
      </c>
    </row>
    <row r="54" spans="18:22" x14ac:dyDescent="0.3">
      <c r="R54" s="37">
        <v>2600</v>
      </c>
      <c r="S54">
        <v>1</v>
      </c>
      <c r="T54" s="28">
        <f t="shared" si="8"/>
        <v>17.2</v>
      </c>
    </row>
    <row r="55" spans="18:22" x14ac:dyDescent="0.3">
      <c r="R55" s="37">
        <v>2650</v>
      </c>
      <c r="S55">
        <v>1.5</v>
      </c>
      <c r="T55" s="28">
        <f t="shared" si="8"/>
        <v>17.7</v>
      </c>
    </row>
    <row r="56" spans="18:22" x14ac:dyDescent="0.3">
      <c r="R56" s="37">
        <v>2700</v>
      </c>
      <c r="S56">
        <v>2</v>
      </c>
      <c r="T56" s="28">
        <f t="shared" si="8"/>
        <v>18.2</v>
      </c>
    </row>
    <row r="57" spans="18:22" x14ac:dyDescent="0.3">
      <c r="R57" s="37">
        <v>2750</v>
      </c>
      <c r="S57">
        <v>2.5</v>
      </c>
      <c r="T57" s="28">
        <f t="shared" si="8"/>
        <v>18.7</v>
      </c>
    </row>
    <row r="58" spans="18:22" x14ac:dyDescent="0.3">
      <c r="R58" s="37">
        <v>2800</v>
      </c>
      <c r="S58">
        <v>3</v>
      </c>
      <c r="T58" s="28">
        <f t="shared" si="8"/>
        <v>19.2</v>
      </c>
    </row>
    <row r="59" spans="18:22" x14ac:dyDescent="0.3">
      <c r="R59" s="37">
        <v>2850</v>
      </c>
      <c r="S59">
        <v>3.5</v>
      </c>
      <c r="T59" s="28">
        <f t="shared" si="8"/>
        <v>19.7</v>
      </c>
    </row>
    <row r="60" spans="18:22" x14ac:dyDescent="0.3">
      <c r="R60" s="37">
        <v>2900</v>
      </c>
      <c r="S60">
        <v>4</v>
      </c>
      <c r="T60" s="28">
        <f t="shared" si="8"/>
        <v>20.2</v>
      </c>
    </row>
    <row r="61" spans="18:22" x14ac:dyDescent="0.3">
      <c r="R61" s="37">
        <v>2950</v>
      </c>
      <c r="S61">
        <v>4.5</v>
      </c>
      <c r="T61" s="28">
        <f t="shared" si="8"/>
        <v>20.7</v>
      </c>
    </row>
    <row r="62" spans="18:22" x14ac:dyDescent="0.3">
      <c r="R62" s="37">
        <v>3000</v>
      </c>
      <c r="S62">
        <v>5</v>
      </c>
      <c r="T62" s="28">
        <f t="shared" si="8"/>
        <v>21.2</v>
      </c>
    </row>
    <row r="63" spans="18:22" x14ac:dyDescent="0.3">
      <c r="R63" s="37">
        <v>3050</v>
      </c>
      <c r="S63">
        <v>5.5</v>
      </c>
      <c r="T63" s="28">
        <f t="shared" si="8"/>
        <v>21.7</v>
      </c>
    </row>
    <row r="64" spans="18:22" x14ac:dyDescent="0.3">
      <c r="R64" s="37">
        <v>3100</v>
      </c>
      <c r="S64">
        <v>6</v>
      </c>
      <c r="T64" s="28">
        <f t="shared" si="8"/>
        <v>22.2</v>
      </c>
    </row>
    <row r="65" spans="18:22" x14ac:dyDescent="0.3">
      <c r="R65" s="37">
        <v>3150</v>
      </c>
      <c r="S65">
        <v>6.3987999999999996</v>
      </c>
      <c r="T65" s="28">
        <f t="shared" si="8"/>
        <v>22.598799999999997</v>
      </c>
    </row>
    <row r="66" spans="18:22" x14ac:dyDescent="0.3">
      <c r="R66" s="37">
        <v>3200</v>
      </c>
      <c r="S66">
        <v>6.5488</v>
      </c>
      <c r="T66" s="28">
        <f t="shared" ref="T66:T68" si="10">C$2+S66</f>
        <v>22.748799999999999</v>
      </c>
      <c r="U66">
        <v>7</v>
      </c>
      <c r="V66">
        <f>U66+C$2</f>
        <v>23.2</v>
      </c>
    </row>
    <row r="67" spans="18:22" x14ac:dyDescent="0.3">
      <c r="R67" s="37">
        <v>3250</v>
      </c>
      <c r="S67">
        <v>6.4488000000000003</v>
      </c>
      <c r="T67" s="28">
        <f t="shared" si="10"/>
        <v>22.648800000000001</v>
      </c>
    </row>
    <row r="68" spans="18:22" x14ac:dyDescent="0.3">
      <c r="R68" s="37">
        <v>3300</v>
      </c>
      <c r="S68">
        <v>6.0987</v>
      </c>
      <c r="T68" s="28">
        <f t="shared" si="10"/>
        <v>22.2987</v>
      </c>
    </row>
    <row r="69" spans="18:22" x14ac:dyDescent="0.3">
      <c r="R69" s="37">
        <v>3350</v>
      </c>
      <c r="S69">
        <v>5.65</v>
      </c>
      <c r="T69" s="28">
        <f t="shared" ref="T69:T74" si="11">C$2+S69</f>
        <v>21.85</v>
      </c>
    </row>
    <row r="70" spans="18:22" x14ac:dyDescent="0.3">
      <c r="R70" s="37">
        <v>3400</v>
      </c>
      <c r="S70">
        <v>5.2</v>
      </c>
      <c r="T70" s="28">
        <f t="shared" si="11"/>
        <v>21.4</v>
      </c>
    </row>
    <row r="71" spans="18:22" x14ac:dyDescent="0.3">
      <c r="R71" s="37">
        <v>3450</v>
      </c>
      <c r="S71">
        <v>4.75</v>
      </c>
      <c r="T71" s="28">
        <f t="shared" si="11"/>
        <v>20.95</v>
      </c>
    </row>
    <row r="72" spans="18:22" x14ac:dyDescent="0.3">
      <c r="R72" s="37">
        <v>3500</v>
      </c>
      <c r="S72">
        <v>4.3</v>
      </c>
      <c r="T72" s="28">
        <f t="shared" si="11"/>
        <v>20.5</v>
      </c>
    </row>
    <row r="73" spans="18:22" x14ac:dyDescent="0.3">
      <c r="R73" s="37">
        <v>3550</v>
      </c>
      <c r="S73">
        <v>3.85</v>
      </c>
      <c r="T73" s="28">
        <f t="shared" si="11"/>
        <v>20.05</v>
      </c>
    </row>
    <row r="74" spans="18:22" x14ac:dyDescent="0.3">
      <c r="R74" s="37">
        <v>3600</v>
      </c>
      <c r="S74">
        <v>3.4</v>
      </c>
      <c r="T74" s="28">
        <f t="shared" si="11"/>
        <v>19.599999999999998</v>
      </c>
      <c r="U74">
        <v>3.4</v>
      </c>
      <c r="V74">
        <f>U74+C$2</f>
        <v>19.599999999999998</v>
      </c>
    </row>
  </sheetData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2"/>
  <sheetViews>
    <sheetView zoomScale="55" zoomScaleNormal="55" workbookViewId="0">
      <selection activeCell="X9" sqref="X9:Y9"/>
    </sheetView>
  </sheetViews>
  <sheetFormatPr defaultRowHeight="14" x14ac:dyDescent="0.3"/>
  <cols>
    <col min="21" max="21" width="8.4140625" bestFit="1" customWidth="1"/>
    <col min="24" max="24" width="12.75" bestFit="1" customWidth="1"/>
    <col min="25" max="25" width="11.6640625" bestFit="1" customWidth="1"/>
    <col min="26" max="26" width="12.75" bestFit="1" customWidth="1"/>
    <col min="27" max="27" width="11.6640625" bestFit="1" customWidth="1"/>
  </cols>
  <sheetData>
    <row r="1" spans="1:28" ht="28.5" thickTop="1" thickBot="1" x14ac:dyDescent="0.35">
      <c r="A1" t="s">
        <v>60</v>
      </c>
      <c r="B1" t="s">
        <v>57</v>
      </c>
      <c r="C1" t="s">
        <v>61</v>
      </c>
      <c r="G1" t="s">
        <v>61</v>
      </c>
      <c r="P1" t="s">
        <v>99</v>
      </c>
      <c r="Q1" s="24" t="s">
        <v>0</v>
      </c>
      <c r="R1" s="24" t="s">
        <v>63</v>
      </c>
      <c r="S1" s="24" t="s">
        <v>64</v>
      </c>
      <c r="T1" s="24" t="s">
        <v>65</v>
      </c>
      <c r="W1" s="24" t="s">
        <v>0</v>
      </c>
      <c r="X1" s="24" t="s">
        <v>1</v>
      </c>
      <c r="Y1" s="24" t="s">
        <v>2</v>
      </c>
      <c r="Z1" s="24" t="s">
        <v>3</v>
      </c>
    </row>
    <row r="2" spans="1:28" x14ac:dyDescent="0.3">
      <c r="B2" t="s">
        <v>59</v>
      </c>
      <c r="C2">
        <v>159.83099999999999</v>
      </c>
      <c r="D2">
        <v>152.72900000000001</v>
      </c>
      <c r="E2">
        <v>51.727600000000002</v>
      </c>
      <c r="G2">
        <v>137.71600000000001</v>
      </c>
      <c r="H2">
        <v>137.71600000000001</v>
      </c>
      <c r="I2">
        <v>49.779200000000003</v>
      </c>
      <c r="K2">
        <v>159.78100000000001</v>
      </c>
      <c r="L2">
        <v>158.869</v>
      </c>
      <c r="M2">
        <v>33.133099999999999</v>
      </c>
      <c r="N2">
        <v>150.535</v>
      </c>
      <c r="O2">
        <v>147.43199999999999</v>
      </c>
      <c r="P2">
        <v>33.180700000000002</v>
      </c>
      <c r="Q2" s="30" t="s">
        <v>58</v>
      </c>
      <c r="R2" s="6">
        <f>L2</f>
        <v>158.869</v>
      </c>
      <c r="S2" s="6">
        <f>O2</f>
        <v>147.43199999999999</v>
      </c>
      <c r="T2" s="6">
        <f t="shared" ref="T2:T4" si="0">R2+S2</f>
        <v>306.30099999999999</v>
      </c>
      <c r="W2" s="30" t="s">
        <v>58</v>
      </c>
      <c r="X2" s="31">
        <v>158.88499999999999</v>
      </c>
      <c r="Y2" s="31">
        <v>147.44499999999999</v>
      </c>
      <c r="Z2" s="31">
        <v>306.33</v>
      </c>
      <c r="AA2">
        <f>Z4-Z2</f>
        <v>-4.1579999999999586</v>
      </c>
    </row>
    <row r="3" spans="1:28" x14ac:dyDescent="0.3">
      <c r="B3" t="s">
        <v>58</v>
      </c>
      <c r="C3">
        <v>162.17599999999999</v>
      </c>
      <c r="D3">
        <v>149.95099999999999</v>
      </c>
      <c r="E3">
        <v>50.913899999999998</v>
      </c>
      <c r="G3">
        <v>152.434</v>
      </c>
      <c r="H3">
        <v>141.98500000000001</v>
      </c>
      <c r="I3">
        <v>49.904000000000003</v>
      </c>
      <c r="K3">
        <v>159.60499999999999</v>
      </c>
      <c r="L3">
        <v>159.60499999999999</v>
      </c>
      <c r="M3">
        <v>32.981999999999999</v>
      </c>
      <c r="N3">
        <v>150.35900000000001</v>
      </c>
      <c r="O3">
        <v>149.755</v>
      </c>
      <c r="P3">
        <v>33.593699999999998</v>
      </c>
      <c r="Q3" t="s">
        <v>98</v>
      </c>
      <c r="R3" s="6">
        <f>L3</f>
        <v>159.60499999999999</v>
      </c>
      <c r="S3" s="6">
        <f>O3</f>
        <v>149.755</v>
      </c>
      <c r="T3" s="6">
        <f t="shared" si="0"/>
        <v>309.36</v>
      </c>
      <c r="U3" s="34">
        <f>T3-T2</f>
        <v>3.0590000000000259</v>
      </c>
      <c r="W3" s="30" t="s">
        <v>150</v>
      </c>
      <c r="X3" s="31">
        <v>159.60499999999999</v>
      </c>
      <c r="Y3" s="31">
        <v>149.755</v>
      </c>
      <c r="Z3" s="31">
        <v>309.36</v>
      </c>
      <c r="AA3">
        <f>Z4-Z3</f>
        <v>-7.1879999999999882</v>
      </c>
    </row>
    <row r="4" spans="1:28" ht="14.5" thickBot="1" x14ac:dyDescent="0.35">
      <c r="B4" t="s">
        <v>52</v>
      </c>
      <c r="C4">
        <v>159.30699999999999</v>
      </c>
      <c r="D4">
        <v>148.434</v>
      </c>
      <c r="E4">
        <v>52.474899999999998</v>
      </c>
      <c r="G4">
        <v>149.10300000000001</v>
      </c>
      <c r="H4">
        <v>140.29300000000001</v>
      </c>
      <c r="I4">
        <v>47.646099999999997</v>
      </c>
      <c r="K4">
        <v>160.227</v>
      </c>
      <c r="L4">
        <v>155.91</v>
      </c>
      <c r="M4">
        <v>33.7027</v>
      </c>
      <c r="N4">
        <v>150.98599999999999</v>
      </c>
      <c r="O4">
        <v>146.262</v>
      </c>
      <c r="P4">
        <v>33.316499999999998</v>
      </c>
      <c r="Q4" s="7" t="s">
        <v>54</v>
      </c>
      <c r="R4" s="6">
        <f>L4</f>
        <v>155.91</v>
      </c>
      <c r="S4" s="6">
        <f>O4</f>
        <v>146.262</v>
      </c>
      <c r="T4" s="6">
        <f t="shared" si="0"/>
        <v>302.17200000000003</v>
      </c>
      <c r="U4" s="34">
        <f>T4-T2</f>
        <v>-4.1289999999999623</v>
      </c>
      <c r="W4" s="45" t="s">
        <v>151</v>
      </c>
      <c r="X4" s="33">
        <v>155.91</v>
      </c>
      <c r="Y4" s="33">
        <v>146.262</v>
      </c>
      <c r="Z4" s="33">
        <v>302.17200000000003</v>
      </c>
    </row>
    <row r="5" spans="1:28" ht="15" thickTop="1" thickBot="1" x14ac:dyDescent="0.35">
      <c r="B5" t="s">
        <v>54</v>
      </c>
      <c r="C5">
        <v>155.51900000000001</v>
      </c>
      <c r="D5">
        <v>145.63200000000001</v>
      </c>
      <c r="E5">
        <v>51.410800000000002</v>
      </c>
      <c r="G5">
        <v>145.572</v>
      </c>
      <c r="H5">
        <v>135.62700000000001</v>
      </c>
      <c r="I5">
        <v>47.317</v>
      </c>
      <c r="X5">
        <f>X4-X2</f>
        <v>-2.9749999999999943</v>
      </c>
      <c r="Y5">
        <f>Y4-Y2</f>
        <v>-1.1829999999999927</v>
      </c>
    </row>
    <row r="6" spans="1:28" ht="28.5" thickTop="1" thickBot="1" x14ac:dyDescent="0.35">
      <c r="P6" t="s">
        <v>100</v>
      </c>
      <c r="Q6" s="24" t="s">
        <v>0</v>
      </c>
      <c r="R6" s="24" t="s">
        <v>63</v>
      </c>
      <c r="S6" s="24" t="s">
        <v>64</v>
      </c>
      <c r="T6" s="24" t="s">
        <v>65</v>
      </c>
    </row>
    <row r="7" spans="1:28" x14ac:dyDescent="0.3">
      <c r="A7" t="s">
        <v>60</v>
      </c>
      <c r="K7">
        <v>159.905</v>
      </c>
      <c r="L7">
        <v>152.80099999999999</v>
      </c>
      <c r="M7">
        <v>48.268799999999999</v>
      </c>
      <c r="N7">
        <v>150.88999999999999</v>
      </c>
      <c r="O7">
        <v>143.29499999999999</v>
      </c>
      <c r="P7">
        <v>50.7729</v>
      </c>
      <c r="Q7" s="30" t="s">
        <v>58</v>
      </c>
      <c r="R7" s="6">
        <f>L7</f>
        <v>152.80099999999999</v>
      </c>
      <c r="S7" s="6">
        <f>O7</f>
        <v>143.29499999999999</v>
      </c>
      <c r="T7" s="6">
        <f t="shared" ref="T7:T9" si="1">R7+S7</f>
        <v>296.096</v>
      </c>
    </row>
    <row r="8" spans="1:28" x14ac:dyDescent="0.3">
      <c r="B8" t="s">
        <v>59</v>
      </c>
      <c r="C8">
        <v>159.511</v>
      </c>
      <c r="D8">
        <v>153.92599999999999</v>
      </c>
      <c r="E8">
        <v>54.851900000000001</v>
      </c>
      <c r="G8">
        <v>140.07400000000001</v>
      </c>
      <c r="H8">
        <v>140.07400000000001</v>
      </c>
      <c r="I8">
        <v>50.997599999999998</v>
      </c>
      <c r="K8">
        <v>157.381</v>
      </c>
      <c r="L8">
        <v>152.33799999999999</v>
      </c>
      <c r="M8">
        <v>50.359400000000001</v>
      </c>
      <c r="N8">
        <v>149.666</v>
      </c>
      <c r="O8">
        <v>144.01</v>
      </c>
      <c r="P8">
        <v>50.0732</v>
      </c>
      <c r="Q8" t="s">
        <v>98</v>
      </c>
      <c r="R8" s="6">
        <f>L8</f>
        <v>152.33799999999999</v>
      </c>
      <c r="S8" s="6">
        <f>O8</f>
        <v>144.01</v>
      </c>
      <c r="T8" s="6">
        <f t="shared" si="1"/>
        <v>296.34799999999996</v>
      </c>
      <c r="U8" s="34">
        <f>T8-T7</f>
        <v>0.25199999999995271</v>
      </c>
    </row>
    <row r="9" spans="1:28" ht="14.5" thickBot="1" x14ac:dyDescent="0.35">
      <c r="B9" t="s">
        <v>58</v>
      </c>
      <c r="C9">
        <v>160.32400000000001</v>
      </c>
      <c r="D9">
        <v>152.12700000000001</v>
      </c>
      <c r="E9">
        <v>51.917999999999999</v>
      </c>
      <c r="G9">
        <v>153.393</v>
      </c>
      <c r="H9">
        <v>144.62899999999999</v>
      </c>
      <c r="I9">
        <v>50.674900000000001</v>
      </c>
      <c r="K9">
        <v>151.399</v>
      </c>
      <c r="L9">
        <v>143.441</v>
      </c>
      <c r="M9">
        <v>48.447299999999998</v>
      </c>
      <c r="N9">
        <v>144.221</v>
      </c>
      <c r="O9">
        <v>137.62299999999999</v>
      </c>
      <c r="P9">
        <v>49.625500000000002</v>
      </c>
      <c r="Q9" s="7" t="s">
        <v>54</v>
      </c>
      <c r="R9" s="6">
        <f>L9</f>
        <v>143.441</v>
      </c>
      <c r="S9" s="6">
        <f>O9</f>
        <v>137.62299999999999</v>
      </c>
      <c r="T9" s="6">
        <f t="shared" si="1"/>
        <v>281.06399999999996</v>
      </c>
      <c r="U9" s="34">
        <f>T9-T7</f>
        <v>-15.032000000000039</v>
      </c>
      <c r="V9" s="38">
        <f>T9/T7-1</f>
        <v>-5.0767318707446329E-2</v>
      </c>
      <c r="W9" t="s">
        <v>101</v>
      </c>
      <c r="X9" s="34">
        <f>U30</f>
        <v>-8.6169999999999902</v>
      </c>
      <c r="Y9" s="34">
        <f>V30</f>
        <v>-6.5169999999999959</v>
      </c>
    </row>
    <row r="10" spans="1:28" ht="15" thickTop="1" thickBot="1" x14ac:dyDescent="0.35">
      <c r="B10" t="s">
        <v>52</v>
      </c>
      <c r="C10">
        <v>157.327</v>
      </c>
      <c r="D10">
        <v>151.53100000000001</v>
      </c>
      <c r="E10">
        <v>53.338500000000003</v>
      </c>
      <c r="G10">
        <v>149.28899999999999</v>
      </c>
      <c r="H10">
        <v>143.59</v>
      </c>
      <c r="I10">
        <v>51.3874</v>
      </c>
      <c r="S10" s="6"/>
      <c r="X10">
        <v>49640</v>
      </c>
      <c r="Y10">
        <v>50822</v>
      </c>
    </row>
    <row r="11" spans="1:28" ht="28.5" thickTop="1" thickBot="1" x14ac:dyDescent="0.35">
      <c r="B11" t="s">
        <v>54</v>
      </c>
      <c r="C11">
        <v>155.04400000000001</v>
      </c>
      <c r="D11">
        <v>147.12899999999999</v>
      </c>
      <c r="E11">
        <v>52.8108</v>
      </c>
      <c r="G11">
        <v>143.398</v>
      </c>
      <c r="H11">
        <v>136.232</v>
      </c>
      <c r="I11">
        <v>52.570300000000003</v>
      </c>
      <c r="Q11" s="24" t="s">
        <v>0</v>
      </c>
      <c r="R11" s="24" t="s">
        <v>63</v>
      </c>
      <c r="S11" s="24" t="s">
        <v>64</v>
      </c>
      <c r="T11" s="24" t="s">
        <v>65</v>
      </c>
      <c r="W11" s="30" t="s">
        <v>102</v>
      </c>
      <c r="X11">
        <f>X10*X9</f>
        <v>-427747.87999999954</v>
      </c>
      <c r="Y11">
        <f>Y10*Y9</f>
        <v>-331206.97399999981</v>
      </c>
    </row>
    <row r="12" spans="1:28" ht="28.5" thickTop="1" thickBot="1" x14ac:dyDescent="0.35">
      <c r="J12" t="s">
        <v>67</v>
      </c>
      <c r="K12" s="24" t="s">
        <v>0</v>
      </c>
      <c r="L12" s="24" t="s">
        <v>63</v>
      </c>
      <c r="M12" s="24" t="s">
        <v>64</v>
      </c>
      <c r="N12" s="24" t="s">
        <v>65</v>
      </c>
      <c r="O12" s="24" t="s">
        <v>66</v>
      </c>
      <c r="P12" s="30" t="s">
        <v>68</v>
      </c>
      <c r="Q12" s="30" t="s">
        <v>59</v>
      </c>
      <c r="R12" s="6">
        <f>D13</f>
        <v>159.56700000000001</v>
      </c>
      <c r="S12" s="6">
        <f>H13</f>
        <v>149.50200000000001</v>
      </c>
      <c r="T12" s="6">
        <f>R12+S12</f>
        <v>309.06900000000002</v>
      </c>
      <c r="U12" s="24" t="s">
        <v>66</v>
      </c>
      <c r="W12" s="30" t="s">
        <v>103</v>
      </c>
      <c r="X12">
        <f>X11*365</f>
        <v>-156127976.19999984</v>
      </c>
      <c r="Y12">
        <f>Y11*365</f>
        <v>-120890545.50999993</v>
      </c>
    </row>
    <row r="13" spans="1:28" x14ac:dyDescent="0.3">
      <c r="A13" t="s">
        <v>62</v>
      </c>
      <c r="B13" t="s">
        <v>59</v>
      </c>
      <c r="C13">
        <v>159.56700000000001</v>
      </c>
      <c r="D13">
        <v>159.56700000000001</v>
      </c>
      <c r="E13">
        <v>31.0427</v>
      </c>
      <c r="G13">
        <v>150.321</v>
      </c>
      <c r="H13">
        <v>149.50200000000001</v>
      </c>
      <c r="I13">
        <v>30.968699999999998</v>
      </c>
      <c r="K13" s="30" t="s">
        <v>59</v>
      </c>
      <c r="L13" s="6">
        <f>C13</f>
        <v>159.56700000000001</v>
      </c>
      <c r="M13" s="6">
        <f>G13</f>
        <v>150.321</v>
      </c>
      <c r="N13" s="6">
        <f>L13+M13</f>
        <v>309.88800000000003</v>
      </c>
      <c r="O13" s="32">
        <f t="shared" ref="O13:O16" si="2">N13/N$15-1</f>
        <v>-1.3470574207395947E-3</v>
      </c>
      <c r="Q13" s="30" t="s">
        <v>52</v>
      </c>
      <c r="R13" s="6">
        <f>D15</f>
        <v>159.60400000000001</v>
      </c>
      <c r="S13" s="6">
        <f>H15</f>
        <v>149.762</v>
      </c>
      <c r="T13" s="6">
        <f t="shared" ref="T13:T15" si="3">R13+S13</f>
        <v>309.36599999999999</v>
      </c>
      <c r="U13" s="32">
        <f t="shared" ref="U13:U16" si="4">T12/T$14-1</f>
        <v>8.891935562845843E-3</v>
      </c>
      <c r="W13" t="s">
        <v>104</v>
      </c>
      <c r="X13" t="s">
        <v>108</v>
      </c>
      <c r="Y13">
        <f>SUM(X12:Y12)/1000</f>
        <v>-277018.52170999983</v>
      </c>
    </row>
    <row r="14" spans="1:28" x14ac:dyDescent="0.3">
      <c r="B14" t="s">
        <v>58</v>
      </c>
      <c r="C14">
        <v>159.77600000000001</v>
      </c>
      <c r="D14">
        <v>158.88800000000001</v>
      </c>
      <c r="E14">
        <v>30.834199999999999</v>
      </c>
      <c r="G14">
        <v>150.53</v>
      </c>
      <c r="H14">
        <v>147.45699999999999</v>
      </c>
      <c r="I14">
        <v>30.9819</v>
      </c>
      <c r="K14" s="30" t="s">
        <v>52</v>
      </c>
      <c r="L14" s="6">
        <f>C15</f>
        <v>159.60400000000001</v>
      </c>
      <c r="M14" s="6">
        <f>G15</f>
        <v>150.358</v>
      </c>
      <c r="N14" s="6">
        <f t="shared" ref="N14:N16" si="5">L14+M14</f>
        <v>309.96199999999999</v>
      </c>
      <c r="O14" s="32">
        <f t="shared" si="2"/>
        <v>-1.1085831405130975E-3</v>
      </c>
      <c r="Q14" s="30" t="s">
        <v>58</v>
      </c>
      <c r="R14" s="6">
        <f>D14</f>
        <v>158.88800000000001</v>
      </c>
      <c r="S14" s="6">
        <f>H14</f>
        <v>147.45699999999999</v>
      </c>
      <c r="T14" s="6">
        <f t="shared" si="3"/>
        <v>306.34500000000003</v>
      </c>
      <c r="U14" s="32">
        <f>T13/T$14-1</f>
        <v>9.8614307398519063E-3</v>
      </c>
      <c r="W14" t="s">
        <v>105</v>
      </c>
      <c r="X14" t="s">
        <v>107</v>
      </c>
      <c r="Y14">
        <f>Y13/3.6*60</f>
        <v>-4616975.3618333302</v>
      </c>
    </row>
    <row r="15" spans="1:28" ht="14.5" thickBot="1" x14ac:dyDescent="0.35">
      <c r="B15" t="s">
        <v>52</v>
      </c>
      <c r="C15">
        <v>159.60400000000001</v>
      </c>
      <c r="D15">
        <v>159.60400000000001</v>
      </c>
      <c r="E15">
        <v>31.949000000000002</v>
      </c>
      <c r="G15">
        <v>150.358</v>
      </c>
      <c r="H15">
        <v>149.762</v>
      </c>
      <c r="I15">
        <v>30.890799999999999</v>
      </c>
      <c r="K15" s="30" t="s">
        <v>58</v>
      </c>
      <c r="L15" s="6">
        <f>C14</f>
        <v>159.77600000000001</v>
      </c>
      <c r="M15" s="6">
        <f>G14</f>
        <v>150.53</v>
      </c>
      <c r="N15" s="6">
        <f t="shared" si="5"/>
        <v>310.30600000000004</v>
      </c>
      <c r="O15" s="32">
        <f>N15/N$15-1</f>
        <v>0</v>
      </c>
      <c r="Q15" s="7" t="s">
        <v>54</v>
      </c>
      <c r="R15" s="15">
        <f>D16</f>
        <v>156.32300000000001</v>
      </c>
      <c r="S15" s="15">
        <f>H16</f>
        <v>147.11699999999999</v>
      </c>
      <c r="T15" s="6">
        <f t="shared" si="3"/>
        <v>303.44</v>
      </c>
      <c r="U15" s="32">
        <f>T14/T$14-1</f>
        <v>0</v>
      </c>
    </row>
    <row r="16" spans="1:28" ht="15" thickTop="1" thickBot="1" x14ac:dyDescent="0.35">
      <c r="B16" t="s">
        <v>54</v>
      </c>
      <c r="C16">
        <v>160.17699999999999</v>
      </c>
      <c r="D16">
        <v>156.32300000000001</v>
      </c>
      <c r="E16">
        <v>31.153500000000001</v>
      </c>
      <c r="G16">
        <v>150.93700000000001</v>
      </c>
      <c r="H16">
        <v>147.11699999999999</v>
      </c>
      <c r="I16">
        <v>31.1387</v>
      </c>
      <c r="K16" s="7" t="s">
        <v>54</v>
      </c>
      <c r="L16" s="15">
        <f>C16</f>
        <v>160.17699999999999</v>
      </c>
      <c r="M16" s="15">
        <f>G16</f>
        <v>150.93700000000001</v>
      </c>
      <c r="N16" s="6">
        <f t="shared" si="5"/>
        <v>311.11400000000003</v>
      </c>
      <c r="O16" s="32">
        <f t="shared" si="2"/>
        <v>2.6038813300419683E-3</v>
      </c>
      <c r="U16" s="32">
        <f t="shared" si="4"/>
        <v>-9.4827726909204602E-3</v>
      </c>
      <c r="V16" s="32">
        <f>T15/T14-1</f>
        <v>-9.4827726909204602E-3</v>
      </c>
      <c r="W16" t="s">
        <v>114</v>
      </c>
      <c r="X16">
        <v>7.2999999999999996E-4</v>
      </c>
      <c r="Y16">
        <f>Y14*X16</f>
        <v>-3370.392014138331</v>
      </c>
      <c r="Z16" t="s">
        <v>106</v>
      </c>
      <c r="AA16">
        <v>1.07</v>
      </c>
      <c r="AB16">
        <f>Y14*AA16</f>
        <v>-4940163.6371616637</v>
      </c>
    </row>
    <row r="17" spans="1:31" ht="14.5" thickTop="1" x14ac:dyDescent="0.3">
      <c r="R17" s="1">
        <v>49639.246575342462</v>
      </c>
      <c r="S17">
        <v>50822.334246575345</v>
      </c>
      <c r="Z17" t="s">
        <v>119</v>
      </c>
      <c r="AA17" t="s">
        <v>120</v>
      </c>
      <c r="AB17">
        <f>AB16*0.001</f>
        <v>-4940.1636371616642</v>
      </c>
      <c r="AE17">
        <v>1172000</v>
      </c>
    </row>
    <row r="18" spans="1:31" x14ac:dyDescent="0.3">
      <c r="L18" s="1">
        <v>49639.246575342462</v>
      </c>
      <c r="M18">
        <v>50822.334246575345</v>
      </c>
      <c r="R18" s="34">
        <f>R15-R14</f>
        <v>-2.5649999999999977</v>
      </c>
      <c r="S18" s="34">
        <f>S15-S14</f>
        <v>-0.34000000000000341</v>
      </c>
      <c r="X18" t="s">
        <v>115</v>
      </c>
      <c r="Y18">
        <f>Z18*Y16</f>
        <v>-150993.56223339721</v>
      </c>
      <c r="Z18">
        <v>44.8</v>
      </c>
      <c r="AA18" t="s">
        <v>112</v>
      </c>
      <c r="AB18" t="s">
        <v>109</v>
      </c>
    </row>
    <row r="19" spans="1:31" x14ac:dyDescent="0.3">
      <c r="L19" s="34">
        <f>L16-L15</f>
        <v>0.40099999999998204</v>
      </c>
      <c r="M19" s="34">
        <f>M16-M15</f>
        <v>0.40700000000001069</v>
      </c>
      <c r="R19">
        <f>R18*R17</f>
        <v>-127324.6674657533</v>
      </c>
      <c r="S19">
        <f>S18*S17</f>
        <v>-17279.593643835789</v>
      </c>
      <c r="X19" t="s">
        <v>116</v>
      </c>
      <c r="Y19">
        <f>Z19*Z20*44/12</f>
        <v>6.7914000000000002E-2</v>
      </c>
      <c r="Z19">
        <f>18.9*10^(-3)</f>
        <v>1.89E-2</v>
      </c>
      <c r="AA19" t="s">
        <v>113</v>
      </c>
      <c r="AB19" t="s">
        <v>111</v>
      </c>
      <c r="AE19">
        <v>2520000</v>
      </c>
    </row>
    <row r="20" spans="1:31" x14ac:dyDescent="0.3">
      <c r="L20">
        <f>L19*L18</f>
        <v>19905.337876711437</v>
      </c>
      <c r="M20">
        <f>M19*M18</f>
        <v>20684.690038356708</v>
      </c>
      <c r="R20">
        <f>R19/1000</f>
        <v>-127.32466746575329</v>
      </c>
      <c r="S20">
        <f>S19/1000</f>
        <v>-17.279593643835788</v>
      </c>
      <c r="X20" t="s">
        <v>118</v>
      </c>
      <c r="Y20">
        <f>Y19*Y18</f>
        <v>-10254.576785518939</v>
      </c>
      <c r="Z20">
        <v>0.98</v>
      </c>
      <c r="AB20" t="s">
        <v>110</v>
      </c>
    </row>
    <row r="21" spans="1:31" x14ac:dyDescent="0.3">
      <c r="A21" t="s">
        <v>91</v>
      </c>
      <c r="L21">
        <f>L20/1000</f>
        <v>19.905337876711439</v>
      </c>
      <c r="M21">
        <f>M20/1000</f>
        <v>20.68469003835671</v>
      </c>
      <c r="Z21" s="41" t="s">
        <v>117</v>
      </c>
    </row>
    <row r="22" spans="1:31" x14ac:dyDescent="0.3">
      <c r="C22">
        <v>183.886</v>
      </c>
      <c r="D22">
        <v>183.886</v>
      </c>
      <c r="E22">
        <v>31.7501</v>
      </c>
    </row>
    <row r="23" spans="1:31" x14ac:dyDescent="0.3">
      <c r="C23">
        <v>184.12299999999999</v>
      </c>
      <c r="D23">
        <v>184.12299999999999</v>
      </c>
      <c r="E23">
        <v>32.532200000000003</v>
      </c>
    </row>
    <row r="24" spans="1:31" x14ac:dyDescent="0.3">
      <c r="C24">
        <v>183.928</v>
      </c>
      <c r="D24">
        <v>183.928</v>
      </c>
      <c r="E24">
        <v>32.076799999999999</v>
      </c>
    </row>
    <row r="25" spans="1:31" ht="14.5" thickBot="1" x14ac:dyDescent="0.35">
      <c r="C25">
        <v>184.57900000000001</v>
      </c>
      <c r="D25">
        <v>184.57900000000001</v>
      </c>
      <c r="E25">
        <v>32.377000000000002</v>
      </c>
      <c r="R25" t="s">
        <v>75</v>
      </c>
      <c r="V25" t="s">
        <v>90</v>
      </c>
    </row>
    <row r="26" spans="1:31" ht="28.5" thickTop="1" thickBot="1" x14ac:dyDescent="0.35">
      <c r="Q26" s="24"/>
      <c r="R26" s="24" t="s">
        <v>63</v>
      </c>
      <c r="S26" s="24" t="s">
        <v>64</v>
      </c>
      <c r="T26" s="24" t="s">
        <v>65</v>
      </c>
      <c r="U26" s="24" t="s">
        <v>63</v>
      </c>
      <c r="V26" s="24" t="s">
        <v>64</v>
      </c>
      <c r="W26" s="24" t="s">
        <v>65</v>
      </c>
    </row>
    <row r="27" spans="1:31" x14ac:dyDescent="0.3">
      <c r="B27" t="s">
        <v>59</v>
      </c>
      <c r="C27" t="s">
        <v>58</v>
      </c>
      <c r="D27" t="s">
        <v>52</v>
      </c>
      <c r="E27" t="s">
        <v>54</v>
      </c>
      <c r="F27" t="s">
        <v>59</v>
      </c>
      <c r="G27" t="s">
        <v>58</v>
      </c>
      <c r="H27" t="s">
        <v>52</v>
      </c>
      <c r="I27" t="s">
        <v>54</v>
      </c>
      <c r="L27" t="s">
        <v>58</v>
      </c>
      <c r="M27" t="s">
        <v>54</v>
      </c>
      <c r="Q27" t="s">
        <v>125</v>
      </c>
      <c r="R27" s="6">
        <f>S37</f>
        <v>158.88499999999999</v>
      </c>
      <c r="S27" s="6">
        <f>U37</f>
        <v>147.44499999999999</v>
      </c>
      <c r="T27" s="6">
        <f>R27+S27</f>
        <v>306.33</v>
      </c>
      <c r="U27" s="31">
        <v>152.05799999999999</v>
      </c>
      <c r="V27" s="31">
        <v>144.13999999999999</v>
      </c>
      <c r="W27" s="31">
        <v>296.19799999999998</v>
      </c>
    </row>
    <row r="28" spans="1:31" x14ac:dyDescent="0.3">
      <c r="B28">
        <v>25</v>
      </c>
      <c r="C28">
        <v>25</v>
      </c>
      <c r="D28">
        <v>25</v>
      </c>
      <c r="E28">
        <v>25</v>
      </c>
      <c r="F28">
        <v>25</v>
      </c>
      <c r="G28">
        <v>25</v>
      </c>
      <c r="H28">
        <v>25</v>
      </c>
      <c r="I28">
        <v>25</v>
      </c>
      <c r="L28">
        <v>25</v>
      </c>
      <c r="M28">
        <v>25</v>
      </c>
      <c r="Q28" t="s">
        <v>129</v>
      </c>
      <c r="R28" s="6">
        <f t="shared" ref="R28:R29" si="6">S38</f>
        <v>159.60499999999999</v>
      </c>
      <c r="S28" s="6">
        <f t="shared" ref="S28:S29" si="7">U38</f>
        <v>149.755</v>
      </c>
      <c r="T28" s="6">
        <f t="shared" ref="T28:T29" si="8">R28+S28</f>
        <v>309.36</v>
      </c>
      <c r="U28" s="6">
        <f t="shared" ref="U28:U29" si="9">X38</f>
        <v>151.33799999999999</v>
      </c>
      <c r="V28" s="6">
        <f t="shared" ref="V28:V29" si="10">Z38</f>
        <v>144.01</v>
      </c>
      <c r="W28" s="6">
        <f t="shared" ref="W28:W29" si="11">V28+U28</f>
        <v>295.34799999999996</v>
      </c>
    </row>
    <row r="29" spans="1:31" x14ac:dyDescent="0.3">
      <c r="B29">
        <v>25</v>
      </c>
      <c r="C29">
        <v>25</v>
      </c>
      <c r="D29">
        <v>25</v>
      </c>
      <c r="E29">
        <v>25</v>
      </c>
      <c r="F29">
        <v>25.1</v>
      </c>
      <c r="G29">
        <v>25</v>
      </c>
      <c r="H29">
        <v>25</v>
      </c>
      <c r="I29">
        <v>25</v>
      </c>
      <c r="L29">
        <v>25.3</v>
      </c>
      <c r="M29">
        <v>25</v>
      </c>
      <c r="Q29" t="s">
        <v>130</v>
      </c>
      <c r="R29" s="6">
        <f t="shared" si="6"/>
        <v>155.91</v>
      </c>
      <c r="S29" s="6">
        <f t="shared" si="7"/>
        <v>146.262</v>
      </c>
      <c r="T29" s="6">
        <f t="shared" si="8"/>
        <v>302.17200000000003</v>
      </c>
      <c r="U29" s="6">
        <f t="shared" si="9"/>
        <v>143.441</v>
      </c>
      <c r="V29" s="6">
        <f t="shared" si="10"/>
        <v>137.62299999999999</v>
      </c>
      <c r="W29" s="6">
        <f t="shared" si="11"/>
        <v>281.06399999999996</v>
      </c>
      <c r="X29" s="38">
        <f>T29/T27-1</f>
        <v>-1.3573597101165236E-2</v>
      </c>
      <c r="Y29" s="38">
        <f>W29/W27-1</f>
        <v>-5.1094200501016318E-2</v>
      </c>
    </row>
    <row r="30" spans="1:31" x14ac:dyDescent="0.3">
      <c r="B30">
        <v>25</v>
      </c>
      <c r="C30">
        <v>25</v>
      </c>
      <c r="D30">
        <v>25</v>
      </c>
      <c r="E30">
        <v>25</v>
      </c>
      <c r="F30">
        <v>25.2</v>
      </c>
      <c r="G30">
        <v>25</v>
      </c>
      <c r="H30">
        <v>25</v>
      </c>
      <c r="I30">
        <v>25</v>
      </c>
      <c r="L30">
        <v>25.6</v>
      </c>
      <c r="M30">
        <v>25</v>
      </c>
      <c r="Q30" s="27"/>
      <c r="R30" s="27">
        <f t="shared" ref="R30:W30" si="12">R29-R27</f>
        <v>-2.9749999999999943</v>
      </c>
      <c r="S30" s="27">
        <f t="shared" si="12"/>
        <v>-1.1829999999999927</v>
      </c>
      <c r="T30" s="27">
        <f t="shared" si="12"/>
        <v>-4.1579999999999586</v>
      </c>
      <c r="U30" s="27">
        <f>U29-U27</f>
        <v>-8.6169999999999902</v>
      </c>
      <c r="V30" s="27">
        <f>V29-V27</f>
        <v>-6.5169999999999959</v>
      </c>
      <c r="W30" s="27">
        <f t="shared" si="12"/>
        <v>-15.134000000000015</v>
      </c>
    </row>
    <row r="31" spans="1:31" x14ac:dyDescent="0.3">
      <c r="B31">
        <v>25</v>
      </c>
      <c r="C31">
        <v>25</v>
      </c>
      <c r="D31">
        <v>25</v>
      </c>
      <c r="E31">
        <v>25</v>
      </c>
      <c r="F31">
        <v>25.3</v>
      </c>
      <c r="G31">
        <v>25</v>
      </c>
      <c r="H31">
        <v>25</v>
      </c>
      <c r="I31">
        <v>25</v>
      </c>
      <c r="L31">
        <v>25.9</v>
      </c>
      <c r="M31">
        <v>25</v>
      </c>
      <c r="Q31" s="27"/>
      <c r="R31" s="27"/>
      <c r="S31" s="27"/>
      <c r="T31" s="27">
        <f>T29-T28</f>
        <v>-7.1879999999999882</v>
      </c>
      <c r="U31" s="27"/>
      <c r="V31" s="27"/>
      <c r="W31" s="27">
        <f>W29-W28</f>
        <v>-14.283999999999992</v>
      </c>
    </row>
    <row r="32" spans="1:31" x14ac:dyDescent="0.3">
      <c r="B32">
        <v>25</v>
      </c>
      <c r="C32">
        <v>25</v>
      </c>
      <c r="D32">
        <v>25</v>
      </c>
      <c r="E32">
        <v>25</v>
      </c>
      <c r="F32">
        <v>25.4</v>
      </c>
      <c r="G32">
        <v>25</v>
      </c>
      <c r="H32">
        <v>25</v>
      </c>
      <c r="I32">
        <v>25</v>
      </c>
      <c r="L32">
        <v>26.2</v>
      </c>
      <c r="M32">
        <v>25</v>
      </c>
      <c r="R32" t="s">
        <v>88</v>
      </c>
    </row>
    <row r="33" spans="2:27" x14ac:dyDescent="0.3">
      <c r="B33">
        <v>25</v>
      </c>
      <c r="C33">
        <v>25</v>
      </c>
      <c r="D33">
        <v>25</v>
      </c>
      <c r="E33">
        <v>25</v>
      </c>
      <c r="F33">
        <v>25.5</v>
      </c>
      <c r="G33">
        <v>25</v>
      </c>
      <c r="H33">
        <v>25</v>
      </c>
      <c r="I33">
        <v>25</v>
      </c>
      <c r="L33">
        <v>26.3</v>
      </c>
      <c r="M33">
        <v>25</v>
      </c>
      <c r="Q33" t="s">
        <v>89</v>
      </c>
      <c r="R33">
        <v>161.94800000000001</v>
      </c>
      <c r="S33">
        <v>150.57499999999999</v>
      </c>
      <c r="T33">
        <v>153.554</v>
      </c>
      <c r="U33">
        <v>139.18199999999999</v>
      </c>
      <c r="W33">
        <v>166.05252773452801</v>
      </c>
      <c r="X33">
        <v>147.28653141484099</v>
      </c>
      <c r="Y33">
        <v>154.91889027301701</v>
      </c>
      <c r="Z33">
        <v>137.14282109657</v>
      </c>
    </row>
    <row r="34" spans="2:27" x14ac:dyDescent="0.3">
      <c r="B34">
        <v>25</v>
      </c>
      <c r="C34">
        <v>25</v>
      </c>
      <c r="D34">
        <v>25</v>
      </c>
      <c r="E34">
        <v>25</v>
      </c>
      <c r="F34">
        <v>25.6</v>
      </c>
      <c r="G34">
        <v>25</v>
      </c>
      <c r="H34">
        <v>25</v>
      </c>
      <c r="I34">
        <v>25</v>
      </c>
      <c r="L34">
        <v>26.4</v>
      </c>
      <c r="M34">
        <v>25</v>
      </c>
    </row>
    <row r="35" spans="2:27" x14ac:dyDescent="0.3">
      <c r="B35">
        <v>25</v>
      </c>
      <c r="C35">
        <v>25</v>
      </c>
      <c r="D35">
        <v>25</v>
      </c>
      <c r="E35">
        <v>25</v>
      </c>
      <c r="F35">
        <v>25.7</v>
      </c>
      <c r="G35">
        <v>25</v>
      </c>
      <c r="H35">
        <v>25</v>
      </c>
      <c r="I35">
        <v>25</v>
      </c>
      <c r="L35">
        <v>26.4</v>
      </c>
      <c r="M35">
        <v>25.3</v>
      </c>
      <c r="R35" t="s">
        <v>121</v>
      </c>
      <c r="T35" t="s">
        <v>124</v>
      </c>
      <c r="W35" t="s">
        <v>121</v>
      </c>
      <c r="Y35" t="s">
        <v>124</v>
      </c>
    </row>
    <row r="36" spans="2:27" x14ac:dyDescent="0.3">
      <c r="B36">
        <v>25</v>
      </c>
      <c r="C36">
        <v>25</v>
      </c>
      <c r="D36">
        <v>25</v>
      </c>
      <c r="E36">
        <v>25</v>
      </c>
      <c r="F36">
        <v>25.8</v>
      </c>
      <c r="G36">
        <v>25</v>
      </c>
      <c r="H36">
        <v>25</v>
      </c>
      <c r="I36">
        <v>25</v>
      </c>
      <c r="L36">
        <v>26.4</v>
      </c>
      <c r="M36">
        <v>25</v>
      </c>
      <c r="Q36" t="s">
        <v>128</v>
      </c>
      <c r="R36" t="s">
        <v>122</v>
      </c>
      <c r="S36" t="s">
        <v>123</v>
      </c>
      <c r="T36" t="s">
        <v>122</v>
      </c>
      <c r="U36" t="s">
        <v>123</v>
      </c>
      <c r="W36" t="s">
        <v>122</v>
      </c>
      <c r="X36" t="s">
        <v>123</v>
      </c>
      <c r="Y36" t="s">
        <v>122</v>
      </c>
      <c r="Z36" t="s">
        <v>123</v>
      </c>
    </row>
    <row r="37" spans="2:27" x14ac:dyDescent="0.3">
      <c r="B37">
        <v>25</v>
      </c>
      <c r="C37">
        <v>25</v>
      </c>
      <c r="D37">
        <v>25</v>
      </c>
      <c r="E37">
        <v>25</v>
      </c>
      <c r="F37">
        <v>25.9</v>
      </c>
      <c r="G37">
        <v>25</v>
      </c>
      <c r="H37">
        <v>25</v>
      </c>
      <c r="I37">
        <v>25</v>
      </c>
      <c r="L37">
        <v>26.5</v>
      </c>
      <c r="M37">
        <v>25.3</v>
      </c>
      <c r="Q37" t="s">
        <v>125</v>
      </c>
      <c r="R37">
        <f>R45</f>
        <v>159.77799999999999</v>
      </c>
      <c r="S37">
        <f t="shared" ref="S37:U37" si="13">S45</f>
        <v>158.88499999999999</v>
      </c>
      <c r="T37">
        <f t="shared" si="13"/>
        <v>150.53299999999999</v>
      </c>
      <c r="U37">
        <f t="shared" si="13"/>
        <v>147.44499999999999</v>
      </c>
      <c r="W37">
        <f>W51</f>
        <v>160.65</v>
      </c>
      <c r="X37">
        <f t="shared" ref="X37:Z37" si="14">X51</f>
        <v>152.37100000000001</v>
      </c>
      <c r="Y37">
        <f t="shared" si="14"/>
        <v>151.899</v>
      </c>
      <c r="Z37">
        <f t="shared" si="14"/>
        <v>144.16800000000001</v>
      </c>
      <c r="AA37">
        <f>Z37+X37</f>
        <v>296.53899999999999</v>
      </c>
    </row>
    <row r="38" spans="2:27" x14ac:dyDescent="0.3">
      <c r="B38">
        <v>25</v>
      </c>
      <c r="C38">
        <v>25</v>
      </c>
      <c r="D38">
        <v>25</v>
      </c>
      <c r="E38">
        <v>25</v>
      </c>
      <c r="F38">
        <v>26</v>
      </c>
      <c r="G38">
        <v>25</v>
      </c>
      <c r="H38">
        <v>25</v>
      </c>
      <c r="I38">
        <v>25</v>
      </c>
      <c r="L38">
        <v>26.6</v>
      </c>
      <c r="M38">
        <v>25.6</v>
      </c>
      <c r="Q38" t="s">
        <v>129</v>
      </c>
      <c r="R38">
        <f t="shared" ref="R38:U38" si="15">R46</f>
        <v>159.60499999999999</v>
      </c>
      <c r="S38">
        <f t="shared" si="15"/>
        <v>159.60499999999999</v>
      </c>
      <c r="T38">
        <f t="shared" si="15"/>
        <v>150.35900000000001</v>
      </c>
      <c r="U38">
        <f t="shared" si="15"/>
        <v>149.755</v>
      </c>
      <c r="W38">
        <f>W52</f>
        <v>157.381</v>
      </c>
      <c r="X38">
        <f t="shared" ref="X38:Z38" si="16">X52</f>
        <v>151.33799999999999</v>
      </c>
      <c r="Y38">
        <f t="shared" si="16"/>
        <v>149.666</v>
      </c>
      <c r="Z38">
        <f t="shared" si="16"/>
        <v>144.01</v>
      </c>
    </row>
    <row r="39" spans="2:27" x14ac:dyDescent="0.3">
      <c r="B39">
        <v>25</v>
      </c>
      <c r="C39">
        <v>25</v>
      </c>
      <c r="D39">
        <v>25</v>
      </c>
      <c r="E39">
        <v>25</v>
      </c>
      <c r="F39">
        <v>26.1</v>
      </c>
      <c r="G39">
        <v>25</v>
      </c>
      <c r="H39">
        <v>25</v>
      </c>
      <c r="I39">
        <v>25</v>
      </c>
      <c r="L39">
        <v>26.7</v>
      </c>
      <c r="M39">
        <v>25.4</v>
      </c>
      <c r="Q39" t="s">
        <v>130</v>
      </c>
      <c r="R39">
        <f t="shared" ref="R39:U39" si="17">R47</f>
        <v>160.227</v>
      </c>
      <c r="S39">
        <f t="shared" si="17"/>
        <v>155.91</v>
      </c>
      <c r="T39">
        <f t="shared" si="17"/>
        <v>150.98599999999999</v>
      </c>
      <c r="U39">
        <f t="shared" si="17"/>
        <v>146.262</v>
      </c>
      <c r="W39">
        <f>W53</f>
        <v>151.399</v>
      </c>
      <c r="X39">
        <f t="shared" ref="X39:Z39" si="18">X53</f>
        <v>143.441</v>
      </c>
      <c r="Y39">
        <f t="shared" si="18"/>
        <v>144.221</v>
      </c>
      <c r="Z39">
        <f t="shared" si="18"/>
        <v>137.62299999999999</v>
      </c>
    </row>
    <row r="40" spans="2:27" x14ac:dyDescent="0.3">
      <c r="B40">
        <v>25</v>
      </c>
      <c r="C40">
        <v>25</v>
      </c>
      <c r="D40">
        <v>25</v>
      </c>
      <c r="E40">
        <v>25</v>
      </c>
      <c r="F40">
        <v>26.2</v>
      </c>
      <c r="G40">
        <v>25</v>
      </c>
      <c r="H40">
        <v>25</v>
      </c>
      <c r="I40">
        <v>25</v>
      </c>
      <c r="L40">
        <v>26.8</v>
      </c>
      <c r="M40">
        <v>25.2</v>
      </c>
    </row>
    <row r="41" spans="2:27" x14ac:dyDescent="0.3">
      <c r="B41">
        <v>25</v>
      </c>
      <c r="C41">
        <v>25</v>
      </c>
      <c r="D41">
        <v>25</v>
      </c>
      <c r="E41">
        <v>25</v>
      </c>
      <c r="F41">
        <v>26.3</v>
      </c>
      <c r="G41">
        <v>25</v>
      </c>
      <c r="H41">
        <v>25</v>
      </c>
      <c r="I41">
        <v>25.1</v>
      </c>
      <c r="L41">
        <v>26.9</v>
      </c>
      <c r="M41">
        <v>25.5</v>
      </c>
    </row>
    <row r="42" spans="2:27" x14ac:dyDescent="0.3">
      <c r="B42">
        <v>25</v>
      </c>
      <c r="C42">
        <v>25</v>
      </c>
      <c r="D42">
        <v>25</v>
      </c>
      <c r="E42">
        <v>25</v>
      </c>
      <c r="F42">
        <v>26.4</v>
      </c>
      <c r="G42">
        <v>25</v>
      </c>
      <c r="H42">
        <v>25</v>
      </c>
      <c r="I42">
        <v>25.2</v>
      </c>
      <c r="L42">
        <v>27</v>
      </c>
      <c r="M42">
        <v>25.5</v>
      </c>
    </row>
    <row r="43" spans="2:27" x14ac:dyDescent="0.3">
      <c r="B43">
        <v>25</v>
      </c>
      <c r="C43">
        <v>25</v>
      </c>
      <c r="D43">
        <v>25</v>
      </c>
      <c r="E43">
        <v>25</v>
      </c>
      <c r="F43">
        <v>26.5</v>
      </c>
      <c r="G43">
        <v>25</v>
      </c>
      <c r="H43">
        <v>25</v>
      </c>
      <c r="I43">
        <v>25.3</v>
      </c>
      <c r="L43">
        <v>27.1</v>
      </c>
      <c r="M43">
        <v>25.3</v>
      </c>
      <c r="R43" t="s">
        <v>121</v>
      </c>
      <c r="T43" t="s">
        <v>124</v>
      </c>
      <c r="W43" t="s">
        <v>121</v>
      </c>
      <c r="Y43" t="s">
        <v>124</v>
      </c>
    </row>
    <row r="44" spans="2:27" x14ac:dyDescent="0.3">
      <c r="B44">
        <v>25</v>
      </c>
      <c r="C44">
        <v>25</v>
      </c>
      <c r="D44">
        <v>25</v>
      </c>
      <c r="E44">
        <v>25</v>
      </c>
      <c r="F44">
        <v>26.6</v>
      </c>
      <c r="G44">
        <v>25</v>
      </c>
      <c r="H44">
        <v>25</v>
      </c>
      <c r="I44">
        <v>25.4</v>
      </c>
      <c r="L44">
        <v>27.2</v>
      </c>
      <c r="M44">
        <v>25.1</v>
      </c>
      <c r="Q44" t="s">
        <v>99</v>
      </c>
      <c r="R44" t="s">
        <v>122</v>
      </c>
      <c r="S44" t="s">
        <v>123</v>
      </c>
      <c r="T44" t="s">
        <v>122</v>
      </c>
      <c r="U44" t="s">
        <v>123</v>
      </c>
      <c r="W44" t="s">
        <v>122</v>
      </c>
      <c r="X44" t="s">
        <v>123</v>
      </c>
      <c r="Y44" t="s">
        <v>122</v>
      </c>
      <c r="Z44" t="s">
        <v>123</v>
      </c>
    </row>
    <row r="45" spans="2:27" x14ac:dyDescent="0.3">
      <c r="B45">
        <v>25</v>
      </c>
      <c r="C45">
        <v>25</v>
      </c>
      <c r="D45">
        <v>25</v>
      </c>
      <c r="E45">
        <v>25.1</v>
      </c>
      <c r="F45">
        <v>26.7</v>
      </c>
      <c r="G45">
        <v>25</v>
      </c>
      <c r="H45">
        <v>25</v>
      </c>
      <c r="I45">
        <v>25.5</v>
      </c>
      <c r="L45">
        <v>27</v>
      </c>
      <c r="M45">
        <v>25</v>
      </c>
      <c r="Q45" t="s">
        <v>125</v>
      </c>
      <c r="R45">
        <v>159.77799999999999</v>
      </c>
      <c r="S45">
        <v>158.88499999999999</v>
      </c>
      <c r="T45">
        <v>150.53299999999999</v>
      </c>
      <c r="U45">
        <v>147.44499999999999</v>
      </c>
      <c r="W45">
        <v>159.905</v>
      </c>
      <c r="X45">
        <v>152.88900000000001</v>
      </c>
      <c r="Y45">
        <v>150.88999999999999</v>
      </c>
      <c r="Z45">
        <v>143.21299999999999</v>
      </c>
      <c r="AA45" s="9">
        <f>Z45+X45</f>
        <v>296.10199999999998</v>
      </c>
    </row>
    <row r="46" spans="2:27" x14ac:dyDescent="0.3">
      <c r="B46">
        <v>25</v>
      </c>
      <c r="C46">
        <v>25</v>
      </c>
      <c r="D46">
        <v>25</v>
      </c>
      <c r="E46">
        <v>25.2</v>
      </c>
      <c r="F46">
        <v>26.8</v>
      </c>
      <c r="G46">
        <v>25</v>
      </c>
      <c r="H46">
        <v>25</v>
      </c>
      <c r="I46">
        <v>25.6</v>
      </c>
      <c r="L46">
        <v>27.1</v>
      </c>
      <c r="M46">
        <v>25.1</v>
      </c>
      <c r="Q46" t="s">
        <v>129</v>
      </c>
      <c r="R46">
        <v>159.60499999999999</v>
      </c>
      <c r="S46">
        <v>159.60499999999999</v>
      </c>
      <c r="T46">
        <v>150.35900000000001</v>
      </c>
      <c r="U46">
        <v>149.755</v>
      </c>
      <c r="W46">
        <v>157.381</v>
      </c>
      <c r="X46">
        <v>150.30199999999999</v>
      </c>
      <c r="Y46">
        <v>149.666</v>
      </c>
      <c r="Z46">
        <v>142.57171821549201</v>
      </c>
      <c r="AA46" s="9">
        <f t="shared" ref="AA46:AA47" si="19">Z46+X46</f>
        <v>292.87371821549198</v>
      </c>
    </row>
    <row r="47" spans="2:27" x14ac:dyDescent="0.3">
      <c r="B47">
        <v>25</v>
      </c>
      <c r="C47">
        <v>25</v>
      </c>
      <c r="D47">
        <v>25</v>
      </c>
      <c r="E47">
        <v>25.3</v>
      </c>
      <c r="F47">
        <v>26.9</v>
      </c>
      <c r="G47">
        <v>25</v>
      </c>
      <c r="H47">
        <v>25</v>
      </c>
      <c r="I47">
        <v>25.7</v>
      </c>
      <c r="L47">
        <v>27.2</v>
      </c>
      <c r="M47">
        <v>25.1</v>
      </c>
      <c r="Q47" t="s">
        <v>130</v>
      </c>
      <c r="R47">
        <v>160.227</v>
      </c>
      <c r="S47">
        <v>155.91</v>
      </c>
      <c r="T47">
        <v>150.98599999999999</v>
      </c>
      <c r="U47">
        <v>146.262</v>
      </c>
      <c r="W47">
        <v>151.399</v>
      </c>
      <c r="X47">
        <v>142.87200000000001</v>
      </c>
      <c r="Y47">
        <v>144.221</v>
      </c>
      <c r="Z47">
        <v>137.62299999999999</v>
      </c>
      <c r="AA47" s="9">
        <f t="shared" si="19"/>
        <v>280.495</v>
      </c>
    </row>
    <row r="48" spans="2:27" x14ac:dyDescent="0.3">
      <c r="B48">
        <v>25</v>
      </c>
      <c r="C48">
        <v>25</v>
      </c>
      <c r="D48">
        <v>25</v>
      </c>
      <c r="E48">
        <v>25.4</v>
      </c>
      <c r="F48">
        <v>27</v>
      </c>
      <c r="G48">
        <v>25</v>
      </c>
      <c r="H48">
        <v>25</v>
      </c>
      <c r="I48">
        <v>25.8</v>
      </c>
      <c r="L48">
        <v>27.1</v>
      </c>
      <c r="M48">
        <v>25.2</v>
      </c>
    </row>
    <row r="49" spans="2:26" x14ac:dyDescent="0.3">
      <c r="B49">
        <v>25</v>
      </c>
      <c r="C49">
        <v>25</v>
      </c>
      <c r="D49">
        <v>25</v>
      </c>
      <c r="E49">
        <v>25.6</v>
      </c>
      <c r="F49">
        <v>27.1</v>
      </c>
      <c r="G49">
        <v>25</v>
      </c>
      <c r="H49">
        <v>25</v>
      </c>
      <c r="I49">
        <v>26</v>
      </c>
      <c r="L49">
        <v>27.2</v>
      </c>
      <c r="M49">
        <v>25.1</v>
      </c>
      <c r="R49" t="s">
        <v>121</v>
      </c>
      <c r="T49" t="s">
        <v>124</v>
      </c>
      <c r="W49" t="s">
        <v>121</v>
      </c>
      <c r="Y49" t="s">
        <v>124</v>
      </c>
    </row>
    <row r="50" spans="2:26" x14ac:dyDescent="0.3">
      <c r="B50">
        <v>25</v>
      </c>
      <c r="C50">
        <v>25</v>
      </c>
      <c r="D50">
        <v>25</v>
      </c>
      <c r="E50">
        <v>25.8</v>
      </c>
      <c r="F50">
        <v>27.2</v>
      </c>
      <c r="G50">
        <v>25</v>
      </c>
      <c r="H50">
        <v>25</v>
      </c>
      <c r="I50">
        <v>26.2</v>
      </c>
      <c r="L50">
        <v>27</v>
      </c>
      <c r="M50">
        <v>25</v>
      </c>
      <c r="Q50" t="s">
        <v>99</v>
      </c>
      <c r="R50" t="s">
        <v>122</v>
      </c>
      <c r="S50" t="s">
        <v>123</v>
      </c>
      <c r="T50" t="s">
        <v>122</v>
      </c>
      <c r="U50" t="s">
        <v>123</v>
      </c>
      <c r="W50" t="s">
        <v>122</v>
      </c>
      <c r="X50" t="s">
        <v>123</v>
      </c>
      <c r="Y50" t="s">
        <v>122</v>
      </c>
      <c r="Z50" t="s">
        <v>123</v>
      </c>
    </row>
    <row r="51" spans="2:26" x14ac:dyDescent="0.3">
      <c r="B51">
        <v>25</v>
      </c>
      <c r="C51">
        <v>25</v>
      </c>
      <c r="D51">
        <v>25</v>
      </c>
      <c r="E51">
        <v>26</v>
      </c>
      <c r="F51">
        <v>27.3</v>
      </c>
      <c r="G51">
        <v>25.1</v>
      </c>
      <c r="H51">
        <v>25</v>
      </c>
      <c r="I51">
        <v>26.4</v>
      </c>
      <c r="L51">
        <v>27.1</v>
      </c>
      <c r="M51">
        <v>25</v>
      </c>
      <c r="Q51" t="s">
        <v>125</v>
      </c>
      <c r="R51">
        <v>159.78800000000001</v>
      </c>
      <c r="S51">
        <v>158.86600000000001</v>
      </c>
      <c r="T51">
        <v>150.54300000000001</v>
      </c>
      <c r="U51">
        <v>147.392</v>
      </c>
      <c r="W51">
        <v>160.65</v>
      </c>
      <c r="X51">
        <v>152.37100000000001</v>
      </c>
      <c r="Y51">
        <v>151.899</v>
      </c>
      <c r="Z51">
        <v>144.16800000000001</v>
      </c>
    </row>
    <row r="52" spans="2:26" x14ac:dyDescent="0.3">
      <c r="B52">
        <v>25</v>
      </c>
      <c r="C52">
        <v>25</v>
      </c>
      <c r="D52">
        <v>25</v>
      </c>
      <c r="E52">
        <v>26.1</v>
      </c>
      <c r="F52">
        <v>27.4</v>
      </c>
      <c r="G52">
        <v>25.2</v>
      </c>
      <c r="H52">
        <v>25</v>
      </c>
      <c r="I52">
        <v>26.5</v>
      </c>
      <c r="L52">
        <v>27.2</v>
      </c>
      <c r="M52">
        <v>25</v>
      </c>
      <c r="Q52" t="s">
        <v>129</v>
      </c>
      <c r="R52">
        <v>159.60499999999999</v>
      </c>
      <c r="S52">
        <v>159.60499999999999</v>
      </c>
      <c r="T52">
        <v>150.35900000000001</v>
      </c>
      <c r="U52">
        <v>149.755</v>
      </c>
      <c r="W52">
        <v>157.381</v>
      </c>
      <c r="X52">
        <v>151.33799999999999</v>
      </c>
      <c r="Y52">
        <v>149.666</v>
      </c>
      <c r="Z52">
        <v>144.01</v>
      </c>
    </row>
    <row r="53" spans="2:26" x14ac:dyDescent="0.3">
      <c r="B53">
        <v>25</v>
      </c>
      <c r="C53">
        <v>25</v>
      </c>
      <c r="D53">
        <v>25</v>
      </c>
      <c r="E53">
        <v>26.3</v>
      </c>
      <c r="F53">
        <v>27.5</v>
      </c>
      <c r="G53">
        <v>25.3</v>
      </c>
      <c r="H53">
        <v>25</v>
      </c>
      <c r="I53">
        <v>26.7</v>
      </c>
      <c r="L53">
        <v>27.1</v>
      </c>
      <c r="M53">
        <v>25</v>
      </c>
      <c r="Q53" t="s">
        <v>130</v>
      </c>
      <c r="R53">
        <v>160.227</v>
      </c>
      <c r="S53">
        <v>155.91</v>
      </c>
      <c r="T53">
        <v>150.98599999999999</v>
      </c>
      <c r="U53">
        <v>146.262</v>
      </c>
      <c r="W53">
        <v>151.399</v>
      </c>
      <c r="X53">
        <v>143.441</v>
      </c>
      <c r="Y53">
        <v>144.221</v>
      </c>
      <c r="Z53">
        <v>137.62299999999999</v>
      </c>
    </row>
    <row r="54" spans="2:26" x14ac:dyDescent="0.3">
      <c r="B54">
        <v>25</v>
      </c>
      <c r="C54">
        <v>25</v>
      </c>
      <c r="D54">
        <v>25</v>
      </c>
      <c r="E54">
        <v>26.5</v>
      </c>
      <c r="F54">
        <v>27.6</v>
      </c>
      <c r="G54">
        <v>25.4</v>
      </c>
      <c r="H54">
        <v>25</v>
      </c>
      <c r="I54">
        <v>26.9</v>
      </c>
      <c r="L54">
        <v>27.4</v>
      </c>
      <c r="M54">
        <v>25</v>
      </c>
    </row>
    <row r="55" spans="2:26" x14ac:dyDescent="0.3">
      <c r="B55">
        <v>25</v>
      </c>
      <c r="C55">
        <v>25</v>
      </c>
      <c r="D55">
        <v>25</v>
      </c>
      <c r="E55">
        <v>26.7</v>
      </c>
      <c r="F55">
        <v>27.7</v>
      </c>
      <c r="G55">
        <v>25.5</v>
      </c>
      <c r="H55">
        <v>25</v>
      </c>
      <c r="I55">
        <v>27.1</v>
      </c>
      <c r="L55">
        <v>27.3</v>
      </c>
      <c r="M55">
        <v>25</v>
      </c>
    </row>
    <row r="56" spans="2:26" x14ac:dyDescent="0.3">
      <c r="B56">
        <v>25</v>
      </c>
      <c r="C56">
        <v>25</v>
      </c>
      <c r="D56">
        <v>25</v>
      </c>
      <c r="E56">
        <v>26.9</v>
      </c>
      <c r="F56">
        <v>27.78</v>
      </c>
      <c r="G56">
        <v>25.6</v>
      </c>
      <c r="H56">
        <v>25</v>
      </c>
      <c r="I56">
        <v>27.2</v>
      </c>
      <c r="L56">
        <v>27.5</v>
      </c>
      <c r="M56">
        <v>25</v>
      </c>
      <c r="V56">
        <v>0.4</v>
      </c>
      <c r="W56" t="s">
        <v>122</v>
      </c>
      <c r="X56" t="s">
        <v>123</v>
      </c>
      <c r="Y56" t="s">
        <v>122</v>
      </c>
      <c r="Z56" t="s">
        <v>123</v>
      </c>
    </row>
    <row r="57" spans="2:26" x14ac:dyDescent="0.3">
      <c r="B57">
        <v>25</v>
      </c>
      <c r="C57">
        <v>25</v>
      </c>
      <c r="D57">
        <v>25</v>
      </c>
      <c r="E57">
        <v>27.1</v>
      </c>
      <c r="F57">
        <v>27.78</v>
      </c>
      <c r="G57">
        <v>25.7</v>
      </c>
      <c r="H57">
        <v>25</v>
      </c>
      <c r="I57">
        <v>27.4</v>
      </c>
      <c r="L57">
        <v>27.7</v>
      </c>
      <c r="M57">
        <v>25</v>
      </c>
      <c r="V57" t="s">
        <v>125</v>
      </c>
    </row>
    <row r="58" spans="2:26" x14ac:dyDescent="0.3">
      <c r="B58">
        <v>25</v>
      </c>
      <c r="C58">
        <v>25</v>
      </c>
      <c r="D58">
        <v>25</v>
      </c>
      <c r="E58">
        <v>27.3</v>
      </c>
      <c r="F58">
        <v>27.78</v>
      </c>
      <c r="G58">
        <v>25.8</v>
      </c>
      <c r="H58">
        <v>25</v>
      </c>
      <c r="I58">
        <v>27.6</v>
      </c>
      <c r="L58">
        <v>27.78</v>
      </c>
      <c r="M58">
        <v>25</v>
      </c>
      <c r="V58" t="s">
        <v>129</v>
      </c>
    </row>
    <row r="59" spans="2:26" x14ac:dyDescent="0.3">
      <c r="B59">
        <v>25</v>
      </c>
      <c r="C59">
        <v>25</v>
      </c>
      <c r="D59">
        <v>25</v>
      </c>
      <c r="E59">
        <v>27.5</v>
      </c>
      <c r="F59">
        <v>27.78</v>
      </c>
      <c r="G59">
        <v>25.9</v>
      </c>
      <c r="H59">
        <v>25</v>
      </c>
      <c r="I59">
        <v>27.7</v>
      </c>
      <c r="L59">
        <v>27.6</v>
      </c>
      <c r="M59">
        <v>25</v>
      </c>
      <c r="V59" t="s">
        <v>130</v>
      </c>
    </row>
    <row r="60" spans="2:26" x14ac:dyDescent="0.3">
      <c r="B60">
        <v>25</v>
      </c>
      <c r="C60">
        <v>25</v>
      </c>
      <c r="D60">
        <v>25</v>
      </c>
      <c r="E60">
        <v>27.6</v>
      </c>
      <c r="F60">
        <v>27.78</v>
      </c>
      <c r="G60">
        <v>26</v>
      </c>
      <c r="H60">
        <v>25</v>
      </c>
      <c r="I60">
        <v>27.78</v>
      </c>
      <c r="L60">
        <v>27.4</v>
      </c>
      <c r="M60">
        <v>25</v>
      </c>
    </row>
    <row r="61" spans="2:26" x14ac:dyDescent="0.3">
      <c r="B61">
        <v>25</v>
      </c>
      <c r="C61">
        <v>25</v>
      </c>
      <c r="D61">
        <v>25</v>
      </c>
      <c r="E61">
        <v>27.7</v>
      </c>
      <c r="F61">
        <v>27.78</v>
      </c>
      <c r="G61">
        <v>26.2</v>
      </c>
      <c r="H61">
        <v>25</v>
      </c>
      <c r="I61">
        <v>27.78</v>
      </c>
      <c r="L61">
        <v>27.2</v>
      </c>
      <c r="M61">
        <v>25</v>
      </c>
    </row>
    <row r="62" spans="2:26" x14ac:dyDescent="0.3">
      <c r="B62">
        <v>25</v>
      </c>
      <c r="C62">
        <v>25</v>
      </c>
      <c r="D62">
        <v>25</v>
      </c>
      <c r="E62">
        <v>27.78</v>
      </c>
      <c r="F62">
        <v>27.78</v>
      </c>
      <c r="G62">
        <v>26.4</v>
      </c>
      <c r="H62">
        <v>25</v>
      </c>
      <c r="I62">
        <v>27.78</v>
      </c>
      <c r="L62">
        <v>27</v>
      </c>
      <c r="M62">
        <v>25</v>
      </c>
    </row>
    <row r="63" spans="2:26" x14ac:dyDescent="0.3">
      <c r="B63">
        <v>25</v>
      </c>
      <c r="C63">
        <v>25</v>
      </c>
      <c r="D63">
        <v>25</v>
      </c>
      <c r="E63">
        <v>27.78</v>
      </c>
      <c r="F63">
        <v>27.78</v>
      </c>
      <c r="G63">
        <v>26.5</v>
      </c>
      <c r="H63">
        <v>25</v>
      </c>
      <c r="I63">
        <v>27.78</v>
      </c>
      <c r="L63">
        <v>27.1</v>
      </c>
      <c r="M63">
        <v>25</v>
      </c>
    </row>
    <row r="64" spans="2:26" x14ac:dyDescent="0.3">
      <c r="B64">
        <v>25</v>
      </c>
      <c r="C64">
        <v>25</v>
      </c>
      <c r="D64">
        <v>25</v>
      </c>
      <c r="E64">
        <v>27.78</v>
      </c>
      <c r="F64">
        <v>27.78</v>
      </c>
      <c r="G64">
        <v>26.6</v>
      </c>
      <c r="H64">
        <v>25</v>
      </c>
      <c r="I64">
        <v>27.78</v>
      </c>
      <c r="L64">
        <v>27.2</v>
      </c>
      <c r="M64">
        <v>25</v>
      </c>
    </row>
    <row r="65" spans="2:13" x14ac:dyDescent="0.3">
      <c r="B65">
        <v>25</v>
      </c>
      <c r="C65">
        <v>25</v>
      </c>
      <c r="D65">
        <v>25</v>
      </c>
      <c r="E65">
        <v>27.78</v>
      </c>
      <c r="F65">
        <v>27.78</v>
      </c>
      <c r="G65">
        <v>26.7</v>
      </c>
      <c r="H65">
        <v>25</v>
      </c>
      <c r="I65">
        <v>27.78</v>
      </c>
      <c r="L65">
        <v>27.3</v>
      </c>
      <c r="M65">
        <v>25.2</v>
      </c>
    </row>
    <row r="66" spans="2:13" x14ac:dyDescent="0.3">
      <c r="B66">
        <v>25</v>
      </c>
      <c r="C66">
        <v>25</v>
      </c>
      <c r="D66">
        <v>25</v>
      </c>
      <c r="E66">
        <v>27.78</v>
      </c>
      <c r="F66">
        <v>27.78</v>
      </c>
      <c r="G66">
        <v>26.8</v>
      </c>
      <c r="H66">
        <v>25</v>
      </c>
      <c r="I66">
        <v>27.78</v>
      </c>
      <c r="L66">
        <v>27.4</v>
      </c>
      <c r="M66">
        <v>25.4</v>
      </c>
    </row>
    <row r="67" spans="2:13" x14ac:dyDescent="0.3">
      <c r="B67">
        <v>25</v>
      </c>
      <c r="C67">
        <v>25</v>
      </c>
      <c r="D67">
        <v>25</v>
      </c>
      <c r="E67">
        <v>27.78</v>
      </c>
      <c r="F67">
        <v>27.78</v>
      </c>
      <c r="G67">
        <v>26.9</v>
      </c>
      <c r="H67">
        <v>25</v>
      </c>
      <c r="I67">
        <v>27.78</v>
      </c>
      <c r="L67">
        <v>27.2</v>
      </c>
      <c r="M67">
        <v>25.4</v>
      </c>
    </row>
    <row r="68" spans="2:13" x14ac:dyDescent="0.3">
      <c r="B68">
        <v>25</v>
      </c>
      <c r="C68">
        <v>25</v>
      </c>
      <c r="D68">
        <v>25</v>
      </c>
      <c r="E68">
        <v>27.78</v>
      </c>
      <c r="F68">
        <v>27.78</v>
      </c>
      <c r="G68">
        <v>27</v>
      </c>
      <c r="H68">
        <v>25</v>
      </c>
      <c r="I68">
        <v>27.78</v>
      </c>
      <c r="L68">
        <v>27</v>
      </c>
      <c r="M68">
        <v>25.7</v>
      </c>
    </row>
    <row r="69" spans="2:13" x14ac:dyDescent="0.3">
      <c r="B69">
        <v>25</v>
      </c>
      <c r="C69">
        <v>25</v>
      </c>
      <c r="D69">
        <v>25</v>
      </c>
      <c r="E69">
        <v>27.78</v>
      </c>
      <c r="F69">
        <v>27.78</v>
      </c>
      <c r="G69">
        <v>27.1</v>
      </c>
      <c r="H69">
        <v>25</v>
      </c>
      <c r="I69">
        <v>27.78</v>
      </c>
      <c r="L69">
        <v>26.8</v>
      </c>
      <c r="M69">
        <v>25.9</v>
      </c>
    </row>
    <row r="70" spans="2:13" x14ac:dyDescent="0.3">
      <c r="B70">
        <v>25</v>
      </c>
      <c r="C70">
        <v>25</v>
      </c>
      <c r="D70">
        <v>25</v>
      </c>
      <c r="E70">
        <v>27.78</v>
      </c>
      <c r="F70">
        <v>27.78</v>
      </c>
      <c r="G70">
        <v>27.2</v>
      </c>
      <c r="H70">
        <v>25</v>
      </c>
      <c r="I70">
        <v>27.78</v>
      </c>
      <c r="L70">
        <v>26.6</v>
      </c>
      <c r="M70">
        <v>26.2</v>
      </c>
    </row>
    <row r="71" spans="2:13" x14ac:dyDescent="0.3">
      <c r="B71">
        <v>25</v>
      </c>
      <c r="C71">
        <v>25</v>
      </c>
      <c r="D71">
        <v>25</v>
      </c>
      <c r="E71">
        <v>27.78</v>
      </c>
      <c r="F71">
        <v>27.78</v>
      </c>
      <c r="G71">
        <v>27.3</v>
      </c>
      <c r="H71">
        <v>25</v>
      </c>
      <c r="I71">
        <v>27.78</v>
      </c>
      <c r="L71">
        <v>26.4</v>
      </c>
      <c r="M71">
        <v>26.3</v>
      </c>
    </row>
    <row r="72" spans="2:13" x14ac:dyDescent="0.3">
      <c r="B72">
        <v>25</v>
      </c>
      <c r="C72">
        <v>25</v>
      </c>
      <c r="D72">
        <v>25</v>
      </c>
      <c r="E72">
        <v>27.7</v>
      </c>
      <c r="F72">
        <v>27.78</v>
      </c>
      <c r="G72">
        <v>27.4</v>
      </c>
      <c r="H72">
        <v>25.1</v>
      </c>
      <c r="I72">
        <v>27.78</v>
      </c>
      <c r="L72">
        <v>26.2</v>
      </c>
      <c r="M72">
        <v>26.4</v>
      </c>
    </row>
    <row r="73" spans="2:13" x14ac:dyDescent="0.3">
      <c r="B73">
        <v>25</v>
      </c>
      <c r="C73">
        <v>25</v>
      </c>
      <c r="D73">
        <v>25</v>
      </c>
      <c r="E73">
        <v>27.6</v>
      </c>
      <c r="F73">
        <v>27.78</v>
      </c>
      <c r="G73">
        <v>27.5</v>
      </c>
      <c r="H73">
        <v>25.2</v>
      </c>
      <c r="I73">
        <v>27.7</v>
      </c>
      <c r="L73">
        <v>26</v>
      </c>
      <c r="M73">
        <v>26.7</v>
      </c>
    </row>
    <row r="74" spans="2:13" x14ac:dyDescent="0.3">
      <c r="B74">
        <v>25</v>
      </c>
      <c r="C74">
        <v>25</v>
      </c>
      <c r="D74">
        <v>25</v>
      </c>
      <c r="E74">
        <v>27.5</v>
      </c>
      <c r="F74">
        <v>27.78</v>
      </c>
      <c r="G74">
        <v>27.6</v>
      </c>
      <c r="H74">
        <v>25.3</v>
      </c>
      <c r="I74">
        <v>27.6</v>
      </c>
      <c r="L74">
        <v>25.8</v>
      </c>
      <c r="M74">
        <v>27</v>
      </c>
    </row>
    <row r="75" spans="2:13" x14ac:dyDescent="0.3">
      <c r="B75">
        <v>25</v>
      </c>
      <c r="C75">
        <v>25</v>
      </c>
      <c r="D75">
        <v>25</v>
      </c>
      <c r="E75">
        <v>27.4</v>
      </c>
      <c r="F75">
        <v>27.78</v>
      </c>
      <c r="G75">
        <v>27.7</v>
      </c>
      <c r="H75">
        <v>25.4</v>
      </c>
      <c r="I75">
        <v>27.5</v>
      </c>
      <c r="L75">
        <v>25.6</v>
      </c>
      <c r="M75">
        <v>27.1</v>
      </c>
    </row>
    <row r="76" spans="2:13" x14ac:dyDescent="0.3">
      <c r="B76">
        <v>25</v>
      </c>
      <c r="C76">
        <v>25</v>
      </c>
      <c r="D76">
        <v>25</v>
      </c>
      <c r="E76">
        <v>27.3</v>
      </c>
      <c r="F76">
        <v>27.78</v>
      </c>
      <c r="G76">
        <v>27.78</v>
      </c>
      <c r="H76">
        <v>25.5</v>
      </c>
      <c r="I76">
        <v>27.4</v>
      </c>
      <c r="L76">
        <v>25.4</v>
      </c>
      <c r="M76">
        <v>27.2</v>
      </c>
    </row>
    <row r="77" spans="2:13" x14ac:dyDescent="0.3">
      <c r="B77">
        <v>25</v>
      </c>
      <c r="C77">
        <v>25</v>
      </c>
      <c r="D77">
        <v>25</v>
      </c>
      <c r="E77">
        <v>27.2</v>
      </c>
      <c r="F77">
        <v>27.78</v>
      </c>
      <c r="G77">
        <v>27.78</v>
      </c>
      <c r="H77">
        <v>25.6</v>
      </c>
      <c r="I77">
        <v>27.3</v>
      </c>
      <c r="L77">
        <v>25.2</v>
      </c>
      <c r="M77">
        <v>27</v>
      </c>
    </row>
    <row r="78" spans="2:13" x14ac:dyDescent="0.3">
      <c r="B78">
        <v>25</v>
      </c>
      <c r="C78">
        <v>25</v>
      </c>
      <c r="D78">
        <v>25</v>
      </c>
      <c r="E78">
        <v>27.1</v>
      </c>
      <c r="F78">
        <v>27.78</v>
      </c>
      <c r="G78">
        <v>27.78</v>
      </c>
      <c r="H78">
        <v>25.7</v>
      </c>
      <c r="I78">
        <v>27.2</v>
      </c>
      <c r="L78">
        <v>25</v>
      </c>
      <c r="M78">
        <v>26.8</v>
      </c>
    </row>
    <row r="79" spans="2:13" x14ac:dyDescent="0.3">
      <c r="B79">
        <v>25</v>
      </c>
      <c r="C79">
        <v>25</v>
      </c>
      <c r="D79">
        <v>25</v>
      </c>
      <c r="E79">
        <v>27</v>
      </c>
      <c r="F79">
        <v>27.78</v>
      </c>
      <c r="G79">
        <v>27.78</v>
      </c>
      <c r="H79">
        <v>25.8</v>
      </c>
      <c r="I79">
        <v>27.1</v>
      </c>
      <c r="L79">
        <v>25.2</v>
      </c>
      <c r="M79">
        <v>27</v>
      </c>
    </row>
    <row r="80" spans="2:13" x14ac:dyDescent="0.3">
      <c r="B80">
        <v>25</v>
      </c>
      <c r="C80">
        <v>25</v>
      </c>
      <c r="D80">
        <v>25</v>
      </c>
      <c r="E80">
        <v>26.9</v>
      </c>
      <c r="F80">
        <v>27.78</v>
      </c>
      <c r="G80">
        <v>27.78</v>
      </c>
      <c r="H80">
        <v>25.9</v>
      </c>
      <c r="I80">
        <v>27</v>
      </c>
      <c r="L80">
        <v>25</v>
      </c>
      <c r="M80">
        <v>27.2</v>
      </c>
    </row>
    <row r="81" spans="2:13" x14ac:dyDescent="0.3">
      <c r="B81">
        <v>25</v>
      </c>
      <c r="C81">
        <v>25.1</v>
      </c>
      <c r="D81">
        <v>25</v>
      </c>
      <c r="E81">
        <v>26.7</v>
      </c>
      <c r="F81">
        <v>27.78</v>
      </c>
      <c r="G81">
        <v>27.78</v>
      </c>
      <c r="H81">
        <v>26</v>
      </c>
      <c r="I81">
        <v>26.9</v>
      </c>
      <c r="L81">
        <v>25</v>
      </c>
      <c r="M81">
        <v>27</v>
      </c>
    </row>
    <row r="82" spans="2:13" x14ac:dyDescent="0.3">
      <c r="B82">
        <v>25</v>
      </c>
      <c r="C82">
        <v>25.2</v>
      </c>
      <c r="D82">
        <v>25</v>
      </c>
      <c r="E82">
        <v>26.5</v>
      </c>
      <c r="F82">
        <v>27.78</v>
      </c>
      <c r="G82">
        <v>27.78</v>
      </c>
      <c r="H82">
        <v>26.1</v>
      </c>
      <c r="I82">
        <v>26.8</v>
      </c>
      <c r="L82">
        <v>25</v>
      </c>
      <c r="M82">
        <v>27.2</v>
      </c>
    </row>
    <row r="83" spans="2:13" x14ac:dyDescent="0.3">
      <c r="B83">
        <v>25</v>
      </c>
      <c r="C83">
        <v>25.3</v>
      </c>
      <c r="D83">
        <v>25</v>
      </c>
      <c r="E83">
        <v>26.4</v>
      </c>
      <c r="F83">
        <v>27.78</v>
      </c>
      <c r="G83">
        <v>27.78</v>
      </c>
      <c r="H83">
        <v>26.2</v>
      </c>
      <c r="I83">
        <v>26.7</v>
      </c>
      <c r="L83">
        <v>25</v>
      </c>
      <c r="M83">
        <v>27</v>
      </c>
    </row>
    <row r="84" spans="2:13" x14ac:dyDescent="0.3">
      <c r="B84">
        <v>25</v>
      </c>
      <c r="C84">
        <v>25.4</v>
      </c>
      <c r="D84">
        <v>25</v>
      </c>
      <c r="E84">
        <v>26.3</v>
      </c>
      <c r="F84">
        <v>27.78</v>
      </c>
      <c r="G84">
        <v>27.78</v>
      </c>
      <c r="H84">
        <v>26.3</v>
      </c>
      <c r="I84">
        <v>26.6</v>
      </c>
      <c r="L84">
        <v>25</v>
      </c>
      <c r="M84">
        <v>26.8</v>
      </c>
    </row>
    <row r="85" spans="2:13" x14ac:dyDescent="0.3">
      <c r="B85">
        <v>25</v>
      </c>
      <c r="C85">
        <v>25.5</v>
      </c>
      <c r="D85">
        <v>25</v>
      </c>
      <c r="E85">
        <v>26.2</v>
      </c>
      <c r="F85">
        <v>27.78</v>
      </c>
      <c r="G85">
        <v>27.78</v>
      </c>
      <c r="H85">
        <v>26.4</v>
      </c>
      <c r="I85">
        <v>26.4</v>
      </c>
      <c r="L85">
        <v>25</v>
      </c>
      <c r="M85">
        <v>26.6</v>
      </c>
    </row>
    <row r="86" spans="2:13" x14ac:dyDescent="0.3">
      <c r="B86">
        <v>25</v>
      </c>
      <c r="C86">
        <v>25.6</v>
      </c>
      <c r="D86">
        <v>25</v>
      </c>
      <c r="E86">
        <v>26.1</v>
      </c>
      <c r="F86">
        <v>27.78</v>
      </c>
      <c r="G86">
        <v>27.78</v>
      </c>
      <c r="H86">
        <v>26.5</v>
      </c>
      <c r="I86">
        <v>26.3</v>
      </c>
      <c r="L86">
        <v>25</v>
      </c>
      <c r="M86">
        <v>26.4</v>
      </c>
    </row>
    <row r="87" spans="2:13" x14ac:dyDescent="0.3">
      <c r="B87">
        <v>25</v>
      </c>
      <c r="C87">
        <v>25.7</v>
      </c>
      <c r="D87">
        <v>25</v>
      </c>
      <c r="E87">
        <v>26</v>
      </c>
      <c r="F87">
        <v>27.78</v>
      </c>
      <c r="G87">
        <v>27.7</v>
      </c>
      <c r="H87">
        <v>26.6</v>
      </c>
      <c r="I87">
        <v>26.2</v>
      </c>
      <c r="L87">
        <v>25</v>
      </c>
      <c r="M87">
        <v>26.2</v>
      </c>
    </row>
    <row r="88" spans="2:13" x14ac:dyDescent="0.3">
      <c r="B88">
        <v>25</v>
      </c>
      <c r="C88">
        <v>25.8</v>
      </c>
      <c r="D88">
        <v>25</v>
      </c>
      <c r="E88">
        <v>25.9</v>
      </c>
      <c r="F88">
        <v>27.78</v>
      </c>
      <c r="G88">
        <v>27.6</v>
      </c>
      <c r="H88">
        <v>26.7</v>
      </c>
      <c r="I88">
        <v>26.1</v>
      </c>
      <c r="L88">
        <v>25.3</v>
      </c>
      <c r="M88">
        <v>25.9</v>
      </c>
    </row>
    <row r="89" spans="2:13" x14ac:dyDescent="0.3">
      <c r="B89">
        <v>25</v>
      </c>
      <c r="C89">
        <v>26</v>
      </c>
      <c r="D89">
        <v>25</v>
      </c>
      <c r="E89">
        <v>25.8</v>
      </c>
      <c r="F89">
        <v>27.78</v>
      </c>
      <c r="G89">
        <v>27.5</v>
      </c>
      <c r="H89">
        <v>26.8</v>
      </c>
      <c r="I89">
        <v>26</v>
      </c>
      <c r="L89">
        <v>25.4</v>
      </c>
      <c r="M89">
        <v>25.6</v>
      </c>
    </row>
    <row r="90" spans="2:13" x14ac:dyDescent="0.3">
      <c r="B90">
        <v>25</v>
      </c>
      <c r="C90">
        <v>26.2</v>
      </c>
      <c r="D90">
        <v>25</v>
      </c>
      <c r="E90">
        <v>25.7</v>
      </c>
      <c r="F90">
        <v>27.78</v>
      </c>
      <c r="G90">
        <v>27.4</v>
      </c>
      <c r="H90">
        <v>26.9</v>
      </c>
      <c r="I90">
        <v>25.9</v>
      </c>
      <c r="L90">
        <v>25.3</v>
      </c>
      <c r="M90">
        <v>25.4</v>
      </c>
    </row>
    <row r="91" spans="2:13" x14ac:dyDescent="0.3">
      <c r="B91">
        <v>25</v>
      </c>
      <c r="C91">
        <v>26.4</v>
      </c>
      <c r="D91">
        <v>25</v>
      </c>
      <c r="E91">
        <v>25.7</v>
      </c>
      <c r="F91">
        <v>27.78</v>
      </c>
      <c r="G91">
        <v>27.3</v>
      </c>
      <c r="H91">
        <v>27</v>
      </c>
      <c r="I91">
        <v>25.8</v>
      </c>
      <c r="L91">
        <v>25.3</v>
      </c>
      <c r="M91">
        <v>25.2</v>
      </c>
    </row>
    <row r="92" spans="2:13" x14ac:dyDescent="0.3">
      <c r="B92">
        <v>25</v>
      </c>
      <c r="C92">
        <v>26.5</v>
      </c>
      <c r="D92">
        <v>25</v>
      </c>
      <c r="E92">
        <v>25.7</v>
      </c>
      <c r="F92">
        <v>27.78</v>
      </c>
      <c r="G92">
        <v>27.2</v>
      </c>
      <c r="H92">
        <v>27.1</v>
      </c>
      <c r="I92">
        <v>25.7</v>
      </c>
      <c r="L92">
        <v>25.3</v>
      </c>
      <c r="M92">
        <v>25</v>
      </c>
    </row>
    <row r="93" spans="2:13" x14ac:dyDescent="0.3">
      <c r="B93">
        <v>25</v>
      </c>
      <c r="C93">
        <v>26.7</v>
      </c>
      <c r="D93">
        <v>25</v>
      </c>
      <c r="E93">
        <v>25.7</v>
      </c>
      <c r="F93">
        <v>27.78</v>
      </c>
      <c r="G93">
        <v>27.1</v>
      </c>
      <c r="H93">
        <v>27.2</v>
      </c>
      <c r="I93">
        <v>25.7</v>
      </c>
      <c r="L93">
        <v>25.3</v>
      </c>
      <c r="M93">
        <v>25</v>
      </c>
    </row>
    <row r="94" spans="2:13" x14ac:dyDescent="0.3">
      <c r="B94">
        <v>25</v>
      </c>
      <c r="C94">
        <v>26.8</v>
      </c>
      <c r="D94">
        <v>25</v>
      </c>
      <c r="E94">
        <v>25.7</v>
      </c>
      <c r="F94">
        <v>27.78</v>
      </c>
      <c r="G94">
        <v>27</v>
      </c>
      <c r="H94">
        <v>27.3</v>
      </c>
      <c r="I94">
        <v>25.7</v>
      </c>
      <c r="L94">
        <v>25.3</v>
      </c>
      <c r="M94">
        <v>25.2</v>
      </c>
    </row>
    <row r="95" spans="2:13" x14ac:dyDescent="0.3">
      <c r="B95">
        <v>25</v>
      </c>
      <c r="C95">
        <v>26.9</v>
      </c>
      <c r="D95">
        <v>25</v>
      </c>
      <c r="E95">
        <v>25.7</v>
      </c>
      <c r="F95">
        <v>27.78</v>
      </c>
      <c r="G95">
        <v>26.9</v>
      </c>
      <c r="H95">
        <v>27.4</v>
      </c>
      <c r="I95">
        <v>25.7</v>
      </c>
      <c r="L95">
        <v>25.3</v>
      </c>
      <c r="M95">
        <v>25</v>
      </c>
    </row>
    <row r="96" spans="2:13" x14ac:dyDescent="0.3">
      <c r="B96">
        <v>25</v>
      </c>
      <c r="C96">
        <v>27</v>
      </c>
      <c r="D96">
        <v>25</v>
      </c>
      <c r="E96">
        <v>25.7</v>
      </c>
      <c r="F96">
        <v>27.78</v>
      </c>
      <c r="G96">
        <v>26.8</v>
      </c>
      <c r="H96">
        <v>27.5</v>
      </c>
      <c r="I96">
        <v>25.7</v>
      </c>
      <c r="L96">
        <v>25.3</v>
      </c>
      <c r="M96">
        <v>25.2</v>
      </c>
    </row>
    <row r="97" spans="2:13" x14ac:dyDescent="0.3">
      <c r="B97">
        <v>25</v>
      </c>
      <c r="C97">
        <v>27.1</v>
      </c>
      <c r="D97">
        <v>25</v>
      </c>
      <c r="E97">
        <v>25.8</v>
      </c>
      <c r="F97">
        <v>27.78</v>
      </c>
      <c r="G97">
        <v>26.7</v>
      </c>
      <c r="H97">
        <v>27.6</v>
      </c>
      <c r="I97">
        <v>25.8</v>
      </c>
      <c r="L97">
        <v>25.3</v>
      </c>
      <c r="M97">
        <v>25.1</v>
      </c>
    </row>
    <row r="98" spans="2:13" x14ac:dyDescent="0.3">
      <c r="B98">
        <v>25</v>
      </c>
      <c r="C98">
        <v>27.2</v>
      </c>
      <c r="D98">
        <v>25</v>
      </c>
      <c r="E98">
        <v>25.9</v>
      </c>
      <c r="F98">
        <v>27.78</v>
      </c>
      <c r="G98">
        <v>26.6</v>
      </c>
      <c r="H98">
        <v>27.7</v>
      </c>
      <c r="I98">
        <v>25.9</v>
      </c>
      <c r="L98">
        <v>25.3</v>
      </c>
      <c r="M98">
        <v>25</v>
      </c>
    </row>
    <row r="99" spans="2:13" x14ac:dyDescent="0.3">
      <c r="B99">
        <v>25</v>
      </c>
      <c r="C99">
        <v>27.3</v>
      </c>
      <c r="D99">
        <v>25</v>
      </c>
      <c r="E99">
        <v>26</v>
      </c>
      <c r="F99">
        <v>27.78</v>
      </c>
      <c r="G99">
        <v>26.5</v>
      </c>
      <c r="H99">
        <v>27.78</v>
      </c>
      <c r="I99">
        <v>26</v>
      </c>
      <c r="L99">
        <v>25.3</v>
      </c>
      <c r="M99">
        <v>25</v>
      </c>
    </row>
    <row r="100" spans="2:13" x14ac:dyDescent="0.3">
      <c r="B100">
        <v>25</v>
      </c>
      <c r="C100">
        <v>27.4</v>
      </c>
      <c r="D100">
        <v>25</v>
      </c>
      <c r="E100">
        <v>26.1</v>
      </c>
      <c r="F100">
        <v>27.78</v>
      </c>
      <c r="G100">
        <v>26.4</v>
      </c>
      <c r="H100">
        <v>27.78</v>
      </c>
      <c r="I100">
        <v>26.1</v>
      </c>
      <c r="L100">
        <v>25.3</v>
      </c>
      <c r="M100">
        <v>25</v>
      </c>
    </row>
    <row r="101" spans="2:13" x14ac:dyDescent="0.3">
      <c r="B101">
        <v>25</v>
      </c>
      <c r="C101">
        <v>27.5</v>
      </c>
      <c r="D101">
        <v>25</v>
      </c>
      <c r="E101">
        <v>26.2</v>
      </c>
      <c r="F101">
        <v>27.78</v>
      </c>
      <c r="G101">
        <v>26.3</v>
      </c>
      <c r="H101">
        <v>27.78</v>
      </c>
      <c r="I101">
        <v>26.2</v>
      </c>
      <c r="L101">
        <v>25.3</v>
      </c>
      <c r="M101">
        <v>25.1</v>
      </c>
    </row>
    <row r="102" spans="2:13" x14ac:dyDescent="0.3">
      <c r="B102">
        <v>25</v>
      </c>
      <c r="C102">
        <v>27.6</v>
      </c>
      <c r="D102">
        <v>25</v>
      </c>
      <c r="E102">
        <v>26.3</v>
      </c>
      <c r="F102">
        <v>27.78</v>
      </c>
      <c r="G102">
        <v>26.2</v>
      </c>
      <c r="H102">
        <v>27.78</v>
      </c>
      <c r="I102">
        <v>26.3</v>
      </c>
      <c r="L102">
        <v>25.3</v>
      </c>
      <c r="M102">
        <v>25.2</v>
      </c>
    </row>
    <row r="103" spans="2:13" x14ac:dyDescent="0.3">
      <c r="B103">
        <v>25</v>
      </c>
      <c r="C103">
        <v>27.7</v>
      </c>
      <c r="D103">
        <v>25</v>
      </c>
      <c r="E103">
        <v>26.4</v>
      </c>
      <c r="F103">
        <v>27.78</v>
      </c>
      <c r="G103">
        <v>26.1</v>
      </c>
      <c r="H103">
        <v>27.78</v>
      </c>
      <c r="I103">
        <v>26.4</v>
      </c>
      <c r="L103">
        <v>25.3</v>
      </c>
      <c r="M103">
        <v>25.1</v>
      </c>
    </row>
    <row r="104" spans="2:13" x14ac:dyDescent="0.3">
      <c r="B104">
        <v>25</v>
      </c>
      <c r="C104">
        <v>27.78</v>
      </c>
      <c r="D104">
        <v>25</v>
      </c>
      <c r="E104">
        <v>26.5</v>
      </c>
      <c r="F104">
        <v>27.78</v>
      </c>
      <c r="G104">
        <v>26.1</v>
      </c>
      <c r="H104">
        <v>27.78</v>
      </c>
      <c r="I104">
        <v>26.5</v>
      </c>
      <c r="L104">
        <v>25.3</v>
      </c>
      <c r="M104">
        <v>25</v>
      </c>
    </row>
    <row r="105" spans="2:13" x14ac:dyDescent="0.3">
      <c r="B105">
        <v>25</v>
      </c>
      <c r="C105">
        <v>27.78</v>
      </c>
      <c r="D105">
        <v>25</v>
      </c>
      <c r="E105">
        <v>26.6</v>
      </c>
      <c r="F105">
        <v>27.78</v>
      </c>
      <c r="G105">
        <v>26.1</v>
      </c>
      <c r="H105">
        <v>27.78</v>
      </c>
      <c r="I105">
        <v>26.6</v>
      </c>
      <c r="L105">
        <v>25.3</v>
      </c>
      <c r="M105">
        <v>25</v>
      </c>
    </row>
    <row r="106" spans="2:13" x14ac:dyDescent="0.3">
      <c r="B106">
        <v>25</v>
      </c>
      <c r="C106">
        <v>27.78</v>
      </c>
      <c r="D106">
        <v>25</v>
      </c>
      <c r="E106">
        <v>26.7</v>
      </c>
      <c r="F106">
        <v>27.78</v>
      </c>
      <c r="G106">
        <v>26.1</v>
      </c>
      <c r="H106">
        <v>27.78</v>
      </c>
      <c r="I106">
        <v>26.7</v>
      </c>
      <c r="L106">
        <v>25.3</v>
      </c>
      <c r="M106">
        <v>25</v>
      </c>
    </row>
    <row r="107" spans="2:13" x14ac:dyDescent="0.3">
      <c r="B107">
        <v>25</v>
      </c>
      <c r="C107">
        <v>27.78</v>
      </c>
      <c r="D107">
        <v>25</v>
      </c>
      <c r="E107">
        <v>26.8</v>
      </c>
      <c r="F107">
        <v>27.78</v>
      </c>
      <c r="G107">
        <v>26.1</v>
      </c>
      <c r="H107">
        <v>27.78</v>
      </c>
      <c r="I107">
        <v>26.8</v>
      </c>
      <c r="L107">
        <v>25.4</v>
      </c>
      <c r="M107">
        <v>25</v>
      </c>
    </row>
    <row r="108" spans="2:13" x14ac:dyDescent="0.3">
      <c r="B108">
        <v>25</v>
      </c>
      <c r="C108">
        <v>27.78</v>
      </c>
      <c r="D108">
        <v>25</v>
      </c>
      <c r="E108">
        <v>26.9</v>
      </c>
      <c r="F108">
        <v>27.78</v>
      </c>
      <c r="G108">
        <v>26.1</v>
      </c>
      <c r="H108">
        <v>27.78</v>
      </c>
      <c r="I108">
        <v>26.9</v>
      </c>
      <c r="L108">
        <v>25.3</v>
      </c>
      <c r="M108">
        <v>25</v>
      </c>
    </row>
    <row r="109" spans="2:13" x14ac:dyDescent="0.3">
      <c r="B109">
        <v>25</v>
      </c>
      <c r="C109">
        <v>27.78</v>
      </c>
      <c r="D109">
        <v>25</v>
      </c>
      <c r="E109">
        <v>27.1</v>
      </c>
      <c r="F109">
        <v>27.78</v>
      </c>
      <c r="G109">
        <v>26.1</v>
      </c>
      <c r="H109">
        <v>27.78</v>
      </c>
      <c r="I109">
        <v>27</v>
      </c>
      <c r="L109">
        <v>25.1</v>
      </c>
      <c r="M109">
        <v>25</v>
      </c>
    </row>
    <row r="110" spans="2:13" x14ac:dyDescent="0.3">
      <c r="B110">
        <v>25</v>
      </c>
      <c r="C110">
        <v>27.78</v>
      </c>
      <c r="D110">
        <v>25</v>
      </c>
      <c r="E110">
        <v>27.2</v>
      </c>
      <c r="F110">
        <v>27.78</v>
      </c>
      <c r="G110">
        <v>26.1</v>
      </c>
      <c r="H110">
        <v>27.78</v>
      </c>
      <c r="I110">
        <v>27.1</v>
      </c>
      <c r="L110">
        <v>25</v>
      </c>
      <c r="M110">
        <v>25</v>
      </c>
    </row>
    <row r="111" spans="2:13" x14ac:dyDescent="0.3">
      <c r="B111">
        <v>25</v>
      </c>
      <c r="C111">
        <v>27.78</v>
      </c>
      <c r="D111">
        <v>25</v>
      </c>
      <c r="E111">
        <v>27.3</v>
      </c>
      <c r="F111">
        <v>27.78</v>
      </c>
      <c r="G111">
        <v>26.1</v>
      </c>
      <c r="H111">
        <v>27.78</v>
      </c>
      <c r="I111">
        <v>27.2</v>
      </c>
      <c r="L111">
        <v>25</v>
      </c>
      <c r="M111">
        <v>25</v>
      </c>
    </row>
    <row r="112" spans="2:13" x14ac:dyDescent="0.3">
      <c r="B112">
        <v>25</v>
      </c>
      <c r="C112">
        <v>27.7</v>
      </c>
      <c r="D112">
        <v>25</v>
      </c>
      <c r="E112">
        <v>27.4</v>
      </c>
      <c r="F112">
        <v>27.78</v>
      </c>
      <c r="G112">
        <v>26.1</v>
      </c>
      <c r="H112">
        <v>27.78</v>
      </c>
      <c r="I112">
        <v>27.3</v>
      </c>
      <c r="L112">
        <v>25</v>
      </c>
      <c r="M112">
        <v>25</v>
      </c>
    </row>
    <row r="113" spans="2:13" x14ac:dyDescent="0.3">
      <c r="B113">
        <v>25</v>
      </c>
      <c r="C113">
        <v>27.6</v>
      </c>
      <c r="D113">
        <v>25</v>
      </c>
      <c r="E113">
        <v>27.5</v>
      </c>
      <c r="F113">
        <v>27.78</v>
      </c>
      <c r="G113">
        <v>26.2</v>
      </c>
      <c r="H113">
        <v>27.78</v>
      </c>
      <c r="I113">
        <v>27.4</v>
      </c>
      <c r="L113">
        <v>25</v>
      </c>
      <c r="M113">
        <v>25</v>
      </c>
    </row>
    <row r="114" spans="2:13" x14ac:dyDescent="0.3">
      <c r="B114">
        <v>25</v>
      </c>
      <c r="C114">
        <v>27.5</v>
      </c>
      <c r="D114">
        <v>25</v>
      </c>
      <c r="E114">
        <v>27.6</v>
      </c>
      <c r="F114">
        <v>27.78</v>
      </c>
      <c r="G114">
        <v>26.3</v>
      </c>
      <c r="H114">
        <v>27.78</v>
      </c>
      <c r="I114">
        <v>27.5</v>
      </c>
      <c r="L114">
        <v>25</v>
      </c>
      <c r="M114">
        <v>25</v>
      </c>
    </row>
    <row r="115" spans="2:13" x14ac:dyDescent="0.3">
      <c r="B115">
        <v>25</v>
      </c>
      <c r="C115">
        <v>27.4</v>
      </c>
      <c r="D115">
        <v>25</v>
      </c>
      <c r="E115">
        <v>27.7</v>
      </c>
      <c r="F115">
        <v>27.78</v>
      </c>
      <c r="G115">
        <v>26.4</v>
      </c>
      <c r="H115">
        <v>27.78</v>
      </c>
      <c r="I115">
        <v>27.6</v>
      </c>
      <c r="L115">
        <v>25</v>
      </c>
      <c r="M115">
        <v>25</v>
      </c>
    </row>
    <row r="116" spans="2:13" x14ac:dyDescent="0.3">
      <c r="B116">
        <v>25</v>
      </c>
      <c r="C116">
        <v>27.3</v>
      </c>
      <c r="D116">
        <v>25</v>
      </c>
      <c r="E116">
        <v>27.78</v>
      </c>
      <c r="F116">
        <v>27.78</v>
      </c>
      <c r="G116">
        <v>26.5</v>
      </c>
      <c r="H116">
        <v>27.78</v>
      </c>
      <c r="I116">
        <v>27.7</v>
      </c>
      <c r="L116">
        <v>25</v>
      </c>
      <c r="M116">
        <v>25</v>
      </c>
    </row>
    <row r="117" spans="2:13" x14ac:dyDescent="0.3">
      <c r="B117">
        <v>25</v>
      </c>
      <c r="C117">
        <v>27.2</v>
      </c>
      <c r="D117">
        <v>25</v>
      </c>
      <c r="E117">
        <v>27.78</v>
      </c>
      <c r="F117">
        <v>27.78</v>
      </c>
      <c r="G117">
        <v>26.6</v>
      </c>
      <c r="H117">
        <v>27.78</v>
      </c>
      <c r="I117">
        <v>27.78</v>
      </c>
      <c r="L117">
        <v>25</v>
      </c>
      <c r="M117">
        <v>25</v>
      </c>
    </row>
    <row r="118" spans="2:13" x14ac:dyDescent="0.3">
      <c r="B118">
        <v>25</v>
      </c>
      <c r="C118">
        <v>27.1</v>
      </c>
      <c r="D118">
        <v>25</v>
      </c>
      <c r="E118">
        <v>27.78</v>
      </c>
      <c r="F118">
        <v>27.78</v>
      </c>
      <c r="G118">
        <v>26.7</v>
      </c>
      <c r="H118">
        <v>27.78</v>
      </c>
      <c r="I118">
        <v>27.78</v>
      </c>
      <c r="L118">
        <v>25</v>
      </c>
      <c r="M118">
        <v>25</v>
      </c>
    </row>
    <row r="119" spans="2:13" x14ac:dyDescent="0.3">
      <c r="B119">
        <v>25</v>
      </c>
      <c r="C119">
        <v>27</v>
      </c>
      <c r="D119">
        <v>25</v>
      </c>
      <c r="E119">
        <v>27.78</v>
      </c>
      <c r="F119">
        <v>27.78</v>
      </c>
      <c r="G119">
        <v>26.8</v>
      </c>
      <c r="H119">
        <v>27.78</v>
      </c>
      <c r="I119">
        <v>27.78</v>
      </c>
      <c r="L119">
        <v>25</v>
      </c>
      <c r="M119">
        <v>25</v>
      </c>
    </row>
    <row r="120" spans="2:13" x14ac:dyDescent="0.3">
      <c r="B120">
        <v>25</v>
      </c>
      <c r="C120">
        <v>26.9</v>
      </c>
      <c r="D120">
        <v>25</v>
      </c>
      <c r="E120">
        <v>27.78</v>
      </c>
      <c r="F120">
        <v>27.78</v>
      </c>
      <c r="G120">
        <v>26.9</v>
      </c>
      <c r="H120">
        <v>27.78</v>
      </c>
      <c r="I120">
        <v>27.78</v>
      </c>
      <c r="L120">
        <v>25.2</v>
      </c>
      <c r="M120">
        <v>25</v>
      </c>
    </row>
    <row r="121" spans="2:13" x14ac:dyDescent="0.3">
      <c r="B121">
        <v>25</v>
      </c>
      <c r="C121">
        <v>26.7</v>
      </c>
      <c r="D121">
        <v>25</v>
      </c>
      <c r="E121">
        <v>27.78</v>
      </c>
      <c r="F121">
        <v>27.78</v>
      </c>
      <c r="G121">
        <v>27</v>
      </c>
      <c r="H121">
        <v>27.78</v>
      </c>
      <c r="I121">
        <v>27.78</v>
      </c>
      <c r="L121">
        <v>25</v>
      </c>
      <c r="M121">
        <v>25.2</v>
      </c>
    </row>
    <row r="122" spans="2:13" x14ac:dyDescent="0.3">
      <c r="B122">
        <v>25</v>
      </c>
      <c r="C122">
        <v>26.6</v>
      </c>
      <c r="D122">
        <v>25</v>
      </c>
      <c r="E122">
        <v>27.78</v>
      </c>
      <c r="F122">
        <v>27.78</v>
      </c>
      <c r="G122">
        <v>27.1</v>
      </c>
      <c r="H122">
        <v>27.78</v>
      </c>
      <c r="I122">
        <v>27.78</v>
      </c>
      <c r="L122">
        <v>25.2</v>
      </c>
      <c r="M122">
        <v>25.4</v>
      </c>
    </row>
    <row r="123" spans="2:13" x14ac:dyDescent="0.3">
      <c r="B123">
        <v>25</v>
      </c>
      <c r="C123">
        <v>26.5</v>
      </c>
      <c r="D123">
        <v>25</v>
      </c>
      <c r="E123">
        <v>27.78</v>
      </c>
      <c r="F123">
        <v>27.78</v>
      </c>
      <c r="G123">
        <v>27.2</v>
      </c>
      <c r="H123">
        <v>27.78</v>
      </c>
      <c r="I123">
        <v>27.78</v>
      </c>
      <c r="L123">
        <v>25.2</v>
      </c>
      <c r="M123">
        <v>25.4</v>
      </c>
    </row>
    <row r="124" spans="2:13" x14ac:dyDescent="0.3">
      <c r="B124">
        <v>25</v>
      </c>
      <c r="C124">
        <v>26.4</v>
      </c>
      <c r="D124">
        <v>25</v>
      </c>
      <c r="E124">
        <v>27.78</v>
      </c>
      <c r="F124">
        <v>27.78</v>
      </c>
      <c r="G124">
        <v>27.3</v>
      </c>
      <c r="H124">
        <v>27.78</v>
      </c>
      <c r="I124">
        <v>27.78</v>
      </c>
      <c r="L124">
        <v>25</v>
      </c>
      <c r="M124">
        <v>25.7</v>
      </c>
    </row>
    <row r="125" spans="2:13" x14ac:dyDescent="0.3">
      <c r="B125">
        <v>25</v>
      </c>
      <c r="C125">
        <v>26.2</v>
      </c>
      <c r="D125">
        <v>25</v>
      </c>
      <c r="E125">
        <v>27.7</v>
      </c>
      <c r="F125">
        <v>27.78</v>
      </c>
      <c r="G125">
        <v>27.4</v>
      </c>
      <c r="H125">
        <v>27.78</v>
      </c>
      <c r="I125">
        <v>27.78</v>
      </c>
      <c r="L125">
        <v>25</v>
      </c>
      <c r="M125">
        <v>25.9</v>
      </c>
    </row>
    <row r="126" spans="2:13" x14ac:dyDescent="0.3">
      <c r="B126">
        <v>25</v>
      </c>
      <c r="C126">
        <v>26</v>
      </c>
      <c r="D126">
        <v>25</v>
      </c>
      <c r="E126">
        <v>27.6</v>
      </c>
      <c r="F126">
        <v>27.78</v>
      </c>
      <c r="G126">
        <v>27.5</v>
      </c>
      <c r="H126">
        <v>27.78</v>
      </c>
      <c r="I126">
        <v>27.78</v>
      </c>
      <c r="L126">
        <v>25.2</v>
      </c>
      <c r="M126">
        <v>26.2</v>
      </c>
    </row>
    <row r="127" spans="2:13" x14ac:dyDescent="0.3">
      <c r="B127">
        <v>25</v>
      </c>
      <c r="C127">
        <v>25.9</v>
      </c>
      <c r="D127">
        <v>25</v>
      </c>
      <c r="E127">
        <v>27.5</v>
      </c>
      <c r="F127">
        <v>27.78</v>
      </c>
      <c r="G127">
        <v>27.6</v>
      </c>
      <c r="H127">
        <v>27.78</v>
      </c>
      <c r="I127">
        <v>27.7</v>
      </c>
      <c r="L127">
        <v>25.2</v>
      </c>
      <c r="M127">
        <v>26.3</v>
      </c>
    </row>
    <row r="128" spans="2:13" x14ac:dyDescent="0.3">
      <c r="B128">
        <v>25</v>
      </c>
      <c r="C128">
        <v>25.8</v>
      </c>
      <c r="D128">
        <v>25</v>
      </c>
      <c r="E128">
        <v>27.4</v>
      </c>
      <c r="F128">
        <v>27.78</v>
      </c>
      <c r="G128">
        <v>27.7</v>
      </c>
      <c r="H128">
        <v>27.78</v>
      </c>
      <c r="I128">
        <v>27.6</v>
      </c>
      <c r="L128">
        <v>25.2</v>
      </c>
      <c r="M128">
        <v>26.4</v>
      </c>
    </row>
    <row r="129" spans="2:13" x14ac:dyDescent="0.3">
      <c r="B129">
        <v>25</v>
      </c>
      <c r="C129">
        <v>25.7</v>
      </c>
      <c r="D129">
        <v>25</v>
      </c>
      <c r="E129">
        <v>27.3</v>
      </c>
      <c r="F129">
        <v>27.78</v>
      </c>
      <c r="G129">
        <v>27.78</v>
      </c>
      <c r="H129">
        <v>27.78</v>
      </c>
      <c r="I129">
        <v>27.5</v>
      </c>
      <c r="L129">
        <v>25.5</v>
      </c>
      <c r="M129">
        <v>26.7</v>
      </c>
    </row>
    <row r="130" spans="2:13" x14ac:dyDescent="0.3">
      <c r="B130">
        <v>25</v>
      </c>
      <c r="C130">
        <v>25.6</v>
      </c>
      <c r="D130">
        <v>25</v>
      </c>
      <c r="E130">
        <v>27.2</v>
      </c>
      <c r="F130">
        <v>27.78</v>
      </c>
      <c r="G130">
        <v>27.78</v>
      </c>
      <c r="H130">
        <v>27.78</v>
      </c>
      <c r="I130">
        <v>27.4</v>
      </c>
      <c r="L130">
        <v>25.8</v>
      </c>
      <c r="M130">
        <v>27</v>
      </c>
    </row>
    <row r="131" spans="2:13" x14ac:dyDescent="0.3">
      <c r="B131">
        <v>25</v>
      </c>
      <c r="C131">
        <v>25.5</v>
      </c>
      <c r="D131">
        <v>25</v>
      </c>
      <c r="E131">
        <v>27.1</v>
      </c>
      <c r="F131">
        <v>27.78</v>
      </c>
      <c r="G131">
        <v>27.78</v>
      </c>
      <c r="H131">
        <v>27.78</v>
      </c>
      <c r="I131">
        <v>27.3</v>
      </c>
      <c r="L131">
        <v>25.8</v>
      </c>
      <c r="M131">
        <v>27.1</v>
      </c>
    </row>
    <row r="132" spans="2:13" x14ac:dyDescent="0.3">
      <c r="B132">
        <v>25</v>
      </c>
      <c r="C132">
        <v>25.4</v>
      </c>
      <c r="D132">
        <v>25</v>
      </c>
      <c r="E132">
        <v>27</v>
      </c>
      <c r="F132">
        <v>27.78</v>
      </c>
      <c r="G132">
        <v>27.78</v>
      </c>
      <c r="H132">
        <v>27.78</v>
      </c>
      <c r="I132">
        <v>27.2</v>
      </c>
      <c r="L132">
        <v>25.6</v>
      </c>
      <c r="M132">
        <v>27.2</v>
      </c>
    </row>
    <row r="133" spans="2:13" x14ac:dyDescent="0.3">
      <c r="B133">
        <v>25</v>
      </c>
      <c r="C133">
        <v>25.3</v>
      </c>
      <c r="D133">
        <v>25</v>
      </c>
      <c r="E133">
        <v>26.9</v>
      </c>
      <c r="F133">
        <v>27.78</v>
      </c>
      <c r="G133">
        <v>27.78</v>
      </c>
      <c r="H133">
        <v>27.78</v>
      </c>
      <c r="I133">
        <v>27</v>
      </c>
      <c r="L133">
        <v>25.4</v>
      </c>
      <c r="M133">
        <v>27</v>
      </c>
    </row>
    <row r="134" spans="2:13" x14ac:dyDescent="0.3">
      <c r="B134">
        <v>25</v>
      </c>
      <c r="C134">
        <v>25.2</v>
      </c>
      <c r="D134">
        <v>25</v>
      </c>
      <c r="E134">
        <v>26.8</v>
      </c>
      <c r="F134">
        <v>27.78</v>
      </c>
      <c r="G134">
        <v>27.78</v>
      </c>
      <c r="H134">
        <v>27.78</v>
      </c>
      <c r="I134">
        <v>26.9</v>
      </c>
      <c r="L134">
        <v>25.2</v>
      </c>
      <c r="M134">
        <v>26.8</v>
      </c>
    </row>
    <row r="135" spans="2:13" x14ac:dyDescent="0.3">
      <c r="B135">
        <v>25</v>
      </c>
      <c r="C135">
        <v>25.1</v>
      </c>
      <c r="D135">
        <v>25</v>
      </c>
      <c r="E135">
        <v>26.7</v>
      </c>
      <c r="F135">
        <v>27.78</v>
      </c>
      <c r="G135">
        <v>27.78</v>
      </c>
      <c r="H135">
        <v>27.78</v>
      </c>
      <c r="I135">
        <v>26.8</v>
      </c>
      <c r="L135">
        <v>25.5</v>
      </c>
      <c r="M135">
        <v>27</v>
      </c>
    </row>
    <row r="136" spans="2:13" x14ac:dyDescent="0.3">
      <c r="B136">
        <v>25</v>
      </c>
      <c r="C136">
        <v>25</v>
      </c>
      <c r="D136">
        <v>25</v>
      </c>
      <c r="E136">
        <v>26.6</v>
      </c>
      <c r="F136">
        <v>27.78</v>
      </c>
      <c r="G136">
        <v>27.78</v>
      </c>
      <c r="H136">
        <v>27.78</v>
      </c>
      <c r="I136">
        <v>26.7</v>
      </c>
      <c r="L136">
        <v>25.8</v>
      </c>
      <c r="M136">
        <v>27.2</v>
      </c>
    </row>
    <row r="137" spans="2:13" x14ac:dyDescent="0.3">
      <c r="B137">
        <v>25</v>
      </c>
      <c r="C137">
        <v>25</v>
      </c>
      <c r="D137">
        <v>25</v>
      </c>
      <c r="E137">
        <v>26.5</v>
      </c>
      <c r="F137">
        <v>27.78</v>
      </c>
      <c r="G137">
        <v>27.78</v>
      </c>
      <c r="H137">
        <v>27.78</v>
      </c>
      <c r="I137">
        <v>26.5</v>
      </c>
      <c r="L137">
        <v>25.6</v>
      </c>
      <c r="M137">
        <v>27</v>
      </c>
    </row>
    <row r="138" spans="2:13" x14ac:dyDescent="0.3">
      <c r="B138">
        <v>25</v>
      </c>
      <c r="C138">
        <v>25</v>
      </c>
      <c r="D138">
        <v>25</v>
      </c>
      <c r="E138">
        <v>26.4</v>
      </c>
      <c r="F138">
        <v>27.78</v>
      </c>
      <c r="G138">
        <v>27.78</v>
      </c>
      <c r="H138">
        <v>27.78</v>
      </c>
      <c r="I138">
        <v>26.3</v>
      </c>
      <c r="L138">
        <v>25.4</v>
      </c>
      <c r="M138">
        <v>27.2</v>
      </c>
    </row>
    <row r="139" spans="2:13" x14ac:dyDescent="0.3">
      <c r="B139">
        <v>25</v>
      </c>
      <c r="C139">
        <v>25</v>
      </c>
      <c r="D139">
        <v>25</v>
      </c>
      <c r="E139">
        <v>26.3</v>
      </c>
      <c r="F139">
        <v>27.78</v>
      </c>
      <c r="G139">
        <v>27.78</v>
      </c>
      <c r="H139">
        <v>27.78</v>
      </c>
      <c r="I139">
        <v>26.1</v>
      </c>
      <c r="L139">
        <v>25.2</v>
      </c>
      <c r="M139">
        <v>27</v>
      </c>
    </row>
    <row r="140" spans="2:13" x14ac:dyDescent="0.3">
      <c r="B140">
        <v>25</v>
      </c>
      <c r="C140">
        <v>25</v>
      </c>
      <c r="D140">
        <v>25</v>
      </c>
      <c r="E140">
        <v>26.2</v>
      </c>
      <c r="F140">
        <v>27.78</v>
      </c>
      <c r="G140">
        <v>27.78</v>
      </c>
      <c r="H140">
        <v>27.78</v>
      </c>
      <c r="I140">
        <v>26</v>
      </c>
      <c r="L140">
        <v>25</v>
      </c>
      <c r="M140">
        <v>27.2</v>
      </c>
    </row>
    <row r="141" spans="2:13" x14ac:dyDescent="0.3">
      <c r="B141">
        <v>25</v>
      </c>
      <c r="C141">
        <v>25</v>
      </c>
      <c r="D141">
        <v>25</v>
      </c>
      <c r="E141">
        <v>26</v>
      </c>
      <c r="F141">
        <v>27.78</v>
      </c>
      <c r="G141">
        <v>27.78</v>
      </c>
      <c r="H141">
        <v>27.78</v>
      </c>
      <c r="I141">
        <v>25.8</v>
      </c>
      <c r="L141">
        <v>25.3</v>
      </c>
      <c r="M141">
        <v>27</v>
      </c>
    </row>
    <row r="142" spans="2:13" x14ac:dyDescent="0.3">
      <c r="B142">
        <v>25</v>
      </c>
      <c r="C142">
        <v>25</v>
      </c>
      <c r="D142">
        <v>25</v>
      </c>
      <c r="E142">
        <v>25.8</v>
      </c>
      <c r="F142">
        <v>27.78</v>
      </c>
      <c r="G142">
        <v>27.78</v>
      </c>
      <c r="H142">
        <v>27.78</v>
      </c>
      <c r="I142">
        <v>25.6</v>
      </c>
      <c r="L142">
        <v>25.6</v>
      </c>
      <c r="M142">
        <v>27.2</v>
      </c>
    </row>
    <row r="143" spans="2:13" x14ac:dyDescent="0.3">
      <c r="B143">
        <v>25</v>
      </c>
      <c r="C143">
        <v>25</v>
      </c>
      <c r="D143">
        <v>25</v>
      </c>
      <c r="E143">
        <v>25.6</v>
      </c>
      <c r="F143">
        <v>27.78</v>
      </c>
      <c r="G143">
        <v>27.78</v>
      </c>
      <c r="H143">
        <v>27.78</v>
      </c>
      <c r="I143">
        <v>25.4</v>
      </c>
      <c r="L143">
        <v>25.3</v>
      </c>
      <c r="M143">
        <v>27</v>
      </c>
    </row>
    <row r="144" spans="2:13" x14ac:dyDescent="0.3">
      <c r="B144">
        <v>25</v>
      </c>
      <c r="C144">
        <v>25</v>
      </c>
      <c r="D144">
        <v>25</v>
      </c>
      <c r="E144">
        <v>25.4</v>
      </c>
      <c r="F144">
        <v>27.78</v>
      </c>
      <c r="G144">
        <v>27.78</v>
      </c>
      <c r="H144">
        <v>27.78</v>
      </c>
      <c r="I144">
        <v>25.3</v>
      </c>
      <c r="L144">
        <v>25.1</v>
      </c>
      <c r="M144">
        <v>27.2</v>
      </c>
    </row>
    <row r="145" spans="2:13" x14ac:dyDescent="0.3">
      <c r="B145">
        <v>25</v>
      </c>
      <c r="C145">
        <v>25</v>
      </c>
      <c r="D145">
        <v>25</v>
      </c>
      <c r="E145">
        <v>25.3</v>
      </c>
      <c r="F145">
        <v>27.7</v>
      </c>
      <c r="G145">
        <v>27.78</v>
      </c>
      <c r="H145">
        <v>27.78</v>
      </c>
      <c r="I145">
        <v>25.2</v>
      </c>
      <c r="L145">
        <v>25</v>
      </c>
      <c r="M145">
        <v>27</v>
      </c>
    </row>
    <row r="146" spans="2:13" x14ac:dyDescent="0.3">
      <c r="B146">
        <v>25</v>
      </c>
      <c r="C146">
        <v>25</v>
      </c>
      <c r="D146">
        <v>25</v>
      </c>
      <c r="E146">
        <v>25.2</v>
      </c>
      <c r="F146">
        <v>27.6</v>
      </c>
      <c r="G146">
        <v>27.78</v>
      </c>
      <c r="H146">
        <v>27.78</v>
      </c>
      <c r="I146">
        <v>25.1</v>
      </c>
      <c r="L146">
        <v>25</v>
      </c>
      <c r="M146">
        <v>27.2</v>
      </c>
    </row>
    <row r="147" spans="2:13" x14ac:dyDescent="0.3">
      <c r="B147">
        <v>25</v>
      </c>
      <c r="C147">
        <v>25</v>
      </c>
      <c r="D147">
        <v>25</v>
      </c>
      <c r="E147">
        <v>25.1</v>
      </c>
      <c r="F147">
        <v>27.5</v>
      </c>
      <c r="G147">
        <v>27.78</v>
      </c>
      <c r="H147">
        <v>27.78</v>
      </c>
      <c r="I147">
        <v>25</v>
      </c>
      <c r="L147">
        <v>25</v>
      </c>
      <c r="M147">
        <v>27</v>
      </c>
    </row>
    <row r="148" spans="2:13" x14ac:dyDescent="0.3">
      <c r="B148">
        <v>25</v>
      </c>
      <c r="C148">
        <v>25</v>
      </c>
      <c r="D148">
        <v>25</v>
      </c>
      <c r="E148">
        <v>25</v>
      </c>
      <c r="F148">
        <v>27.4</v>
      </c>
      <c r="G148">
        <v>27.7</v>
      </c>
      <c r="H148">
        <v>27.7</v>
      </c>
      <c r="I148">
        <v>25</v>
      </c>
      <c r="L148">
        <v>25</v>
      </c>
      <c r="M148">
        <v>26.8</v>
      </c>
    </row>
    <row r="149" spans="2:13" x14ac:dyDescent="0.3">
      <c r="B149">
        <v>25</v>
      </c>
      <c r="C149">
        <v>25</v>
      </c>
      <c r="D149">
        <v>25</v>
      </c>
      <c r="E149">
        <v>25</v>
      </c>
      <c r="F149">
        <v>27.3</v>
      </c>
      <c r="G149">
        <v>27.7</v>
      </c>
      <c r="H149">
        <v>27.6</v>
      </c>
      <c r="I149">
        <v>25</v>
      </c>
      <c r="L149">
        <v>25</v>
      </c>
      <c r="M149">
        <v>26.6</v>
      </c>
    </row>
    <row r="150" spans="2:13" x14ac:dyDescent="0.3">
      <c r="B150">
        <v>25</v>
      </c>
      <c r="C150">
        <v>25</v>
      </c>
      <c r="D150">
        <v>25</v>
      </c>
      <c r="E150">
        <v>25</v>
      </c>
      <c r="F150">
        <v>27.2</v>
      </c>
      <c r="G150">
        <v>27.6</v>
      </c>
      <c r="H150">
        <v>27.5</v>
      </c>
      <c r="I150">
        <v>25</v>
      </c>
      <c r="L150">
        <v>25.3</v>
      </c>
      <c r="M150">
        <v>26.4</v>
      </c>
    </row>
    <row r="151" spans="2:13" x14ac:dyDescent="0.3">
      <c r="B151">
        <v>25</v>
      </c>
      <c r="C151">
        <v>25</v>
      </c>
      <c r="D151">
        <v>25</v>
      </c>
      <c r="E151">
        <v>25</v>
      </c>
      <c r="F151">
        <v>27.1</v>
      </c>
      <c r="G151">
        <v>27.5</v>
      </c>
      <c r="H151">
        <v>27.4</v>
      </c>
      <c r="I151">
        <v>25</v>
      </c>
      <c r="L151">
        <v>25.3</v>
      </c>
      <c r="M151">
        <v>26.2</v>
      </c>
    </row>
    <row r="152" spans="2:13" x14ac:dyDescent="0.3">
      <c r="B152">
        <v>25</v>
      </c>
      <c r="C152">
        <v>25</v>
      </c>
      <c r="D152">
        <v>25</v>
      </c>
      <c r="E152">
        <v>25</v>
      </c>
      <c r="F152">
        <v>27</v>
      </c>
      <c r="G152">
        <v>27.4</v>
      </c>
      <c r="H152">
        <v>27.3</v>
      </c>
      <c r="I152">
        <v>25</v>
      </c>
      <c r="L152">
        <v>25.3</v>
      </c>
      <c r="M152">
        <v>26</v>
      </c>
    </row>
    <row r="153" spans="2:13" x14ac:dyDescent="0.3">
      <c r="B153">
        <v>25</v>
      </c>
      <c r="C153">
        <v>25.1</v>
      </c>
      <c r="D153">
        <v>25</v>
      </c>
      <c r="E153">
        <v>25</v>
      </c>
      <c r="F153">
        <v>26.9</v>
      </c>
      <c r="G153">
        <v>27.3</v>
      </c>
      <c r="H153">
        <v>27.2</v>
      </c>
      <c r="I153">
        <v>25</v>
      </c>
      <c r="L153">
        <v>25.3</v>
      </c>
      <c r="M153">
        <v>25.8</v>
      </c>
    </row>
    <row r="154" spans="2:13" x14ac:dyDescent="0.3">
      <c r="B154">
        <v>25</v>
      </c>
      <c r="C154">
        <v>25.2</v>
      </c>
      <c r="D154">
        <v>25</v>
      </c>
      <c r="E154">
        <v>25</v>
      </c>
      <c r="F154">
        <v>26.8</v>
      </c>
      <c r="G154">
        <v>27.2</v>
      </c>
      <c r="H154">
        <v>27.1</v>
      </c>
      <c r="I154">
        <v>25</v>
      </c>
      <c r="L154">
        <v>25.3</v>
      </c>
      <c r="M154">
        <v>25.6</v>
      </c>
    </row>
    <row r="155" spans="2:13" x14ac:dyDescent="0.3">
      <c r="B155">
        <v>25</v>
      </c>
      <c r="C155">
        <v>25.2</v>
      </c>
      <c r="D155">
        <v>25</v>
      </c>
      <c r="E155">
        <v>25</v>
      </c>
      <c r="F155">
        <v>26.7</v>
      </c>
      <c r="G155">
        <v>27.1</v>
      </c>
      <c r="H155">
        <v>27</v>
      </c>
      <c r="I155">
        <v>25</v>
      </c>
      <c r="L155">
        <v>25.3</v>
      </c>
      <c r="M155">
        <v>25.3</v>
      </c>
    </row>
    <row r="156" spans="2:13" x14ac:dyDescent="0.3">
      <c r="B156">
        <v>25</v>
      </c>
      <c r="C156">
        <v>25.2</v>
      </c>
      <c r="D156">
        <v>25</v>
      </c>
      <c r="E156">
        <v>25</v>
      </c>
      <c r="F156">
        <v>26.6</v>
      </c>
      <c r="G156">
        <v>27</v>
      </c>
      <c r="H156">
        <v>26.9</v>
      </c>
      <c r="I156">
        <v>25</v>
      </c>
      <c r="L156">
        <v>25.3</v>
      </c>
      <c r="M156">
        <v>25</v>
      </c>
    </row>
    <row r="157" spans="2:13" x14ac:dyDescent="0.3">
      <c r="B157">
        <v>25</v>
      </c>
      <c r="C157">
        <v>25.2</v>
      </c>
      <c r="D157">
        <v>25</v>
      </c>
      <c r="E157">
        <v>25</v>
      </c>
      <c r="F157">
        <v>26.5</v>
      </c>
      <c r="G157">
        <v>26.9</v>
      </c>
      <c r="H157">
        <v>26.8</v>
      </c>
      <c r="I157">
        <v>25</v>
      </c>
      <c r="L157">
        <v>25.3</v>
      </c>
      <c r="M157">
        <v>25</v>
      </c>
    </row>
    <row r="158" spans="2:13" x14ac:dyDescent="0.3">
      <c r="B158">
        <v>25</v>
      </c>
      <c r="C158">
        <v>25.2</v>
      </c>
      <c r="D158">
        <v>25</v>
      </c>
      <c r="E158">
        <v>25</v>
      </c>
      <c r="F158">
        <v>26.4</v>
      </c>
      <c r="G158">
        <v>26.8</v>
      </c>
      <c r="H158">
        <v>26.7</v>
      </c>
      <c r="I158">
        <v>25</v>
      </c>
      <c r="L158">
        <v>25.3</v>
      </c>
      <c r="M158">
        <v>25</v>
      </c>
    </row>
    <row r="159" spans="2:13" x14ac:dyDescent="0.3">
      <c r="B159">
        <v>25</v>
      </c>
      <c r="C159">
        <v>25.2</v>
      </c>
      <c r="D159">
        <v>25</v>
      </c>
      <c r="E159">
        <v>25</v>
      </c>
      <c r="F159">
        <v>26.3</v>
      </c>
      <c r="G159">
        <v>26.7</v>
      </c>
      <c r="H159">
        <v>26.6</v>
      </c>
      <c r="I159">
        <v>25</v>
      </c>
      <c r="L159">
        <v>25.3</v>
      </c>
      <c r="M159">
        <v>25.1</v>
      </c>
    </row>
    <row r="160" spans="2:13" x14ac:dyDescent="0.3">
      <c r="B160">
        <v>25</v>
      </c>
      <c r="C160">
        <v>25.2</v>
      </c>
      <c r="D160">
        <v>25</v>
      </c>
      <c r="E160">
        <v>25</v>
      </c>
      <c r="F160">
        <v>26.2</v>
      </c>
      <c r="G160">
        <v>26.6</v>
      </c>
      <c r="H160">
        <v>26.5</v>
      </c>
      <c r="I160">
        <v>25</v>
      </c>
      <c r="L160">
        <v>25.3</v>
      </c>
      <c r="M160">
        <v>25</v>
      </c>
    </row>
    <row r="161" spans="2:13" x14ac:dyDescent="0.3">
      <c r="B161">
        <v>25</v>
      </c>
      <c r="C161">
        <v>25.2</v>
      </c>
      <c r="D161">
        <v>25</v>
      </c>
      <c r="E161">
        <v>25</v>
      </c>
      <c r="F161">
        <v>26.1</v>
      </c>
      <c r="G161">
        <v>26.5</v>
      </c>
      <c r="H161">
        <v>26.4</v>
      </c>
      <c r="I161">
        <v>25</v>
      </c>
      <c r="L161">
        <v>25.3</v>
      </c>
      <c r="M161">
        <v>25</v>
      </c>
    </row>
    <row r="162" spans="2:13" x14ac:dyDescent="0.3">
      <c r="B162">
        <v>25</v>
      </c>
      <c r="C162">
        <v>25.2</v>
      </c>
      <c r="D162">
        <v>25</v>
      </c>
      <c r="E162">
        <v>25</v>
      </c>
      <c r="F162">
        <v>26</v>
      </c>
      <c r="G162">
        <v>26.4</v>
      </c>
      <c r="H162">
        <v>26.3</v>
      </c>
      <c r="I162">
        <v>25</v>
      </c>
      <c r="L162">
        <v>25.3</v>
      </c>
      <c r="M162">
        <v>25</v>
      </c>
    </row>
    <row r="163" spans="2:13" x14ac:dyDescent="0.3">
      <c r="B163">
        <v>25</v>
      </c>
      <c r="C163">
        <v>25.2</v>
      </c>
      <c r="D163">
        <v>25</v>
      </c>
      <c r="E163">
        <v>25</v>
      </c>
      <c r="F163">
        <v>25.9</v>
      </c>
      <c r="G163">
        <v>26.3</v>
      </c>
      <c r="H163">
        <v>26.2</v>
      </c>
      <c r="I163">
        <v>25</v>
      </c>
      <c r="L163">
        <v>25.3</v>
      </c>
      <c r="M163">
        <v>25</v>
      </c>
    </row>
    <row r="164" spans="2:13" x14ac:dyDescent="0.3">
      <c r="B164">
        <v>25</v>
      </c>
      <c r="C164">
        <v>25.2</v>
      </c>
      <c r="D164">
        <v>25</v>
      </c>
      <c r="E164">
        <v>25</v>
      </c>
      <c r="F164">
        <v>25.8</v>
      </c>
      <c r="G164">
        <v>26.2</v>
      </c>
      <c r="H164">
        <v>26.1</v>
      </c>
      <c r="I164">
        <v>25</v>
      </c>
      <c r="L164">
        <v>25.3</v>
      </c>
      <c r="M164">
        <v>25</v>
      </c>
    </row>
    <row r="165" spans="2:13" x14ac:dyDescent="0.3">
      <c r="B165">
        <v>25</v>
      </c>
      <c r="C165">
        <v>25.2</v>
      </c>
      <c r="D165">
        <v>25</v>
      </c>
      <c r="E165">
        <v>25</v>
      </c>
      <c r="F165">
        <v>25.7</v>
      </c>
      <c r="G165">
        <v>26.1</v>
      </c>
      <c r="H165">
        <v>26</v>
      </c>
      <c r="I165">
        <v>25</v>
      </c>
      <c r="L165">
        <v>25.3</v>
      </c>
      <c r="M165">
        <v>25</v>
      </c>
    </row>
    <row r="166" spans="2:13" x14ac:dyDescent="0.3">
      <c r="B166">
        <v>25</v>
      </c>
      <c r="C166">
        <v>25.2</v>
      </c>
      <c r="D166">
        <v>25</v>
      </c>
      <c r="E166">
        <v>25</v>
      </c>
      <c r="F166">
        <v>25.6</v>
      </c>
      <c r="G166">
        <v>26</v>
      </c>
      <c r="H166">
        <v>25.9</v>
      </c>
      <c r="I166">
        <v>25</v>
      </c>
      <c r="L166">
        <v>25.3</v>
      </c>
      <c r="M166">
        <v>25</v>
      </c>
    </row>
    <row r="167" spans="2:13" x14ac:dyDescent="0.3">
      <c r="B167">
        <v>25</v>
      </c>
      <c r="C167">
        <v>25.2</v>
      </c>
      <c r="D167">
        <v>25</v>
      </c>
      <c r="E167">
        <v>25</v>
      </c>
      <c r="F167">
        <v>25.5</v>
      </c>
      <c r="G167">
        <v>25.9</v>
      </c>
      <c r="H167">
        <v>25.8</v>
      </c>
      <c r="I167">
        <v>25</v>
      </c>
      <c r="L167">
        <v>25.2</v>
      </c>
      <c r="M167">
        <v>25</v>
      </c>
    </row>
    <row r="168" spans="2:13" x14ac:dyDescent="0.3">
      <c r="B168">
        <v>25</v>
      </c>
      <c r="C168">
        <v>25.2</v>
      </c>
      <c r="D168">
        <v>25</v>
      </c>
      <c r="E168">
        <v>25</v>
      </c>
      <c r="F168">
        <v>25.4</v>
      </c>
      <c r="G168">
        <v>25.8</v>
      </c>
      <c r="H168">
        <v>25.7</v>
      </c>
      <c r="I168">
        <v>25</v>
      </c>
      <c r="L168">
        <v>25.2</v>
      </c>
      <c r="M168">
        <v>25</v>
      </c>
    </row>
    <row r="169" spans="2:13" x14ac:dyDescent="0.3">
      <c r="B169">
        <v>25</v>
      </c>
      <c r="C169">
        <v>25.2</v>
      </c>
      <c r="D169">
        <v>25</v>
      </c>
      <c r="E169">
        <v>25</v>
      </c>
      <c r="F169">
        <v>25.3</v>
      </c>
      <c r="G169">
        <v>25.6</v>
      </c>
      <c r="H169">
        <v>25.6</v>
      </c>
      <c r="I169">
        <v>25</v>
      </c>
      <c r="L169">
        <v>25.1</v>
      </c>
      <c r="M169">
        <v>25</v>
      </c>
    </row>
    <row r="170" spans="2:13" x14ac:dyDescent="0.3">
      <c r="B170">
        <v>25</v>
      </c>
      <c r="C170">
        <v>25.2</v>
      </c>
      <c r="D170">
        <v>25</v>
      </c>
      <c r="E170">
        <v>25</v>
      </c>
      <c r="F170">
        <v>25.2</v>
      </c>
      <c r="G170">
        <v>25.4</v>
      </c>
      <c r="H170">
        <v>25.4</v>
      </c>
      <c r="I170">
        <v>25</v>
      </c>
      <c r="L170">
        <v>25</v>
      </c>
      <c r="M170">
        <v>25</v>
      </c>
    </row>
    <row r="171" spans="2:13" x14ac:dyDescent="0.3">
      <c r="B171">
        <v>25</v>
      </c>
      <c r="C171">
        <v>25.1</v>
      </c>
      <c r="D171">
        <v>25</v>
      </c>
      <c r="E171">
        <v>25</v>
      </c>
      <c r="F171">
        <v>25.1</v>
      </c>
      <c r="G171">
        <v>25.2</v>
      </c>
      <c r="H171">
        <v>25.2</v>
      </c>
      <c r="I171">
        <v>25</v>
      </c>
      <c r="L171">
        <v>25</v>
      </c>
      <c r="M171">
        <v>25</v>
      </c>
    </row>
    <row r="172" spans="2:13" x14ac:dyDescent="0.3">
      <c r="B172">
        <v>25</v>
      </c>
      <c r="C172">
        <v>25</v>
      </c>
      <c r="D172">
        <v>25</v>
      </c>
      <c r="E172">
        <v>25</v>
      </c>
      <c r="F172">
        <v>25</v>
      </c>
      <c r="G172">
        <v>25</v>
      </c>
      <c r="H172">
        <v>25</v>
      </c>
      <c r="I172">
        <v>25</v>
      </c>
      <c r="L172">
        <v>25</v>
      </c>
      <c r="M172">
        <v>25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92"/>
  <sheetViews>
    <sheetView workbookViewId="0">
      <selection activeCell="G19" sqref="G19"/>
    </sheetView>
  </sheetViews>
  <sheetFormatPr defaultColWidth="9" defaultRowHeight="14" x14ac:dyDescent="0.3"/>
  <cols>
    <col min="1" max="1" width="9" style="1"/>
    <col min="2" max="2" width="11" style="1" bestFit="1" customWidth="1"/>
    <col min="3" max="4" width="9.9140625" style="1" bestFit="1" customWidth="1"/>
    <col min="5" max="6" width="9" style="1"/>
    <col min="7" max="9" width="11" style="1" bestFit="1" customWidth="1"/>
    <col min="10" max="16384" width="9" style="1"/>
  </cols>
  <sheetData>
    <row r="1" spans="1:20" ht="14.5" thickBot="1" x14ac:dyDescent="0.35"/>
    <row r="2" spans="1:20" ht="28" thickTop="1" thickBot="1" x14ac:dyDescent="0.35">
      <c r="A2" s="44" t="s">
        <v>131</v>
      </c>
      <c r="B2" s="24" t="s">
        <v>141</v>
      </c>
      <c r="C2" s="24" t="s">
        <v>143</v>
      </c>
      <c r="D2" s="24" t="s">
        <v>144</v>
      </c>
    </row>
    <row r="3" spans="1:20" ht="27.5" x14ac:dyDescent="0.3">
      <c r="A3" s="30" t="s">
        <v>132</v>
      </c>
      <c r="B3" s="20">
        <f>D10</f>
        <v>24.676216894905572</v>
      </c>
      <c r="C3" s="20">
        <f t="shared" ref="C3:D3" si="0">E10</f>
        <v>25.60774995516676</v>
      </c>
      <c r="D3" s="20">
        <f t="shared" si="0"/>
        <v>26.207653354601664</v>
      </c>
    </row>
    <row r="4" spans="1:20" ht="27.5" x14ac:dyDescent="0.3">
      <c r="A4" s="30" t="s">
        <v>133</v>
      </c>
      <c r="B4" s="31" t="str">
        <f>$F4&amp;ROUND(A14,2)&amp;ROUND(A13,2)&amp;$G4</f>
        <v>[21.3627.34]</v>
      </c>
      <c r="C4" s="31" t="str">
        <f t="shared" ref="C4:D4" si="1">$F4&amp;ROUND(B14,2)&amp;ROUND(B13,2)&amp;$G4</f>
        <v>[2527.78]</v>
      </c>
      <c r="D4" s="31" t="str">
        <f t="shared" si="1"/>
        <v>[2527.78]</v>
      </c>
      <c r="F4" s="31" t="s">
        <v>134</v>
      </c>
      <c r="G4" s="31" t="s">
        <v>135</v>
      </c>
    </row>
    <row r="5" spans="1:20" ht="27" x14ac:dyDescent="0.3">
      <c r="A5" s="30" t="s">
        <v>136</v>
      </c>
      <c r="B5" s="6">
        <f>N9</f>
        <v>1.259880565329369</v>
      </c>
      <c r="C5" s="6">
        <f t="shared" ref="C5:D5" si="2">O9</f>
        <v>0.94654559133746019</v>
      </c>
      <c r="D5" s="6">
        <f t="shared" si="2"/>
        <v>1.0611043895700396</v>
      </c>
    </row>
    <row r="6" spans="1:20" ht="27.5" x14ac:dyDescent="0.3">
      <c r="A6" s="30" t="s">
        <v>137</v>
      </c>
      <c r="B6" s="31" t="str">
        <f>$F4&amp;ROUND(G14,2)&amp;ROUND(G13,2)&amp;$G4</f>
        <v>[-0.670.61]</v>
      </c>
      <c r="C6" s="31" t="str">
        <f t="shared" ref="C6:D6" si="3">$F4&amp;ROUND(H14,2)&amp;ROUND(H13,2)&amp;$G4</f>
        <v>[-0.210.21]</v>
      </c>
      <c r="D6" s="31" t="str">
        <f t="shared" si="3"/>
        <v>[-0.210.22]</v>
      </c>
    </row>
    <row r="7" spans="1:20" ht="40.5" x14ac:dyDescent="0.3">
      <c r="A7" s="30" t="s">
        <v>138</v>
      </c>
      <c r="B7" s="6">
        <f>R9</f>
        <v>0.31423003942015687</v>
      </c>
      <c r="C7" s="6">
        <f t="shared" ref="C7:D7" si="4">S9</f>
        <v>7.4808061323307376E-2</v>
      </c>
      <c r="D7" s="6">
        <f t="shared" si="4"/>
        <v>0.10058079583944721</v>
      </c>
    </row>
    <row r="8" spans="1:20" ht="30" thickBot="1" x14ac:dyDescent="0.35">
      <c r="A8" s="45" t="s">
        <v>139</v>
      </c>
      <c r="B8" s="15">
        <f>J9</f>
        <v>0.31588306122277215</v>
      </c>
      <c r="C8" s="15">
        <f t="shared" ref="C8:D8" si="5">K9</f>
        <v>7.404677090971773E-2</v>
      </c>
      <c r="D8" s="15">
        <f t="shared" si="5"/>
        <v>0.10035467465007311</v>
      </c>
    </row>
    <row r="9" spans="1:20" ht="14.5" thickTop="1" x14ac:dyDescent="0.3">
      <c r="J9" s="14">
        <f>J10^0.5</f>
        <v>0.31588306122277215</v>
      </c>
      <c r="K9" s="14">
        <f t="shared" ref="K9:L9" si="6">K10^0.5</f>
        <v>7.404677090971773E-2</v>
      </c>
      <c r="L9" s="14">
        <f t="shared" si="6"/>
        <v>0.10035467465007311</v>
      </c>
      <c r="N9" s="14">
        <f>N12^0.5</f>
        <v>1.259880565329369</v>
      </c>
      <c r="O9" s="14">
        <f t="shared" ref="O9:P9" si="7">O12^0.5</f>
        <v>0.94654559133746019</v>
      </c>
      <c r="P9" s="14">
        <f t="shared" si="7"/>
        <v>1.0611043895700396</v>
      </c>
      <c r="R9" s="14">
        <f>R12^0.5</f>
        <v>0.31423003942015687</v>
      </c>
      <c r="S9" s="14">
        <f t="shared" ref="S9:T9" si="8">S12^0.5</f>
        <v>7.4808061323307376E-2</v>
      </c>
      <c r="T9" s="14">
        <f t="shared" si="8"/>
        <v>0.10058079583944721</v>
      </c>
    </row>
    <row r="10" spans="1:20" x14ac:dyDescent="0.3">
      <c r="D10" s="1">
        <f>3600/D11</f>
        <v>24.676216894905572</v>
      </c>
      <c r="E10" s="1">
        <f t="shared" ref="E10:F10" si="9">3600/E11</f>
        <v>25.60774995516676</v>
      </c>
      <c r="F10" s="1">
        <f t="shared" si="9"/>
        <v>26.207653354601664</v>
      </c>
      <c r="J10" s="1">
        <f>J11/D11</f>
        <v>9.9782108367469632E-2</v>
      </c>
      <c r="K10" s="1">
        <f>K11/E11</f>
        <v>5.4829242821562195E-3</v>
      </c>
      <c r="L10" s="1">
        <f>L11/F11</f>
        <v>1.0071060724122026E-2</v>
      </c>
    </row>
    <row r="11" spans="1:20" x14ac:dyDescent="0.3">
      <c r="D11" s="1">
        <f>SUM(D16:D291)</f>
        <v>145.88946171660629</v>
      </c>
      <c r="E11" s="1">
        <f>SUM(E16:E291)</f>
        <v>140.58244110875677</v>
      </c>
      <c r="F11" s="1">
        <f>SUM(F16:F291)</f>
        <v>137.36445424129874</v>
      </c>
      <c r="J11" s="1">
        <f>SUM(J16:J291)</f>
        <v>14.557158078678221</v>
      </c>
      <c r="K11" s="1">
        <f>SUM(K16:K291)</f>
        <v>0.77080287999999919</v>
      </c>
      <c r="L11" s="1">
        <f>SUM(L16:L291)</f>
        <v>1.3834057600000012</v>
      </c>
    </row>
    <row r="12" spans="1:20" x14ac:dyDescent="0.3">
      <c r="A12" s="46">
        <f t="shared" ref="A12:C12" si="10">AVERAGE(A16:A291)</f>
        <v>24.750318620689669</v>
      </c>
      <c r="B12" s="46">
        <f t="shared" si="10"/>
        <v>25.636827586206877</v>
      </c>
      <c r="C12" s="46">
        <f t="shared" si="10"/>
        <v>26.241517241379324</v>
      </c>
      <c r="D12" s="46"/>
      <c r="E12" s="46"/>
      <c r="F12" s="46"/>
      <c r="G12" s="46">
        <f>AVERAGE(G16:G291)</f>
        <v>2.551721250000011E-3</v>
      </c>
      <c r="H12" s="46">
        <f>AVERAGE(H16:H291)</f>
        <v>9.6373526443155954E-19</v>
      </c>
      <c r="I12" s="46">
        <f>AVERAGE(I16:I291)</f>
        <v>5.7824115865893567E-19</v>
      </c>
      <c r="N12" s="1">
        <f>AVERAGE(N16:N292)</f>
        <v>1.5872990388946502</v>
      </c>
      <c r="O12" s="1">
        <f t="shared" ref="O12:P12" si="11">AVERAGE(O16:O292)</f>
        <v>0.8959485564803823</v>
      </c>
      <c r="P12" s="1">
        <f t="shared" si="11"/>
        <v>1.1259425255648066</v>
      </c>
      <c r="R12" s="1">
        <f>AVERAGE(R16:R292)</f>
        <v>9.8740517673993333E-2</v>
      </c>
      <c r="S12" s="1">
        <f t="shared" ref="S12:T12" si="12">AVERAGE(S16:S292)</f>
        <v>5.5962460389517178E-3</v>
      </c>
      <c r="T12" s="1">
        <f t="shared" si="12"/>
        <v>1.0116496491696561E-2</v>
      </c>
    </row>
    <row r="13" spans="1:20" x14ac:dyDescent="0.3">
      <c r="A13" s="16">
        <f>MAX(A16:A291)</f>
        <v>27.335699999999999</v>
      </c>
      <c r="B13" s="16">
        <f t="shared" ref="B13:C13" si="13">MAX(B16:B291)</f>
        <v>27.78</v>
      </c>
      <c r="C13" s="16">
        <f t="shared" si="13"/>
        <v>27.78</v>
      </c>
      <c r="D13" s="14"/>
      <c r="E13" s="14"/>
      <c r="F13" s="14"/>
      <c r="G13" s="14">
        <f>MAX(G16:G291)</f>
        <v>0.61351041599999834</v>
      </c>
      <c r="H13" s="14">
        <f>MAX(H16:H291)</f>
        <v>0.21279999999999924</v>
      </c>
      <c r="I13" s="14">
        <f>MAX(I16:I291)</f>
        <v>0.21919999999999923</v>
      </c>
    </row>
    <row r="14" spans="1:20" x14ac:dyDescent="0.3">
      <c r="A14" s="16">
        <f t="shared" ref="A14:C14" si="14">MIN(A16:A291)</f>
        <v>21.363800000000001</v>
      </c>
      <c r="B14" s="16">
        <f t="shared" si="14"/>
        <v>25</v>
      </c>
      <c r="C14" s="16">
        <f t="shared" si="14"/>
        <v>25</v>
      </c>
      <c r="D14" s="14"/>
      <c r="E14" s="14"/>
      <c r="F14" s="14"/>
      <c r="G14" s="14">
        <f>MIN(G16:G291)</f>
        <v>-0.67144793820000015</v>
      </c>
      <c r="H14" s="14">
        <f>MIN(H16:H291)</f>
        <v>-0.2143999999999992</v>
      </c>
      <c r="I14" s="14">
        <f>MIN(I16:I291)</f>
        <v>-0.2143999999999992</v>
      </c>
    </row>
    <row r="15" spans="1:20" x14ac:dyDescent="0.3">
      <c r="A15" s="1" t="s">
        <v>142</v>
      </c>
      <c r="B15" t="s">
        <v>58</v>
      </c>
      <c r="C15" t="s">
        <v>54</v>
      </c>
      <c r="D15" s="1" t="s">
        <v>140</v>
      </c>
      <c r="E15" s="1" t="s">
        <v>140</v>
      </c>
      <c r="F15" s="1" t="s">
        <v>140</v>
      </c>
      <c r="G15" s="1" t="s">
        <v>145</v>
      </c>
      <c r="H15" s="1" t="s">
        <v>146</v>
      </c>
      <c r="I15" s="1" t="s">
        <v>145</v>
      </c>
      <c r="J15" s="1" t="s">
        <v>147</v>
      </c>
      <c r="K15" s="1" t="s">
        <v>148</v>
      </c>
      <c r="L15" s="1" t="s">
        <v>149</v>
      </c>
    </row>
    <row r="16" spans="1:20" x14ac:dyDescent="0.3">
      <c r="A16" s="13">
        <v>25.995999999999999</v>
      </c>
      <c r="B16">
        <v>25</v>
      </c>
      <c r="C16">
        <v>25</v>
      </c>
      <c r="D16">
        <f>50/(A16+A17)</f>
        <v>0.95704953114143476</v>
      </c>
      <c r="E16">
        <f>50/(B16+B17)</f>
        <v>1</v>
      </c>
      <c r="F16">
        <f>50/(C16+C17)</f>
        <v>1</v>
      </c>
      <c r="G16">
        <f>(A17-A16)/D16</f>
        <v>0.26320476820000277</v>
      </c>
      <c r="H16">
        <f>(B17-B16)/E16</f>
        <v>0</v>
      </c>
      <c r="I16">
        <f>(C17-C16)/F16</f>
        <v>0</v>
      </c>
      <c r="J16" s="1">
        <f>(G16-G$12)^2*D16</f>
        <v>6.5021955562582751E-2</v>
      </c>
      <c r="K16" s="1">
        <f t="shared" ref="J16:L79" si="15">(H16-H$12)^2*E16</f>
        <v>9.2878565990896802E-37</v>
      </c>
      <c r="L16" s="1">
        <f t="shared" si="15"/>
        <v>3.3436283756722843E-37</v>
      </c>
      <c r="N16" s="1">
        <f>(A16-A$12)^2</f>
        <v>1.5517220987604865</v>
      </c>
      <c r="O16" s="1">
        <f t="shared" ref="O16:P31" si="16">(B16-B$12)^2</f>
        <v>0.40554937455407747</v>
      </c>
      <c r="P16" s="1">
        <f t="shared" si="16"/>
        <v>1.5413650606421256</v>
      </c>
      <c r="R16" s="1">
        <f>(G16-G$12)^2</f>
        <v>6.7940010884320334E-2</v>
      </c>
      <c r="S16" s="1">
        <f t="shared" ref="S16:T31" si="17">(H16-H$12)^2</f>
        <v>9.2878565990896802E-37</v>
      </c>
      <c r="T16" s="1">
        <f t="shared" si="17"/>
        <v>3.3436283756722843E-37</v>
      </c>
    </row>
    <row r="17" spans="1:20" x14ac:dyDescent="0.3">
      <c r="A17" s="13">
        <v>26.247900000000001</v>
      </c>
      <c r="B17">
        <v>25</v>
      </c>
      <c r="C17">
        <v>25</v>
      </c>
      <c r="D17">
        <f t="shared" ref="D17:F80" si="18">50/(A17+A18)</f>
        <v>0.94594850256352048</v>
      </c>
      <c r="E17">
        <f t="shared" si="18"/>
        <v>1</v>
      </c>
      <c r="F17">
        <f t="shared" si="18"/>
        <v>1</v>
      </c>
      <c r="G17">
        <f t="shared" ref="G17:I80" si="19">(A18-A17)/D17</f>
        <v>0.38183896800000017</v>
      </c>
      <c r="H17">
        <f t="shared" si="19"/>
        <v>0</v>
      </c>
      <c r="I17">
        <f t="shared" si="19"/>
        <v>0</v>
      </c>
      <c r="J17" s="1">
        <f t="shared" si="15"/>
        <v>0.13608303114743125</v>
      </c>
      <c r="K17" s="1">
        <f t="shared" si="15"/>
        <v>9.2878565990896802E-37</v>
      </c>
      <c r="L17" s="1">
        <f t="shared" si="15"/>
        <v>3.3436283756722843E-37</v>
      </c>
      <c r="N17" s="1">
        <f t="shared" ref="N17:P80" si="20">(A17-A$12)^2</f>
        <v>2.2427499876570387</v>
      </c>
      <c r="O17" s="1">
        <f t="shared" si="16"/>
        <v>0.40554937455407747</v>
      </c>
      <c r="P17" s="1">
        <f t="shared" si="16"/>
        <v>1.5413650606421256</v>
      </c>
      <c r="R17" s="1">
        <f t="shared" ref="R17:T80" si="21">(G17-G$12)^2</f>
        <v>0.14385881554719548</v>
      </c>
      <c r="S17" s="1">
        <f t="shared" si="17"/>
        <v>9.2878565990896802E-37</v>
      </c>
      <c r="T17" s="1">
        <f t="shared" si="17"/>
        <v>3.3436283756722843E-37</v>
      </c>
    </row>
    <row r="18" spans="1:20" x14ac:dyDescent="0.3">
      <c r="A18" s="13">
        <v>26.609100000000002</v>
      </c>
      <c r="B18">
        <v>25</v>
      </c>
      <c r="C18">
        <v>25</v>
      </c>
      <c r="D18">
        <f t="shared" si="18"/>
        <v>0.93304471150257517</v>
      </c>
      <c r="E18">
        <f t="shared" si="18"/>
        <v>1</v>
      </c>
      <c r="F18">
        <f t="shared" si="18"/>
        <v>1</v>
      </c>
      <c r="G18">
        <f t="shared" si="19"/>
        <v>0.39633684799999774</v>
      </c>
      <c r="H18">
        <f t="shared" si="19"/>
        <v>0</v>
      </c>
      <c r="I18">
        <f t="shared" si="19"/>
        <v>0</v>
      </c>
      <c r="J18" s="1">
        <f t="shared" si="15"/>
        <v>0.14468418867051558</v>
      </c>
      <c r="K18" s="1">
        <f t="shared" si="15"/>
        <v>9.2878565990896802E-37</v>
      </c>
      <c r="L18" s="1">
        <f t="shared" si="15"/>
        <v>3.3436283756722843E-37</v>
      </c>
      <c r="N18" s="1">
        <f t="shared" si="20"/>
        <v>3.4550682160708237</v>
      </c>
      <c r="O18" s="1">
        <f t="shared" si="16"/>
        <v>0.40554937455407747</v>
      </c>
      <c r="P18" s="1">
        <f t="shared" si="16"/>
        <v>1.5413650606421256</v>
      </c>
      <c r="R18" s="1">
        <f t="shared" si="21"/>
        <v>0.15506672604951177</v>
      </c>
      <c r="S18" s="1">
        <f t="shared" si="17"/>
        <v>9.2878565990896802E-37</v>
      </c>
      <c r="T18" s="1">
        <f t="shared" si="17"/>
        <v>3.3436283756722843E-37</v>
      </c>
    </row>
    <row r="19" spans="1:20" x14ac:dyDescent="0.3">
      <c r="A19" s="13">
        <v>26.978899999999999</v>
      </c>
      <c r="B19">
        <v>25</v>
      </c>
      <c r="C19">
        <v>25</v>
      </c>
      <c r="D19">
        <f t="shared" si="18"/>
        <v>0.92071196815073164</v>
      </c>
      <c r="E19">
        <f t="shared" si="18"/>
        <v>1</v>
      </c>
      <c r="F19">
        <f t="shared" si="18"/>
        <v>1</v>
      </c>
      <c r="G19">
        <f t="shared" si="19"/>
        <v>0.37796836799999889</v>
      </c>
      <c r="H19">
        <f t="shared" si="19"/>
        <v>0</v>
      </c>
      <c r="I19">
        <f t="shared" si="19"/>
        <v>0</v>
      </c>
      <c r="J19" s="1">
        <f t="shared" si="15"/>
        <v>0.12976298908865486</v>
      </c>
      <c r="K19" s="1">
        <f t="shared" si="15"/>
        <v>9.2878565990896802E-37</v>
      </c>
      <c r="L19" s="1">
        <f t="shared" si="15"/>
        <v>3.3436283756722843E-37</v>
      </c>
      <c r="N19" s="1">
        <f t="shared" si="20"/>
        <v>4.9665749642087365</v>
      </c>
      <c r="O19" s="1">
        <f t="shared" si="16"/>
        <v>0.40554937455407747</v>
      </c>
      <c r="P19" s="1">
        <f t="shared" si="16"/>
        <v>1.5413650606421256</v>
      </c>
      <c r="R19" s="1">
        <f t="shared" si="21"/>
        <v>0.14093765865701344</v>
      </c>
      <c r="S19" s="1">
        <f t="shared" si="17"/>
        <v>9.2878565990896802E-37</v>
      </c>
      <c r="T19" s="1">
        <f t="shared" si="17"/>
        <v>3.3436283756722843E-37</v>
      </c>
    </row>
    <row r="20" spans="1:20" x14ac:dyDescent="0.3">
      <c r="A20" s="13">
        <v>27.326899999999998</v>
      </c>
      <c r="B20">
        <v>25</v>
      </c>
      <c r="C20">
        <v>25</v>
      </c>
      <c r="D20">
        <f t="shared" si="18"/>
        <v>0.9147021912605694</v>
      </c>
      <c r="E20">
        <f t="shared" si="18"/>
        <v>1</v>
      </c>
      <c r="F20">
        <f t="shared" si="18"/>
        <v>1</v>
      </c>
      <c r="G20">
        <f t="shared" si="19"/>
        <v>9.620617600000882E-3</v>
      </c>
      <c r="H20">
        <f t="shared" si="19"/>
        <v>0</v>
      </c>
      <c r="I20">
        <f t="shared" si="19"/>
        <v>0</v>
      </c>
      <c r="J20" s="1">
        <f t="shared" si="15"/>
        <v>4.5707024187520931E-5</v>
      </c>
      <c r="K20" s="1">
        <f t="shared" si="15"/>
        <v>9.2878565990896802E-37</v>
      </c>
      <c r="L20" s="1">
        <f t="shared" si="15"/>
        <v>3.3436283756722843E-37</v>
      </c>
      <c r="N20" s="1">
        <f t="shared" si="20"/>
        <v>6.6387716042087215</v>
      </c>
      <c r="O20" s="1">
        <f t="shared" si="16"/>
        <v>0.40554937455407747</v>
      </c>
      <c r="P20" s="1">
        <f t="shared" si="16"/>
        <v>1.5413650606421256</v>
      </c>
      <c r="R20" s="1">
        <f t="shared" si="21"/>
        <v>4.9969295607055634E-5</v>
      </c>
      <c r="S20" s="1">
        <f t="shared" si="17"/>
        <v>9.2878565990896802E-37</v>
      </c>
      <c r="T20" s="1">
        <f t="shared" si="17"/>
        <v>3.3436283756722843E-37</v>
      </c>
    </row>
    <row r="21" spans="1:20" x14ac:dyDescent="0.3">
      <c r="A21" s="13">
        <v>27.335699999999999</v>
      </c>
      <c r="B21">
        <v>25</v>
      </c>
      <c r="C21">
        <v>25</v>
      </c>
      <c r="D21">
        <f t="shared" si="18"/>
        <v>0.91914806004610439</v>
      </c>
      <c r="E21">
        <f t="shared" si="18"/>
        <v>1</v>
      </c>
      <c r="F21">
        <f t="shared" si="18"/>
        <v>1</v>
      </c>
      <c r="G21">
        <f t="shared" si="19"/>
        <v>-0.29723176479999919</v>
      </c>
      <c r="H21">
        <f t="shared" si="19"/>
        <v>0</v>
      </c>
      <c r="I21">
        <f t="shared" si="19"/>
        <v>0</v>
      </c>
      <c r="J21" s="1">
        <f t="shared" si="15"/>
        <v>8.2603963465969529E-2</v>
      </c>
      <c r="K21" s="1">
        <f t="shared" si="15"/>
        <v>9.2878565990896802E-37</v>
      </c>
      <c r="L21" s="1">
        <f t="shared" si="15"/>
        <v>3.3436283756722843E-37</v>
      </c>
      <c r="N21" s="1">
        <f t="shared" si="20"/>
        <v>6.684196876484588</v>
      </c>
      <c r="O21" s="1">
        <f t="shared" si="16"/>
        <v>0.40554937455407747</v>
      </c>
      <c r="P21" s="1">
        <f t="shared" si="16"/>
        <v>1.5413650606421256</v>
      </c>
      <c r="R21" s="1">
        <f t="shared" si="21"/>
        <v>8.9870138508290079E-2</v>
      </c>
      <c r="S21" s="1">
        <f t="shared" si="17"/>
        <v>9.2878565990896802E-37</v>
      </c>
      <c r="T21" s="1">
        <f t="shared" si="17"/>
        <v>3.3436283756722843E-37</v>
      </c>
    </row>
    <row r="22" spans="1:20" x14ac:dyDescent="0.3">
      <c r="A22" s="13">
        <v>27.0625</v>
      </c>
      <c r="B22">
        <v>25</v>
      </c>
      <c r="C22">
        <v>25</v>
      </c>
      <c r="D22">
        <f t="shared" si="18"/>
        <v>0.93136752693980573</v>
      </c>
      <c r="E22">
        <f t="shared" si="18"/>
        <v>1</v>
      </c>
      <c r="F22">
        <f t="shared" si="18"/>
        <v>1</v>
      </c>
      <c r="G22">
        <f t="shared" si="19"/>
        <v>-0.47296044500000012</v>
      </c>
      <c r="H22">
        <f t="shared" si="19"/>
        <v>0</v>
      </c>
      <c r="I22">
        <f t="shared" si="19"/>
        <v>0</v>
      </c>
      <c r="J22" s="1">
        <f t="shared" si="15"/>
        <v>0.21059320683974683</v>
      </c>
      <c r="K22" s="1">
        <f t="shared" si="15"/>
        <v>9.2878565990896802E-37</v>
      </c>
      <c r="L22" s="1">
        <f t="shared" si="15"/>
        <v>3.3436283756722843E-37</v>
      </c>
      <c r="N22" s="1">
        <f t="shared" si="20"/>
        <v>5.346182730829427</v>
      </c>
      <c r="O22" s="1">
        <f t="shared" si="16"/>
        <v>0.40554937455407747</v>
      </c>
      <c r="P22" s="1">
        <f t="shared" si="16"/>
        <v>1.5413650606421256</v>
      </c>
      <c r="R22" s="1">
        <f t="shared" si="21"/>
        <v>0.22611182025176776</v>
      </c>
      <c r="S22" s="1">
        <f t="shared" si="17"/>
        <v>9.2878565990896802E-37</v>
      </c>
      <c r="T22" s="1">
        <f t="shared" si="17"/>
        <v>3.3436283756722843E-37</v>
      </c>
    </row>
    <row r="23" spans="1:20" x14ac:dyDescent="0.3">
      <c r="A23" s="13">
        <v>26.622</v>
      </c>
      <c r="B23">
        <v>25</v>
      </c>
      <c r="C23">
        <v>25</v>
      </c>
      <c r="D23">
        <f t="shared" si="18"/>
        <v>0.94469741341848201</v>
      </c>
      <c r="E23">
        <f t="shared" si="18"/>
        <v>1</v>
      </c>
      <c r="F23">
        <f t="shared" si="18"/>
        <v>1</v>
      </c>
      <c r="G23">
        <f t="shared" si="19"/>
        <v>-0.33555718000000018</v>
      </c>
      <c r="H23">
        <f t="shared" si="19"/>
        <v>0</v>
      </c>
      <c r="I23">
        <f t="shared" si="19"/>
        <v>0</v>
      </c>
      <c r="J23" s="1">
        <f t="shared" si="15"/>
        <v>0.10799556852313789</v>
      </c>
      <c r="K23" s="1">
        <f t="shared" si="15"/>
        <v>9.2878565990896802E-37</v>
      </c>
      <c r="L23" s="1">
        <f t="shared" si="15"/>
        <v>3.3436283756722843E-37</v>
      </c>
      <c r="N23" s="1">
        <f t="shared" si="20"/>
        <v>3.5031911856570241</v>
      </c>
      <c r="O23" s="1">
        <f t="shared" si="16"/>
        <v>0.40554937455407747</v>
      </c>
      <c r="P23" s="1">
        <f t="shared" si="16"/>
        <v>1.5413650606421256</v>
      </c>
      <c r="R23" s="1">
        <f t="shared" si="21"/>
        <v>0.11431762910448239</v>
      </c>
      <c r="S23" s="1">
        <f t="shared" si="17"/>
        <v>9.2878565990896802E-37</v>
      </c>
      <c r="T23" s="1">
        <f t="shared" si="17"/>
        <v>3.3436283756722843E-37</v>
      </c>
    </row>
    <row r="24" spans="1:20" x14ac:dyDescent="0.3">
      <c r="A24" s="13">
        <v>26.305</v>
      </c>
      <c r="B24">
        <v>25</v>
      </c>
      <c r="C24">
        <v>25</v>
      </c>
      <c r="D24">
        <f t="shared" si="18"/>
        <v>0.9538271360004883</v>
      </c>
      <c r="E24">
        <f t="shared" si="18"/>
        <v>1</v>
      </c>
      <c r="F24">
        <f t="shared" si="18"/>
        <v>1</v>
      </c>
      <c r="G24">
        <f t="shared" si="19"/>
        <v>-0.19877815679999861</v>
      </c>
      <c r="H24">
        <f t="shared" si="19"/>
        <v>0</v>
      </c>
      <c r="I24">
        <f t="shared" si="19"/>
        <v>0</v>
      </c>
      <c r="J24" s="1">
        <f t="shared" si="15"/>
        <v>3.8662161864109493E-2</v>
      </c>
      <c r="K24" s="1">
        <f t="shared" si="15"/>
        <v>9.2878565990896802E-37</v>
      </c>
      <c r="L24" s="1">
        <f t="shared" si="15"/>
        <v>3.3436283756722843E-37</v>
      </c>
      <c r="N24" s="1">
        <f t="shared" si="20"/>
        <v>2.4170341911742739</v>
      </c>
      <c r="O24" s="1">
        <f t="shared" si="16"/>
        <v>0.40554937455407747</v>
      </c>
      <c r="P24" s="1">
        <f t="shared" si="16"/>
        <v>1.5413650606421256</v>
      </c>
      <c r="R24" s="1">
        <f t="shared" si="21"/>
        <v>4.053371979562731E-2</v>
      </c>
      <c r="S24" s="1">
        <f t="shared" si="17"/>
        <v>9.2878565990896802E-37</v>
      </c>
      <c r="T24" s="1">
        <f t="shared" si="17"/>
        <v>3.3436283756722843E-37</v>
      </c>
    </row>
    <row r="25" spans="1:20" x14ac:dyDescent="0.3">
      <c r="A25" s="13">
        <v>26.115400000000001</v>
      </c>
      <c r="B25">
        <v>25</v>
      </c>
      <c r="C25">
        <v>25</v>
      </c>
      <c r="D25">
        <f t="shared" si="18"/>
        <v>0.95405645724491395</v>
      </c>
      <c r="E25">
        <f t="shared" si="18"/>
        <v>1</v>
      </c>
      <c r="F25">
        <f t="shared" si="18"/>
        <v>1</v>
      </c>
      <c r="G25">
        <f t="shared" si="19"/>
        <v>0.18552361199999959</v>
      </c>
      <c r="H25">
        <f t="shared" si="19"/>
        <v>0</v>
      </c>
      <c r="I25">
        <f t="shared" si="19"/>
        <v>0</v>
      </c>
      <c r="J25" s="1">
        <f t="shared" si="15"/>
        <v>3.1940582131505031E-2</v>
      </c>
      <c r="K25" s="1">
        <f t="shared" si="15"/>
        <v>9.2878565990896802E-37</v>
      </c>
      <c r="L25" s="1">
        <f t="shared" si="15"/>
        <v>3.3436283756722843E-37</v>
      </c>
      <c r="N25" s="1">
        <f t="shared" si="20"/>
        <v>1.8634471721397998</v>
      </c>
      <c r="O25" s="1">
        <f t="shared" si="16"/>
        <v>0.40554937455407747</v>
      </c>
      <c r="P25" s="1">
        <f t="shared" si="16"/>
        <v>1.5413650606421256</v>
      </c>
      <c r="R25" s="1">
        <f t="shared" si="21"/>
        <v>3.3478712804629787E-2</v>
      </c>
      <c r="S25" s="1">
        <f t="shared" si="17"/>
        <v>9.2878565990896802E-37</v>
      </c>
      <c r="T25" s="1">
        <f t="shared" si="17"/>
        <v>3.3436283756722843E-37</v>
      </c>
    </row>
    <row r="26" spans="1:20" x14ac:dyDescent="0.3">
      <c r="A26" s="13">
        <v>26.292400000000001</v>
      </c>
      <c r="B26">
        <v>25</v>
      </c>
      <c r="C26">
        <v>25</v>
      </c>
      <c r="D26">
        <f t="shared" si="18"/>
        <v>0.9482825654457212</v>
      </c>
      <c r="E26">
        <f t="shared" si="18"/>
        <v>1</v>
      </c>
      <c r="F26">
        <f t="shared" si="18"/>
        <v>1</v>
      </c>
      <c r="G26">
        <f t="shared" si="19"/>
        <v>0.14984984979999919</v>
      </c>
      <c r="H26">
        <f t="shared" si="19"/>
        <v>0</v>
      </c>
      <c r="I26">
        <f t="shared" si="19"/>
        <v>0</v>
      </c>
      <c r="J26" s="1">
        <f t="shared" si="15"/>
        <v>2.0574639011901028E-2</v>
      </c>
      <c r="K26" s="1">
        <f t="shared" si="15"/>
        <v>9.2878565990896802E-37</v>
      </c>
      <c r="L26" s="1">
        <f t="shared" si="15"/>
        <v>3.3436283756722843E-37</v>
      </c>
      <c r="N26" s="1">
        <f t="shared" si="20"/>
        <v>2.3780149804156561</v>
      </c>
      <c r="O26" s="1">
        <f t="shared" si="16"/>
        <v>0.40554937455407747</v>
      </c>
      <c r="P26" s="1">
        <f t="shared" si="16"/>
        <v>1.5413650606421256</v>
      </c>
      <c r="R26" s="1">
        <f t="shared" si="21"/>
        <v>2.1696738674332087E-2</v>
      </c>
      <c r="S26" s="1">
        <f t="shared" si="17"/>
        <v>9.2878565990896802E-37</v>
      </c>
      <c r="T26" s="1">
        <f t="shared" si="17"/>
        <v>3.3436283756722843E-37</v>
      </c>
    </row>
    <row r="27" spans="1:20" x14ac:dyDescent="0.3">
      <c r="A27" s="13">
        <v>26.4345</v>
      </c>
      <c r="B27">
        <v>25</v>
      </c>
      <c r="C27">
        <v>25</v>
      </c>
      <c r="D27">
        <f t="shared" si="18"/>
        <v>0.95164320231744148</v>
      </c>
      <c r="E27">
        <f t="shared" si="18"/>
        <v>1</v>
      </c>
      <c r="F27">
        <f t="shared" si="18"/>
        <v>1</v>
      </c>
      <c r="G27">
        <f t="shared" si="19"/>
        <v>-0.34498223619999863</v>
      </c>
      <c r="H27">
        <f t="shared" si="19"/>
        <v>0</v>
      </c>
      <c r="I27">
        <f t="shared" si="19"/>
        <v>0</v>
      </c>
      <c r="J27" s="1">
        <f t="shared" si="15"/>
        <v>0.1149393247338325</v>
      </c>
      <c r="K27" s="1">
        <f t="shared" si="15"/>
        <v>9.2878565990896802E-37</v>
      </c>
      <c r="L27" s="1">
        <f t="shared" si="15"/>
        <v>3.3436283756722843E-37</v>
      </c>
      <c r="N27" s="1">
        <f t="shared" si="20"/>
        <v>2.8364669184156499</v>
      </c>
      <c r="O27" s="1">
        <f t="shared" si="16"/>
        <v>0.40554937455407747</v>
      </c>
      <c r="P27" s="1">
        <f t="shared" si="16"/>
        <v>1.5413650606421256</v>
      </c>
      <c r="R27" s="1">
        <f t="shared" si="21"/>
        <v>0.12077985158085748</v>
      </c>
      <c r="S27" s="1">
        <f t="shared" si="17"/>
        <v>9.2878565990896802E-37</v>
      </c>
      <c r="T27" s="1">
        <f t="shared" si="17"/>
        <v>3.3436283756722843E-37</v>
      </c>
    </row>
    <row r="28" spans="1:20" x14ac:dyDescent="0.3">
      <c r="A28" s="13">
        <v>26.106200000000001</v>
      </c>
      <c r="B28">
        <v>25</v>
      </c>
      <c r="C28">
        <v>25</v>
      </c>
      <c r="D28">
        <f t="shared" si="18"/>
        <v>0.96438897279072955</v>
      </c>
      <c r="E28">
        <f t="shared" si="18"/>
        <v>1</v>
      </c>
      <c r="F28">
        <f t="shared" si="18"/>
        <v>1</v>
      </c>
      <c r="G28">
        <f t="shared" si="19"/>
        <v>-0.37961860859999941</v>
      </c>
      <c r="H28">
        <f t="shared" si="19"/>
        <v>0</v>
      </c>
      <c r="I28">
        <f t="shared" si="19"/>
        <v>0</v>
      </c>
      <c r="J28" s="1">
        <f t="shared" si="15"/>
        <v>0.14085302231563041</v>
      </c>
      <c r="K28" s="1">
        <f t="shared" si="15"/>
        <v>9.2878565990896802E-37</v>
      </c>
      <c r="L28" s="1">
        <f t="shared" si="15"/>
        <v>3.3436283756722843E-37</v>
      </c>
      <c r="N28" s="1">
        <f t="shared" si="20"/>
        <v>1.8384143147604901</v>
      </c>
      <c r="O28" s="1">
        <f t="shared" si="16"/>
        <v>0.40554937455407747</v>
      </c>
      <c r="P28" s="1">
        <f t="shared" si="16"/>
        <v>1.5413650606421256</v>
      </c>
      <c r="R28" s="1">
        <f t="shared" si="21"/>
        <v>0.14605416101765736</v>
      </c>
      <c r="S28" s="1">
        <f t="shared" si="17"/>
        <v>9.2878565990896802E-37</v>
      </c>
      <c r="T28" s="1">
        <f t="shared" si="17"/>
        <v>3.3436283756722843E-37</v>
      </c>
    </row>
    <row r="29" spans="1:20" x14ac:dyDescent="0.3">
      <c r="A29" s="13">
        <v>25.740100000000002</v>
      </c>
      <c r="B29">
        <v>25</v>
      </c>
      <c r="C29">
        <v>25</v>
      </c>
      <c r="D29">
        <f t="shared" si="18"/>
        <v>0.97437586354060901</v>
      </c>
      <c r="E29">
        <f t="shared" si="18"/>
        <v>1</v>
      </c>
      <c r="F29">
        <f t="shared" si="18"/>
        <v>1</v>
      </c>
      <c r="G29">
        <f t="shared" si="19"/>
        <v>-0.16964705940000208</v>
      </c>
      <c r="H29">
        <f t="shared" si="19"/>
        <v>0</v>
      </c>
      <c r="I29">
        <f t="shared" si="19"/>
        <v>0</v>
      </c>
      <c r="J29" s="1">
        <f t="shared" si="15"/>
        <v>2.8892602399446871E-2</v>
      </c>
      <c r="K29" s="1">
        <f t="shared" si="15"/>
        <v>9.2878565990896802E-37</v>
      </c>
      <c r="L29" s="1">
        <f t="shared" si="15"/>
        <v>3.3436283756722843E-37</v>
      </c>
      <c r="N29" s="1">
        <f t="shared" si="20"/>
        <v>0.97966717882946563</v>
      </c>
      <c r="O29" s="1">
        <f t="shared" si="16"/>
        <v>0.40554937455407747</v>
      </c>
      <c r="P29" s="1">
        <f t="shared" si="16"/>
        <v>1.5413650606421256</v>
      </c>
      <c r="R29" s="1">
        <f t="shared" si="21"/>
        <v>2.9652420057347528E-2</v>
      </c>
      <c r="S29" s="1">
        <f t="shared" si="17"/>
        <v>9.2878565990896802E-37</v>
      </c>
      <c r="T29" s="1">
        <f t="shared" si="17"/>
        <v>3.3436283756722843E-37</v>
      </c>
    </row>
    <row r="30" spans="1:20" x14ac:dyDescent="0.3">
      <c r="A30" s="13">
        <v>25.5748</v>
      </c>
      <c r="B30">
        <v>25</v>
      </c>
      <c r="C30">
        <v>25</v>
      </c>
      <c r="D30">
        <f t="shared" si="18"/>
        <v>0.98050174235159626</v>
      </c>
      <c r="E30">
        <f t="shared" si="18"/>
        <v>1</v>
      </c>
      <c r="F30">
        <f t="shared" si="18"/>
        <v>1</v>
      </c>
      <c r="G30">
        <f t="shared" si="19"/>
        <v>-0.15838829580000044</v>
      </c>
      <c r="H30">
        <f t="shared" si="19"/>
        <v>0</v>
      </c>
      <c r="I30">
        <f t="shared" si="19"/>
        <v>0</v>
      </c>
      <c r="J30" s="1">
        <f t="shared" si="15"/>
        <v>2.5396651280686699E-2</v>
      </c>
      <c r="K30" s="1">
        <f t="shared" si="15"/>
        <v>9.2878565990896802E-37</v>
      </c>
      <c r="L30" s="1">
        <f t="shared" si="15"/>
        <v>3.3436283756722843E-37</v>
      </c>
      <c r="N30" s="1">
        <f t="shared" si="20"/>
        <v>0.67976954482946617</v>
      </c>
      <c r="O30" s="1">
        <f t="shared" si="16"/>
        <v>0.40554937455407747</v>
      </c>
      <c r="P30" s="1">
        <f t="shared" si="16"/>
        <v>1.5413650606421256</v>
      </c>
      <c r="R30" s="1">
        <f t="shared" si="21"/>
        <v>2.590168908805443E-2</v>
      </c>
      <c r="S30" s="1">
        <f t="shared" si="17"/>
        <v>9.2878565990896802E-37</v>
      </c>
      <c r="T30" s="1">
        <f t="shared" si="17"/>
        <v>3.3436283756722843E-37</v>
      </c>
    </row>
    <row r="31" spans="1:20" x14ac:dyDescent="0.3">
      <c r="A31" s="13">
        <v>25.419499999999999</v>
      </c>
      <c r="B31">
        <v>25</v>
      </c>
      <c r="C31">
        <v>25</v>
      </c>
      <c r="D31">
        <f t="shared" si="18"/>
        <v>0.98883799669332573</v>
      </c>
      <c r="E31">
        <f t="shared" si="18"/>
        <v>1</v>
      </c>
      <c r="F31">
        <f t="shared" si="18"/>
        <v>1</v>
      </c>
      <c r="G31">
        <f t="shared" si="19"/>
        <v>-0.27769968479999951</v>
      </c>
      <c r="H31">
        <f t="shared" si="19"/>
        <v>0</v>
      </c>
      <c r="I31">
        <f t="shared" si="19"/>
        <v>0</v>
      </c>
      <c r="J31" s="1">
        <f t="shared" si="15"/>
        <v>7.7664177358973616E-2</v>
      </c>
      <c r="K31" s="1">
        <f t="shared" si="15"/>
        <v>9.2878565990896802E-37</v>
      </c>
      <c r="L31" s="1">
        <f t="shared" si="15"/>
        <v>3.3436283756722843E-37</v>
      </c>
      <c r="N31" s="1">
        <f t="shared" si="20"/>
        <v>0.44780371841567673</v>
      </c>
      <c r="O31" s="1">
        <f t="shared" si="16"/>
        <v>0.40554937455407747</v>
      </c>
      <c r="P31" s="1">
        <f t="shared" si="16"/>
        <v>1.5413650606421256</v>
      </c>
      <c r="R31" s="1">
        <f t="shared" si="21"/>
        <v>7.8540850593001713E-2</v>
      </c>
      <c r="S31" s="1">
        <f t="shared" si="17"/>
        <v>9.2878565990896802E-37</v>
      </c>
      <c r="T31" s="1">
        <f t="shared" si="17"/>
        <v>3.3436283756722843E-37</v>
      </c>
    </row>
    <row r="32" spans="1:20" x14ac:dyDescent="0.3">
      <c r="A32" s="13">
        <v>25.1449</v>
      </c>
      <c r="B32">
        <v>25</v>
      </c>
      <c r="C32">
        <v>25</v>
      </c>
      <c r="D32">
        <f t="shared" si="18"/>
        <v>0.99657576566916062</v>
      </c>
      <c r="E32">
        <f t="shared" si="18"/>
        <v>1</v>
      </c>
      <c r="F32">
        <f t="shared" si="18"/>
        <v>0.99800399201596801</v>
      </c>
      <c r="G32">
        <f t="shared" si="19"/>
        <v>-0.11840544799999857</v>
      </c>
      <c r="H32">
        <f t="shared" si="19"/>
        <v>0</v>
      </c>
      <c r="I32">
        <f t="shared" si="19"/>
        <v>0.10020000000000143</v>
      </c>
      <c r="J32" s="1">
        <f t="shared" si="15"/>
        <v>1.4580538064184263E-2</v>
      </c>
      <c r="K32" s="1">
        <f t="shared" si="15"/>
        <v>9.2878565990896802E-37</v>
      </c>
      <c r="L32" s="1">
        <f t="shared" si="15"/>
        <v>1.0020000000000286E-2</v>
      </c>
      <c r="N32" s="1">
        <f t="shared" si="20"/>
        <v>0.15569446489844349</v>
      </c>
      <c r="O32" s="1">
        <f t="shared" si="20"/>
        <v>0.40554937455407747</v>
      </c>
      <c r="P32" s="1">
        <f t="shared" si="20"/>
        <v>1.5413650606421256</v>
      </c>
      <c r="R32" s="1">
        <f t="shared" si="21"/>
        <v>1.4630636792972803E-2</v>
      </c>
      <c r="S32" s="1">
        <f t="shared" si="21"/>
        <v>9.2878565990896802E-37</v>
      </c>
      <c r="T32" s="1">
        <f t="shared" si="21"/>
        <v>1.0040040000000286E-2</v>
      </c>
    </row>
    <row r="33" spans="1:20" x14ac:dyDescent="0.3">
      <c r="A33" s="13">
        <v>25.026900000000001</v>
      </c>
      <c r="B33">
        <v>25</v>
      </c>
      <c r="C33">
        <v>25.1</v>
      </c>
      <c r="D33">
        <f t="shared" si="18"/>
        <v>1.0059046603562913</v>
      </c>
      <c r="E33">
        <f t="shared" si="18"/>
        <v>1</v>
      </c>
      <c r="F33">
        <f t="shared" si="18"/>
        <v>0.99403578528827041</v>
      </c>
      <c r="G33">
        <f t="shared" si="19"/>
        <v>-0.34526134900000066</v>
      </c>
      <c r="H33">
        <f t="shared" si="19"/>
        <v>0</v>
      </c>
      <c r="I33">
        <f t="shared" si="19"/>
        <v>0.10059999999999786</v>
      </c>
      <c r="J33" s="1">
        <f t="shared" si="15"/>
        <v>0.12168824181619295</v>
      </c>
      <c r="K33" s="1">
        <f t="shared" si="15"/>
        <v>9.2878565990896802E-37</v>
      </c>
      <c r="L33" s="1">
        <f t="shared" si="15"/>
        <v>1.0059999999999571E-2</v>
      </c>
      <c r="N33" s="1">
        <f t="shared" si="20"/>
        <v>7.649725938120612E-2</v>
      </c>
      <c r="O33" s="1">
        <f t="shared" si="20"/>
        <v>0.40554937455407747</v>
      </c>
      <c r="P33" s="1">
        <f t="shared" si="20"/>
        <v>1.3030616123662577</v>
      </c>
      <c r="R33" s="1">
        <f t="shared" si="21"/>
        <v>0.12097393183673191</v>
      </c>
      <c r="S33" s="1">
        <f t="shared" si="21"/>
        <v>9.2878565990896802E-37</v>
      </c>
      <c r="T33" s="1">
        <f t="shared" si="21"/>
        <v>1.0120359999999568E-2</v>
      </c>
    </row>
    <row r="34" spans="1:20" x14ac:dyDescent="0.3">
      <c r="A34" s="13">
        <v>24.679600000000001</v>
      </c>
      <c r="B34">
        <v>25</v>
      </c>
      <c r="C34">
        <v>25.2</v>
      </c>
      <c r="D34">
        <f t="shared" si="18"/>
        <v>1.0247728590957814</v>
      </c>
      <c r="E34">
        <f t="shared" si="18"/>
        <v>1</v>
      </c>
      <c r="F34">
        <f t="shared" si="18"/>
        <v>0.99009900990099009</v>
      </c>
      <c r="G34">
        <f t="shared" si="19"/>
        <v>-0.55417158540000155</v>
      </c>
      <c r="H34">
        <f t="shared" si="19"/>
        <v>0</v>
      </c>
      <c r="I34">
        <f t="shared" si="19"/>
        <v>0.10100000000000144</v>
      </c>
      <c r="J34" s="1">
        <f t="shared" si="15"/>
        <v>0.31761896092880465</v>
      </c>
      <c r="K34" s="1">
        <f t="shared" si="15"/>
        <v>9.2878565990896802E-37</v>
      </c>
      <c r="L34" s="1">
        <f t="shared" si="15"/>
        <v>1.0100000000000288E-2</v>
      </c>
      <c r="N34" s="1">
        <f t="shared" si="20"/>
        <v>5.0011233122491307E-3</v>
      </c>
      <c r="O34" s="1">
        <f t="shared" si="20"/>
        <v>0.40554937455407747</v>
      </c>
      <c r="P34" s="1">
        <f t="shared" si="20"/>
        <v>1.0847581640903978</v>
      </c>
      <c r="R34" s="1">
        <f t="shared" si="21"/>
        <v>0.30994084016731172</v>
      </c>
      <c r="S34" s="1">
        <f t="shared" si="21"/>
        <v>9.2878565990896802E-37</v>
      </c>
      <c r="T34" s="1">
        <f t="shared" si="21"/>
        <v>1.020100000000029E-2</v>
      </c>
    </row>
    <row r="35" spans="1:20" x14ac:dyDescent="0.3">
      <c r="A35" s="13">
        <v>24.111699999999999</v>
      </c>
      <c r="B35">
        <v>25</v>
      </c>
      <c r="C35">
        <v>25.3</v>
      </c>
      <c r="D35">
        <f t="shared" si="18"/>
        <v>1.042663713843029</v>
      </c>
      <c r="E35">
        <f t="shared" si="18"/>
        <v>1</v>
      </c>
      <c r="F35">
        <f t="shared" si="18"/>
        <v>0.98619329388560151</v>
      </c>
      <c r="G35">
        <f t="shared" si="19"/>
        <v>-0.25828078259999776</v>
      </c>
      <c r="H35">
        <f t="shared" si="19"/>
        <v>0</v>
      </c>
      <c r="I35">
        <f t="shared" si="19"/>
        <v>0.10139999999999784</v>
      </c>
      <c r="J35" s="1">
        <f t="shared" si="15"/>
        <v>7.0936160896210243E-2</v>
      </c>
      <c r="K35" s="1">
        <f t="shared" si="15"/>
        <v>9.2878565990896802E-37</v>
      </c>
      <c r="L35" s="1">
        <f t="shared" si="15"/>
        <v>1.0139999999999568E-2</v>
      </c>
      <c r="N35" s="1">
        <f t="shared" si="20"/>
        <v>0.40783374269157607</v>
      </c>
      <c r="O35" s="1">
        <f t="shared" si="20"/>
        <v>0.40554937455407747</v>
      </c>
      <c r="P35" s="1">
        <f t="shared" si="20"/>
        <v>0.88645471581453017</v>
      </c>
      <c r="R35" s="1">
        <f t="shared" si="21"/>
        <v>6.8033595064659114E-2</v>
      </c>
      <c r="S35" s="1">
        <f t="shared" si="21"/>
        <v>9.2878565990896802E-37</v>
      </c>
      <c r="T35" s="1">
        <f t="shared" si="21"/>
        <v>1.0281959999999563E-2</v>
      </c>
    </row>
    <row r="36" spans="1:20" x14ac:dyDescent="0.3">
      <c r="A36" s="13">
        <v>23.842400000000001</v>
      </c>
      <c r="B36">
        <v>25</v>
      </c>
      <c r="C36">
        <v>25.4</v>
      </c>
      <c r="D36">
        <f t="shared" si="18"/>
        <v>1.0528931397694583</v>
      </c>
      <c r="E36">
        <f t="shared" si="18"/>
        <v>1</v>
      </c>
      <c r="F36">
        <f t="shared" si="18"/>
        <v>0.98039215686274506</v>
      </c>
      <c r="G36">
        <f t="shared" si="19"/>
        <v>-0.18672360240000013</v>
      </c>
      <c r="H36">
        <f t="shared" si="19"/>
        <v>0</v>
      </c>
      <c r="I36">
        <f t="shared" si="19"/>
        <v>0.2040000000000029</v>
      </c>
      <c r="J36" s="1">
        <f t="shared" si="15"/>
        <v>3.7720052710791617E-2</v>
      </c>
      <c r="K36" s="1">
        <f t="shared" si="15"/>
        <v>9.2878565990896802E-37</v>
      </c>
      <c r="L36" s="1">
        <f t="shared" si="15"/>
        <v>4.0800000000001162E-2</v>
      </c>
      <c r="N36" s="1">
        <f t="shared" si="20"/>
        <v>0.82431622179502784</v>
      </c>
      <c r="O36" s="1">
        <f t="shared" si="20"/>
        <v>0.40554937455407747</v>
      </c>
      <c r="P36" s="1">
        <f t="shared" si="20"/>
        <v>0.70815126753866919</v>
      </c>
      <c r="R36" s="1">
        <f t="shared" si="21"/>
        <v>3.5825148142812298E-2</v>
      </c>
      <c r="S36" s="1">
        <f t="shared" si="21"/>
        <v>9.2878565990896802E-37</v>
      </c>
      <c r="T36" s="1">
        <f t="shared" si="21"/>
        <v>4.1616000000001187E-2</v>
      </c>
    </row>
    <row r="37" spans="1:20" x14ac:dyDescent="0.3">
      <c r="A37" s="13">
        <v>23.645800000000001</v>
      </c>
      <c r="B37">
        <v>25</v>
      </c>
      <c r="C37">
        <v>25.6</v>
      </c>
      <c r="D37">
        <f t="shared" si="18"/>
        <v>1.062597626156903</v>
      </c>
      <c r="E37">
        <f t="shared" si="18"/>
        <v>1</v>
      </c>
      <c r="F37">
        <f t="shared" si="18"/>
        <v>0.97276264591439676</v>
      </c>
      <c r="G37">
        <f t="shared" si="19"/>
        <v>-0.22313243900000157</v>
      </c>
      <c r="H37">
        <f t="shared" si="19"/>
        <v>0</v>
      </c>
      <c r="I37">
        <f t="shared" si="19"/>
        <v>0.20559999999999928</v>
      </c>
      <c r="J37" s="1">
        <f t="shared" si="15"/>
        <v>5.4121646375743425E-2</v>
      </c>
      <c r="K37" s="1">
        <f t="shared" si="15"/>
        <v>9.2878565990896802E-37</v>
      </c>
      <c r="L37" s="1">
        <f t="shared" si="15"/>
        <v>4.1119999999999705E-2</v>
      </c>
      <c r="N37" s="1">
        <f t="shared" si="20"/>
        <v>1.2199613834502052</v>
      </c>
      <c r="O37" s="1">
        <f t="shared" si="20"/>
        <v>0.40554937455407747</v>
      </c>
      <c r="P37" s="1">
        <f t="shared" si="20"/>
        <v>0.41154437098693553</v>
      </c>
      <c r="R37" s="1">
        <f t="shared" si="21"/>
        <v>5.0933340187748387E-2</v>
      </c>
      <c r="S37" s="1">
        <f t="shared" si="21"/>
        <v>9.2878565990896802E-37</v>
      </c>
      <c r="T37" s="1">
        <f t="shared" si="21"/>
        <v>4.2271359999999703E-2</v>
      </c>
    </row>
    <row r="38" spans="1:20" x14ac:dyDescent="0.3">
      <c r="A38" s="13">
        <v>23.4087</v>
      </c>
      <c r="B38">
        <v>25</v>
      </c>
      <c r="C38">
        <v>25.8</v>
      </c>
      <c r="D38">
        <f t="shared" si="18"/>
        <v>1.0705789905296583</v>
      </c>
      <c r="E38">
        <f t="shared" si="18"/>
        <v>1</v>
      </c>
      <c r="F38">
        <f t="shared" si="18"/>
        <v>0.96525096525096532</v>
      </c>
      <c r="G38">
        <f t="shared" si="19"/>
        <v>-0.10620421379999805</v>
      </c>
      <c r="H38">
        <f t="shared" si="19"/>
        <v>0</v>
      </c>
      <c r="I38">
        <f t="shared" si="19"/>
        <v>0.20719999999999925</v>
      </c>
      <c r="J38" s="1">
        <f t="shared" si="15"/>
        <v>1.2662651362311121E-2</v>
      </c>
      <c r="K38" s="1">
        <f t="shared" si="15"/>
        <v>9.2878565990896802E-37</v>
      </c>
      <c r="L38" s="1">
        <f t="shared" si="15"/>
        <v>4.1439999999999699E-2</v>
      </c>
      <c r="N38" s="1">
        <f t="shared" si="20"/>
        <v>1.7999405233812498</v>
      </c>
      <c r="O38" s="1">
        <f t="shared" si="20"/>
        <v>0.40554937455407747</v>
      </c>
      <c r="P38" s="1">
        <f t="shared" si="20"/>
        <v>0.19493747443520729</v>
      </c>
      <c r="R38" s="1">
        <f t="shared" si="21"/>
        <v>1.1827853408599397E-2</v>
      </c>
      <c r="S38" s="1">
        <f t="shared" si="21"/>
        <v>9.2878565990896802E-37</v>
      </c>
      <c r="T38" s="1">
        <f t="shared" si="21"/>
        <v>4.2931839999999687E-2</v>
      </c>
    </row>
    <row r="39" spans="1:20" x14ac:dyDescent="0.3">
      <c r="A39" s="13">
        <v>23.295000000000002</v>
      </c>
      <c r="B39">
        <v>25</v>
      </c>
      <c r="C39">
        <v>26</v>
      </c>
      <c r="D39">
        <f t="shared" si="18"/>
        <v>1.0637754667846748</v>
      </c>
      <c r="E39">
        <f t="shared" si="18"/>
        <v>1</v>
      </c>
      <c r="F39">
        <f t="shared" si="18"/>
        <v>0.95969289827255277</v>
      </c>
      <c r="G39">
        <f t="shared" si="19"/>
        <v>0.38767579519999823</v>
      </c>
      <c r="H39">
        <f t="shared" si="19"/>
        <v>0</v>
      </c>
      <c r="I39">
        <f t="shared" si="19"/>
        <v>0.10420000000000149</v>
      </c>
      <c r="J39" s="1">
        <f t="shared" si="15"/>
        <v>0.15777976479482289</v>
      </c>
      <c r="K39" s="1">
        <f t="shared" si="15"/>
        <v>9.2878565990896802E-37</v>
      </c>
      <c r="L39" s="1">
        <f t="shared" si="15"/>
        <v>1.0420000000000297E-2</v>
      </c>
      <c r="N39" s="1">
        <f t="shared" si="20"/>
        <v>2.1179522877260744</v>
      </c>
      <c r="O39" s="1">
        <f t="shared" si="20"/>
        <v>0.40554937455407747</v>
      </c>
      <c r="P39" s="1">
        <f t="shared" si="20"/>
        <v>5.8330577883478472E-2</v>
      </c>
      <c r="R39" s="1">
        <f t="shared" si="21"/>
        <v>0.14832055233584368</v>
      </c>
      <c r="S39" s="1">
        <f t="shared" si="21"/>
        <v>9.2878565990896802E-37</v>
      </c>
      <c r="T39" s="1">
        <f t="shared" si="21"/>
        <v>1.0857640000000311E-2</v>
      </c>
    </row>
    <row r="40" spans="1:20" x14ac:dyDescent="0.3">
      <c r="A40" s="13">
        <v>23.7074</v>
      </c>
      <c r="B40">
        <v>25</v>
      </c>
      <c r="C40">
        <v>26.1</v>
      </c>
      <c r="D40">
        <f t="shared" si="18"/>
        <v>1.0431901589613164</v>
      </c>
      <c r="E40">
        <f t="shared" si="18"/>
        <v>1</v>
      </c>
      <c r="F40">
        <f t="shared" si="18"/>
        <v>0.95419847328244267</v>
      </c>
      <c r="G40">
        <f t="shared" si="19"/>
        <v>0.49377382980000034</v>
      </c>
      <c r="H40">
        <f t="shared" si="19"/>
        <v>0</v>
      </c>
      <c r="I40">
        <f t="shared" si="19"/>
        <v>0.20959999999999926</v>
      </c>
      <c r="J40" s="1">
        <f t="shared" si="15"/>
        <v>0.25172090900284405</v>
      </c>
      <c r="K40" s="1">
        <f t="shared" si="15"/>
        <v>9.2878565990896802E-37</v>
      </c>
      <c r="L40" s="1">
        <f t="shared" si="15"/>
        <v>4.1919999999999701E-2</v>
      </c>
      <c r="N40" s="1">
        <f t="shared" si="20"/>
        <v>1.0876792493812413</v>
      </c>
      <c r="O40" s="1">
        <f t="shared" si="20"/>
        <v>0.40554937455407747</v>
      </c>
      <c r="P40" s="1">
        <f t="shared" si="20"/>
        <v>2.0027129607613343E-2</v>
      </c>
      <c r="R40" s="1">
        <f t="shared" si="21"/>
        <v>0.2412991599283083</v>
      </c>
      <c r="S40" s="1">
        <f t="shared" si="21"/>
        <v>9.2878565990896802E-37</v>
      </c>
      <c r="T40" s="1">
        <f t="shared" si="21"/>
        <v>4.3932159999999693E-2</v>
      </c>
    </row>
    <row r="41" spans="1:20" x14ac:dyDescent="0.3">
      <c r="A41" s="13">
        <v>24.2225</v>
      </c>
      <c r="B41">
        <v>25</v>
      </c>
      <c r="C41">
        <v>26.3</v>
      </c>
      <c r="D41">
        <f t="shared" si="18"/>
        <v>1.0208623428382424</v>
      </c>
      <c r="E41">
        <f t="shared" si="18"/>
        <v>1</v>
      </c>
      <c r="F41">
        <f t="shared" si="18"/>
        <v>0.94696969696969702</v>
      </c>
      <c r="G41">
        <f t="shared" si="19"/>
        <v>0.52230352480000075</v>
      </c>
      <c r="H41">
        <f t="shared" si="19"/>
        <v>0</v>
      </c>
      <c r="I41">
        <f t="shared" si="19"/>
        <v>0.21119999999999925</v>
      </c>
      <c r="J41" s="1">
        <f t="shared" si="15"/>
        <v>0.27577773100428205</v>
      </c>
      <c r="K41" s="1">
        <f t="shared" si="15"/>
        <v>9.2878565990896802E-37</v>
      </c>
      <c r="L41" s="1">
        <f t="shared" si="15"/>
        <v>4.2239999999999701E-2</v>
      </c>
      <c r="N41" s="1">
        <f t="shared" si="20"/>
        <v>0.2785924963467441</v>
      </c>
      <c r="O41" s="1">
        <f t="shared" si="20"/>
        <v>0.40554937455407747</v>
      </c>
      <c r="P41" s="1">
        <f t="shared" si="20"/>
        <v>3.4202330558843804E-3</v>
      </c>
      <c r="R41" s="1">
        <f t="shared" si="21"/>
        <v>0.27014193729347852</v>
      </c>
      <c r="S41" s="1">
        <f t="shared" si="21"/>
        <v>9.2878565990896802E-37</v>
      </c>
      <c r="T41" s="1">
        <f t="shared" si="21"/>
        <v>4.4605439999999684E-2</v>
      </c>
    </row>
    <row r="42" spans="1:20" x14ac:dyDescent="0.3">
      <c r="A42" s="13">
        <v>24.755700000000001</v>
      </c>
      <c r="B42">
        <v>25</v>
      </c>
      <c r="C42">
        <v>26.5</v>
      </c>
      <c r="D42">
        <f t="shared" si="18"/>
        <v>0.99753807602836198</v>
      </c>
      <c r="E42">
        <f t="shared" si="18"/>
        <v>1</v>
      </c>
      <c r="F42">
        <f t="shared" si="18"/>
        <v>0.93984962406015038</v>
      </c>
      <c r="G42">
        <f t="shared" si="19"/>
        <v>0.61351041599999834</v>
      </c>
      <c r="H42">
        <f t="shared" si="19"/>
        <v>0</v>
      </c>
      <c r="I42">
        <f t="shared" si="19"/>
        <v>0.21279999999999924</v>
      </c>
      <c r="J42" s="1">
        <f t="shared" si="15"/>
        <v>0.372351563033056</v>
      </c>
      <c r="K42" s="1">
        <f t="shared" si="15"/>
        <v>9.2878565990896802E-37</v>
      </c>
      <c r="L42" s="1">
        <f t="shared" si="15"/>
        <v>4.2559999999999702E-2</v>
      </c>
      <c r="N42" s="1">
        <f t="shared" si="20"/>
        <v>2.8959243281672915E-5</v>
      </c>
      <c r="O42" s="1">
        <f t="shared" si="20"/>
        <v>0.40554937455407747</v>
      </c>
      <c r="P42" s="1">
        <f t="shared" si="20"/>
        <v>6.6813336504154844E-2</v>
      </c>
      <c r="R42" s="1">
        <f t="shared" si="21"/>
        <v>0.37327052669062161</v>
      </c>
      <c r="S42" s="1">
        <f t="shared" si="21"/>
        <v>9.2878565990896802E-37</v>
      </c>
      <c r="T42" s="1">
        <f t="shared" si="21"/>
        <v>4.528383999999968E-2</v>
      </c>
    </row>
    <row r="43" spans="1:20" x14ac:dyDescent="0.3">
      <c r="A43" s="13">
        <v>25.367699999999999</v>
      </c>
      <c r="B43">
        <v>25</v>
      </c>
      <c r="C43">
        <v>26.7</v>
      </c>
      <c r="D43">
        <f t="shared" si="18"/>
        <v>0.97567257989294909</v>
      </c>
      <c r="E43">
        <f t="shared" si="18"/>
        <v>1</v>
      </c>
      <c r="F43">
        <f t="shared" si="18"/>
        <v>0.93283582089552253</v>
      </c>
      <c r="G43">
        <f t="shared" si="19"/>
        <v>0.52404875420000219</v>
      </c>
      <c r="H43">
        <f t="shared" si="19"/>
        <v>0</v>
      </c>
      <c r="I43">
        <f t="shared" si="19"/>
        <v>0.2143999999999992</v>
      </c>
      <c r="J43" s="1">
        <f t="shared" si="15"/>
        <v>0.26534309075087331</v>
      </c>
      <c r="K43" s="1">
        <f t="shared" si="15"/>
        <v>9.2878565990896802E-37</v>
      </c>
      <c r="L43" s="1">
        <f t="shared" si="15"/>
        <v>4.2879999999999689E-2</v>
      </c>
      <c r="N43" s="1">
        <f t="shared" si="20"/>
        <v>0.38115976751912639</v>
      </c>
      <c r="O43" s="1">
        <f t="shared" si="20"/>
        <v>0.40554937455407747</v>
      </c>
      <c r="P43" s="1">
        <f t="shared" si="20"/>
        <v>0.21020643995242475</v>
      </c>
      <c r="R43" s="1">
        <f t="shared" si="21"/>
        <v>0.27195915537565563</v>
      </c>
      <c r="S43" s="1">
        <f t="shared" si="21"/>
        <v>9.2878565990896802E-37</v>
      </c>
      <c r="T43" s="1">
        <f t="shared" si="21"/>
        <v>4.5967359999999659E-2</v>
      </c>
    </row>
    <row r="44" spans="1:20" x14ac:dyDescent="0.3">
      <c r="A44" s="13">
        <v>25.879000000000001</v>
      </c>
      <c r="B44">
        <v>25</v>
      </c>
      <c r="C44">
        <v>26.9</v>
      </c>
      <c r="D44">
        <f t="shared" si="18"/>
        <v>0.9705477577435152</v>
      </c>
      <c r="E44">
        <f t="shared" si="18"/>
        <v>1</v>
      </c>
      <c r="F44">
        <f t="shared" si="18"/>
        <v>0.92592592592592593</v>
      </c>
      <c r="G44">
        <f t="shared" si="19"/>
        <v>-0.2480042822000004</v>
      </c>
      <c r="H44">
        <f t="shared" si="19"/>
        <v>0</v>
      </c>
      <c r="I44">
        <f t="shared" si="19"/>
        <v>0.21600000000000308</v>
      </c>
      <c r="J44" s="1">
        <f t="shared" si="15"/>
        <v>6.0929348844792529E-2</v>
      </c>
      <c r="K44" s="1">
        <f t="shared" si="15"/>
        <v>9.2878565990896802E-37</v>
      </c>
      <c r="L44" s="1">
        <f t="shared" si="15"/>
        <v>4.320000000000123E-2</v>
      </c>
      <c r="N44" s="1">
        <f t="shared" si="20"/>
        <v>1.2739216560018751</v>
      </c>
      <c r="O44" s="1">
        <f t="shared" si="20"/>
        <v>0.40554937455407747</v>
      </c>
      <c r="P44" s="1">
        <f t="shared" si="20"/>
        <v>0.43359954340069407</v>
      </c>
      <c r="R44" s="1">
        <f t="shared" si="21"/>
        <v>6.2778310864836609E-2</v>
      </c>
      <c r="S44" s="1">
        <f t="shared" si="21"/>
        <v>9.2878565990896802E-37</v>
      </c>
      <c r="T44" s="1">
        <f t="shared" si="21"/>
        <v>4.6656000000001328E-2</v>
      </c>
    </row>
    <row r="45" spans="1:20" x14ac:dyDescent="0.3">
      <c r="A45" s="13">
        <v>25.638300000000001</v>
      </c>
      <c r="B45">
        <v>25</v>
      </c>
      <c r="C45">
        <v>27.1</v>
      </c>
      <c r="D45">
        <f t="shared" si="18"/>
        <v>0.97962958246227938</v>
      </c>
      <c r="E45">
        <f t="shared" si="18"/>
        <v>1</v>
      </c>
      <c r="F45">
        <f t="shared" si="18"/>
        <v>0.91911764705882348</v>
      </c>
      <c r="G45">
        <f t="shared" si="19"/>
        <v>-0.24182609860000215</v>
      </c>
      <c r="H45">
        <f t="shared" si="19"/>
        <v>0</v>
      </c>
      <c r="I45">
        <f t="shared" si="19"/>
        <v>0.21759999999999924</v>
      </c>
      <c r="J45" s="1">
        <f t="shared" si="15"/>
        <v>5.8503986930409181E-2</v>
      </c>
      <c r="K45" s="1">
        <f t="shared" si="15"/>
        <v>9.2878565990896802E-37</v>
      </c>
      <c r="L45" s="1">
        <f t="shared" si="15"/>
        <v>4.3519999999999698E-2</v>
      </c>
      <c r="N45" s="1">
        <f t="shared" si="20"/>
        <v>0.78851093000188044</v>
      </c>
      <c r="O45" s="1">
        <f t="shared" si="20"/>
        <v>0.40554937455407747</v>
      </c>
      <c r="P45" s="1">
        <f t="shared" si="20"/>
        <v>0.73699264684896892</v>
      </c>
      <c r="R45" s="1">
        <f t="shared" si="21"/>
        <v>5.9720518834640107E-2</v>
      </c>
      <c r="S45" s="1">
        <f t="shared" si="21"/>
        <v>9.2878565990896802E-37</v>
      </c>
      <c r="T45" s="1">
        <f t="shared" si="21"/>
        <v>4.7349759999999672E-2</v>
      </c>
    </row>
    <row r="46" spans="1:20" x14ac:dyDescent="0.3">
      <c r="A46" s="13">
        <v>25.401399999999999</v>
      </c>
      <c r="B46">
        <v>25</v>
      </c>
      <c r="C46">
        <v>27.3</v>
      </c>
      <c r="D46">
        <f t="shared" si="18"/>
        <v>0.98207902200642672</v>
      </c>
      <c r="E46">
        <f t="shared" si="18"/>
        <v>1</v>
      </c>
      <c r="F46">
        <f t="shared" si="18"/>
        <v>0.91240875912408759</v>
      </c>
      <c r="G46">
        <f t="shared" si="19"/>
        <v>0.11159998080000037</v>
      </c>
      <c r="H46">
        <f t="shared" si="19"/>
        <v>0</v>
      </c>
      <c r="I46">
        <f t="shared" si="19"/>
        <v>0.21919999999999923</v>
      </c>
      <c r="J46" s="1">
        <f t="shared" si="15"/>
        <v>1.1678415190488215E-2</v>
      </c>
      <c r="K46" s="1">
        <f t="shared" si="15"/>
        <v>9.2878565990896802E-37</v>
      </c>
      <c r="L46" s="1">
        <f t="shared" si="15"/>
        <v>4.3839999999999692E-2</v>
      </c>
      <c r="N46" s="1">
        <f t="shared" si="20"/>
        <v>0.42390696248464216</v>
      </c>
      <c r="O46" s="1">
        <f t="shared" si="20"/>
        <v>0.40554937455407747</v>
      </c>
      <c r="P46" s="1">
        <f t="shared" si="20"/>
        <v>1.1203857502972385</v>
      </c>
      <c r="R46" s="1">
        <f t="shared" si="21"/>
        <v>1.1891522910884245E-2</v>
      </c>
      <c r="S46" s="1">
        <f t="shared" si="21"/>
        <v>9.2878565990896802E-37</v>
      </c>
      <c r="T46" s="1">
        <f t="shared" si="21"/>
        <v>4.8048639999999664E-2</v>
      </c>
    </row>
    <row r="47" spans="1:20" x14ac:dyDescent="0.3">
      <c r="A47" s="13">
        <v>25.510999999999999</v>
      </c>
      <c r="B47">
        <v>25</v>
      </c>
      <c r="C47">
        <v>27.5</v>
      </c>
      <c r="D47">
        <f t="shared" si="18"/>
        <v>0.97824959842853987</v>
      </c>
      <c r="E47">
        <f t="shared" si="18"/>
        <v>1</v>
      </c>
      <c r="F47">
        <f t="shared" si="18"/>
        <v>0.90744101633393826</v>
      </c>
      <c r="G47">
        <f t="shared" si="19"/>
        <v>9.1694389800000567E-2</v>
      </c>
      <c r="H47">
        <f t="shared" si="19"/>
        <v>0</v>
      </c>
      <c r="I47">
        <f t="shared" si="19"/>
        <v>0.11020000000000157</v>
      </c>
      <c r="J47" s="1">
        <f t="shared" si="15"/>
        <v>7.7735776311639582E-3</v>
      </c>
      <c r="K47" s="1">
        <f t="shared" si="15"/>
        <v>9.2878565990896802E-37</v>
      </c>
      <c r="L47" s="1">
        <f t="shared" si="15"/>
        <v>1.1020000000000314E-2</v>
      </c>
      <c r="N47" s="1">
        <f t="shared" si="20"/>
        <v>0.57863616082946712</v>
      </c>
      <c r="O47" s="1">
        <f t="shared" si="20"/>
        <v>0.40554937455407747</v>
      </c>
      <c r="P47" s="1">
        <f t="shared" si="20"/>
        <v>1.5837788537455075</v>
      </c>
      <c r="R47" s="1">
        <f t="shared" si="21"/>
        <v>7.946415356215257E-3</v>
      </c>
      <c r="S47" s="1">
        <f t="shared" si="21"/>
        <v>9.2878565990896802E-37</v>
      </c>
      <c r="T47" s="1">
        <f t="shared" si="21"/>
        <v>1.2144040000000347E-2</v>
      </c>
    </row>
    <row r="48" spans="1:20" x14ac:dyDescent="0.3">
      <c r="A48" s="13">
        <v>25.6007</v>
      </c>
      <c r="B48">
        <v>25</v>
      </c>
      <c r="C48">
        <v>27.6</v>
      </c>
      <c r="D48">
        <f t="shared" si="18"/>
        <v>0.98653770645767858</v>
      </c>
      <c r="E48">
        <f t="shared" si="18"/>
        <v>1</v>
      </c>
      <c r="F48">
        <f t="shared" si="18"/>
        <v>0.9041591320072333</v>
      </c>
      <c r="G48">
        <f t="shared" si="19"/>
        <v>-0.52618363859999806</v>
      </c>
      <c r="H48">
        <f t="shared" si="19"/>
        <v>0</v>
      </c>
      <c r="I48">
        <f t="shared" si="19"/>
        <v>0.11059999999999764</v>
      </c>
      <c r="J48" s="1">
        <f t="shared" si="15"/>
        <v>0.27579754742356499</v>
      </c>
      <c r="K48" s="1">
        <f t="shared" si="15"/>
        <v>9.2878565990896802E-37</v>
      </c>
      <c r="L48" s="1">
        <f t="shared" si="15"/>
        <v>1.1059999999999529E-2</v>
      </c>
      <c r="N48" s="1">
        <f t="shared" si="20"/>
        <v>0.72314849027774142</v>
      </c>
      <c r="O48" s="1">
        <f t="shared" si="20"/>
        <v>0.40554937455407747</v>
      </c>
      <c r="P48" s="1">
        <f t="shared" si="20"/>
        <v>1.8454754054696467</v>
      </c>
      <c r="R48" s="1">
        <f t="shared" si="21"/>
        <v>0.27956108075570696</v>
      </c>
      <c r="S48" s="1">
        <f t="shared" si="21"/>
        <v>9.2878565990896802E-37</v>
      </c>
      <c r="T48" s="1">
        <f t="shared" si="21"/>
        <v>1.2232359999999479E-2</v>
      </c>
    </row>
    <row r="49" spans="1:20" x14ac:dyDescent="0.3">
      <c r="A49" s="13">
        <v>25.081600000000002</v>
      </c>
      <c r="B49">
        <v>25</v>
      </c>
      <c r="C49">
        <v>27.7</v>
      </c>
      <c r="D49">
        <f t="shared" si="18"/>
        <v>1.0052554756265757</v>
      </c>
      <c r="E49">
        <f t="shared" si="18"/>
        <v>1</v>
      </c>
      <c r="F49">
        <f t="shared" si="18"/>
        <v>0.90122566690699346</v>
      </c>
      <c r="G49">
        <f t="shared" si="19"/>
        <v>-0.42238019120000164</v>
      </c>
      <c r="H49">
        <f t="shared" si="19"/>
        <v>0</v>
      </c>
      <c r="I49">
        <f t="shared" si="19"/>
        <v>8.8768000000002054E-2</v>
      </c>
      <c r="J49" s="1">
        <f t="shared" si="15"/>
        <v>0.18151609637023949</v>
      </c>
      <c r="K49" s="1">
        <f t="shared" si="15"/>
        <v>9.2878565990896802E-37</v>
      </c>
      <c r="L49" s="1">
        <f t="shared" si="15"/>
        <v>7.1014400000003275E-3</v>
      </c>
      <c r="N49" s="1">
        <f t="shared" si="20"/>
        <v>0.10974735227775678</v>
      </c>
      <c r="O49" s="1">
        <f t="shared" si="20"/>
        <v>0.40554937455407747</v>
      </c>
      <c r="P49" s="1">
        <f t="shared" si="20"/>
        <v>2.1271719571937759</v>
      </c>
      <c r="R49" s="1">
        <f t="shared" si="21"/>
        <v>0.18056713021841589</v>
      </c>
      <c r="S49" s="1">
        <f t="shared" si="21"/>
        <v>9.2878565990896802E-37</v>
      </c>
      <c r="T49" s="1">
        <f t="shared" si="21"/>
        <v>7.8797578240003639E-3</v>
      </c>
    </row>
    <row r="50" spans="1:20" x14ac:dyDescent="0.3">
      <c r="A50" s="13">
        <v>24.657</v>
      </c>
      <c r="B50">
        <v>25</v>
      </c>
      <c r="C50">
        <v>27.78</v>
      </c>
      <c r="D50">
        <f t="shared" si="18"/>
        <v>1.0205185458835344</v>
      </c>
      <c r="E50">
        <f t="shared" si="18"/>
        <v>1</v>
      </c>
      <c r="F50">
        <f t="shared" si="18"/>
        <v>0.89992800575953924</v>
      </c>
      <c r="G50">
        <f t="shared" si="19"/>
        <v>-0.31288015419999837</v>
      </c>
      <c r="H50">
        <f t="shared" si="19"/>
        <v>0</v>
      </c>
      <c r="I50">
        <f t="shared" si="19"/>
        <v>0</v>
      </c>
      <c r="J50" s="1">
        <f t="shared" si="15"/>
        <v>0.10153880730967156</v>
      </c>
      <c r="K50" s="1">
        <f t="shared" si="15"/>
        <v>9.2878565990896802E-37</v>
      </c>
      <c r="L50" s="1">
        <f t="shared" si="15"/>
        <v>3.0090248161197663E-37</v>
      </c>
      <c r="N50" s="1">
        <f t="shared" si="20"/>
        <v>8.7083649674222375E-3</v>
      </c>
      <c r="O50" s="1">
        <f t="shared" si="20"/>
        <v>0.40554937455407747</v>
      </c>
      <c r="P50" s="1">
        <f t="shared" si="20"/>
        <v>2.3669291985730898</v>
      </c>
      <c r="R50" s="1">
        <f t="shared" si="21"/>
        <v>9.9497268049903304E-2</v>
      </c>
      <c r="S50" s="1">
        <f t="shared" si="21"/>
        <v>9.2878565990896802E-37</v>
      </c>
      <c r="T50" s="1">
        <f t="shared" si="21"/>
        <v>3.3436283756722843E-37</v>
      </c>
    </row>
    <row r="51" spans="1:20" x14ac:dyDescent="0.3">
      <c r="A51" s="13">
        <v>24.337700000000002</v>
      </c>
      <c r="B51">
        <v>25</v>
      </c>
      <c r="C51">
        <v>27.78</v>
      </c>
      <c r="D51">
        <f t="shared" si="18"/>
        <v>1.03717870796574</v>
      </c>
      <c r="E51">
        <f t="shared" si="18"/>
        <v>1</v>
      </c>
      <c r="F51">
        <f t="shared" si="18"/>
        <v>0.89992800575953924</v>
      </c>
      <c r="G51">
        <f t="shared" si="19"/>
        <v>-0.4509348258000006</v>
      </c>
      <c r="H51">
        <f t="shared" si="19"/>
        <v>0</v>
      </c>
      <c r="I51">
        <f t="shared" si="19"/>
        <v>0</v>
      </c>
      <c r="J51" s="1">
        <f t="shared" si="15"/>
        <v>0.21329585144627564</v>
      </c>
      <c r="K51" s="1">
        <f t="shared" si="15"/>
        <v>9.2878565990896802E-37</v>
      </c>
      <c r="L51" s="1">
        <f t="shared" si="15"/>
        <v>3.0090248161197663E-37</v>
      </c>
      <c r="N51" s="1">
        <f t="shared" si="20"/>
        <v>0.17025412613984323</v>
      </c>
      <c r="O51" s="1">
        <f t="shared" si="20"/>
        <v>0.40554937455407747</v>
      </c>
      <c r="P51" s="1">
        <f t="shared" si="20"/>
        <v>2.3669291985730898</v>
      </c>
      <c r="R51" s="1">
        <f t="shared" si="21"/>
        <v>0.20565004835533243</v>
      </c>
      <c r="S51" s="1">
        <f t="shared" si="21"/>
        <v>9.2878565990896802E-37</v>
      </c>
      <c r="T51" s="1">
        <f t="shared" si="21"/>
        <v>3.3436283756722843E-37</v>
      </c>
    </row>
    <row r="52" spans="1:20" x14ac:dyDescent="0.3">
      <c r="A52" s="13">
        <v>23.87</v>
      </c>
      <c r="B52">
        <v>25</v>
      </c>
      <c r="C52">
        <v>27.78</v>
      </c>
      <c r="D52">
        <f t="shared" si="18"/>
        <v>1.0594297725192392</v>
      </c>
      <c r="E52">
        <f t="shared" si="18"/>
        <v>1</v>
      </c>
      <c r="F52">
        <f t="shared" si="18"/>
        <v>0.89992800575953924</v>
      </c>
      <c r="G52">
        <f t="shared" si="19"/>
        <v>-0.5142388992000021</v>
      </c>
      <c r="H52">
        <f t="shared" si="19"/>
        <v>0</v>
      </c>
      <c r="I52">
        <f t="shared" si="19"/>
        <v>0</v>
      </c>
      <c r="J52" s="1">
        <f t="shared" si="15"/>
        <v>0.28294460600346877</v>
      </c>
      <c r="K52" s="1">
        <f t="shared" si="15"/>
        <v>9.2878565990896802E-37</v>
      </c>
      <c r="L52" s="1">
        <f t="shared" si="15"/>
        <v>3.0090248161197663E-37</v>
      </c>
      <c r="N52" s="1">
        <f t="shared" si="20"/>
        <v>0.77496087393295887</v>
      </c>
      <c r="O52" s="1">
        <f t="shared" si="20"/>
        <v>0.40554937455407747</v>
      </c>
      <c r="P52" s="1">
        <f t="shared" si="20"/>
        <v>2.3669291985730898</v>
      </c>
      <c r="R52" s="1">
        <f t="shared" si="21"/>
        <v>0.26707254538509817</v>
      </c>
      <c r="S52" s="1">
        <f t="shared" si="21"/>
        <v>9.2878565990896802E-37</v>
      </c>
      <c r="T52" s="1">
        <f t="shared" si="21"/>
        <v>3.3436283756722843E-37</v>
      </c>
    </row>
    <row r="53" spans="1:20" x14ac:dyDescent="0.3">
      <c r="A53" s="13">
        <v>23.325199999999999</v>
      </c>
      <c r="B53">
        <v>25</v>
      </c>
      <c r="C53">
        <v>27.78</v>
      </c>
      <c r="D53">
        <f t="shared" si="18"/>
        <v>1.0834729207612914</v>
      </c>
      <c r="E53">
        <f t="shared" si="18"/>
        <v>1</v>
      </c>
      <c r="F53">
        <f t="shared" si="18"/>
        <v>0.89992800575953924</v>
      </c>
      <c r="G53">
        <f t="shared" si="19"/>
        <v>-0.46378639499999791</v>
      </c>
      <c r="H53">
        <f t="shared" si="19"/>
        <v>0</v>
      </c>
      <c r="I53">
        <f t="shared" si="19"/>
        <v>0</v>
      </c>
      <c r="J53" s="1">
        <f t="shared" si="15"/>
        <v>0.23562419814075677</v>
      </c>
      <c r="K53" s="1">
        <f t="shared" si="15"/>
        <v>9.2878565990896802E-37</v>
      </c>
      <c r="L53" s="1">
        <f t="shared" si="15"/>
        <v>3.0090248161197663E-37</v>
      </c>
      <c r="N53" s="1">
        <f t="shared" si="20"/>
        <v>2.0309630830364269</v>
      </c>
      <c r="O53" s="1">
        <f t="shared" si="20"/>
        <v>0.40554937455407747</v>
      </c>
      <c r="P53" s="1">
        <f t="shared" si="20"/>
        <v>2.3669291985730898</v>
      </c>
      <c r="R53" s="1">
        <f t="shared" si="21"/>
        <v>0.2174712386675966</v>
      </c>
      <c r="S53" s="1">
        <f t="shared" si="21"/>
        <v>9.2878565990896802E-37</v>
      </c>
      <c r="T53" s="1">
        <f t="shared" si="21"/>
        <v>3.3436283756722843E-37</v>
      </c>
    </row>
    <row r="54" spans="1:20" x14ac:dyDescent="0.3">
      <c r="A54" s="13">
        <v>22.822700000000001</v>
      </c>
      <c r="B54">
        <v>25</v>
      </c>
      <c r="C54">
        <v>27.78</v>
      </c>
      <c r="D54">
        <f t="shared" si="18"/>
        <v>1.1098557409507912</v>
      </c>
      <c r="E54">
        <f t="shared" si="18"/>
        <v>1</v>
      </c>
      <c r="F54">
        <f t="shared" si="18"/>
        <v>0.89992800575953924</v>
      </c>
      <c r="G54">
        <f t="shared" si="19"/>
        <v>-0.53565520100000008</v>
      </c>
      <c r="H54">
        <f t="shared" si="19"/>
        <v>0</v>
      </c>
      <c r="I54">
        <f t="shared" si="19"/>
        <v>0</v>
      </c>
      <c r="J54" s="1">
        <f t="shared" si="15"/>
        <v>0.32148824014372374</v>
      </c>
      <c r="K54" s="1">
        <f t="shared" si="15"/>
        <v>9.2878565990896802E-37</v>
      </c>
      <c r="L54" s="1">
        <f t="shared" si="15"/>
        <v>3.0090248161197663E-37</v>
      </c>
      <c r="N54" s="1">
        <f t="shared" si="20"/>
        <v>3.7157135468295364</v>
      </c>
      <c r="O54" s="1">
        <f t="shared" si="20"/>
        <v>0.40554937455407747</v>
      </c>
      <c r="P54" s="1">
        <f t="shared" si="20"/>
        <v>2.3669291985730898</v>
      </c>
      <c r="R54" s="1">
        <f t="shared" si="21"/>
        <v>0.28966669115781768</v>
      </c>
      <c r="S54" s="1">
        <f t="shared" si="21"/>
        <v>9.2878565990896802E-37</v>
      </c>
      <c r="T54" s="1">
        <f t="shared" si="21"/>
        <v>3.3436283756722843E-37</v>
      </c>
    </row>
    <row r="55" spans="1:20" x14ac:dyDescent="0.3">
      <c r="A55" s="13">
        <v>22.228200000000001</v>
      </c>
      <c r="B55">
        <v>25</v>
      </c>
      <c r="C55">
        <v>27.78</v>
      </c>
      <c r="D55">
        <f t="shared" si="18"/>
        <v>1.1357673585004238</v>
      </c>
      <c r="E55">
        <f t="shared" si="18"/>
        <v>1</v>
      </c>
      <c r="F55">
        <f t="shared" si="18"/>
        <v>0.89992800575953924</v>
      </c>
      <c r="G55">
        <f t="shared" si="19"/>
        <v>-0.38150418460000229</v>
      </c>
      <c r="H55">
        <f t="shared" si="19"/>
        <v>0</v>
      </c>
      <c r="I55">
        <f t="shared" si="19"/>
        <v>0</v>
      </c>
      <c r="J55" s="1">
        <f t="shared" si="15"/>
        <v>0.1675244801232374</v>
      </c>
      <c r="K55" s="1">
        <f t="shared" si="15"/>
        <v>9.2878565990896802E-37</v>
      </c>
      <c r="L55" s="1">
        <f t="shared" si="15"/>
        <v>3.0090248161197663E-37</v>
      </c>
      <c r="N55" s="1">
        <f t="shared" si="20"/>
        <v>6.3610823368295506</v>
      </c>
      <c r="O55" s="1">
        <f t="shared" si="20"/>
        <v>0.40554937455407747</v>
      </c>
      <c r="P55" s="1">
        <f t="shared" si="20"/>
        <v>2.3669291985730898</v>
      </c>
      <c r="R55" s="1">
        <f t="shared" si="21"/>
        <v>0.14749893881826584</v>
      </c>
      <c r="S55" s="1">
        <f t="shared" si="21"/>
        <v>9.2878565990896802E-37</v>
      </c>
      <c r="T55" s="1">
        <f t="shared" si="21"/>
        <v>3.3436283756722843E-37</v>
      </c>
    </row>
    <row r="56" spans="1:20" x14ac:dyDescent="0.3">
      <c r="A56" s="13">
        <v>21.794899999999998</v>
      </c>
      <c r="B56">
        <v>25</v>
      </c>
      <c r="C56">
        <v>27.78</v>
      </c>
      <c r="D56">
        <f t="shared" si="18"/>
        <v>1.1539402443583862</v>
      </c>
      <c r="E56">
        <f t="shared" si="18"/>
        <v>1</v>
      </c>
      <c r="F56">
        <f t="shared" si="18"/>
        <v>0.89992800575953924</v>
      </c>
      <c r="G56">
        <f t="shared" si="19"/>
        <v>-0.22531495999999826</v>
      </c>
      <c r="H56">
        <f t="shared" si="19"/>
        <v>0</v>
      </c>
      <c r="I56">
        <f t="shared" si="19"/>
        <v>0</v>
      </c>
      <c r="J56" s="1">
        <f t="shared" si="15"/>
        <v>5.9916298279577E-2</v>
      </c>
      <c r="K56" s="1">
        <f t="shared" si="15"/>
        <v>9.2878565990896802E-37</v>
      </c>
      <c r="L56" s="1">
        <f t="shared" si="15"/>
        <v>3.0090248161197663E-37</v>
      </c>
      <c r="N56" s="1">
        <f t="shared" si="20"/>
        <v>8.7344992235192329</v>
      </c>
      <c r="O56" s="1">
        <f t="shared" si="20"/>
        <v>0.40554937455407747</v>
      </c>
      <c r="P56" s="1">
        <f t="shared" si="20"/>
        <v>2.3669291985730898</v>
      </c>
      <c r="R56" s="1">
        <f t="shared" si="21"/>
        <v>5.192322442388831E-2</v>
      </c>
      <c r="S56" s="1">
        <f t="shared" si="21"/>
        <v>9.2878565990896802E-37</v>
      </c>
      <c r="T56" s="1">
        <f t="shared" si="21"/>
        <v>3.3436283756722843E-37</v>
      </c>
    </row>
    <row r="57" spans="1:20" x14ac:dyDescent="0.3">
      <c r="A57" s="13">
        <v>21.5349</v>
      </c>
      <c r="B57">
        <v>25</v>
      </c>
      <c r="C57">
        <v>27.78</v>
      </c>
      <c r="D57">
        <f t="shared" si="18"/>
        <v>1.1655364847885832</v>
      </c>
      <c r="E57">
        <f t="shared" si="18"/>
        <v>1</v>
      </c>
      <c r="F57">
        <f t="shared" si="18"/>
        <v>0.89992800575953924</v>
      </c>
      <c r="G57">
        <f t="shared" si="19"/>
        <v>-0.14679935139999928</v>
      </c>
      <c r="H57">
        <f t="shared" si="19"/>
        <v>0</v>
      </c>
      <c r="I57">
        <f t="shared" si="19"/>
        <v>0</v>
      </c>
      <c r="J57" s="1">
        <f t="shared" si="15"/>
        <v>2.5998157172251561E-2</v>
      </c>
      <c r="K57" s="1">
        <f t="shared" si="15"/>
        <v>9.2878565990896802E-37</v>
      </c>
      <c r="L57" s="1">
        <f t="shared" si="15"/>
        <v>3.0090248161197663E-37</v>
      </c>
      <c r="N57" s="1">
        <f t="shared" si="20"/>
        <v>10.338916906277849</v>
      </c>
      <c r="O57" s="1">
        <f t="shared" si="20"/>
        <v>0.40554937455407747</v>
      </c>
      <c r="P57" s="1">
        <f t="shared" si="20"/>
        <v>2.3669291985730898</v>
      </c>
      <c r="R57" s="1">
        <f t="shared" si="21"/>
        <v>2.2305742901705363E-2</v>
      </c>
      <c r="S57" s="1">
        <f t="shared" si="21"/>
        <v>9.2878565990896802E-37</v>
      </c>
      <c r="T57" s="1">
        <f t="shared" si="21"/>
        <v>3.3436283756722843E-37</v>
      </c>
    </row>
    <row r="58" spans="1:20" x14ac:dyDescent="0.3">
      <c r="A58" s="13">
        <v>21.363800000000001</v>
      </c>
      <c r="B58">
        <v>25</v>
      </c>
      <c r="C58">
        <v>27.78</v>
      </c>
      <c r="D58">
        <f t="shared" si="18"/>
        <v>1.1619287087021488</v>
      </c>
      <c r="E58">
        <f t="shared" si="18"/>
        <v>1</v>
      </c>
      <c r="F58">
        <f t="shared" si="18"/>
        <v>0.89992800575953924</v>
      </c>
      <c r="G58">
        <f t="shared" si="19"/>
        <v>0.26189214339999811</v>
      </c>
      <c r="H58">
        <f t="shared" si="19"/>
        <v>0</v>
      </c>
      <c r="I58">
        <f t="shared" si="19"/>
        <v>0</v>
      </c>
      <c r="J58" s="1">
        <f t="shared" si="15"/>
        <v>7.8148367328585558E-2</v>
      </c>
      <c r="K58" s="1">
        <f t="shared" si="15"/>
        <v>9.2878565990896802E-37</v>
      </c>
      <c r="L58" s="1">
        <f t="shared" si="15"/>
        <v>3.0090248161197663E-37</v>
      </c>
      <c r="N58" s="1">
        <f t="shared" si="20"/>
        <v>11.468508368277847</v>
      </c>
      <c r="O58" s="1">
        <f t="shared" si="20"/>
        <v>0.40554937455407747</v>
      </c>
      <c r="P58" s="1">
        <f t="shared" si="20"/>
        <v>2.3669291985730898</v>
      </c>
      <c r="R58" s="1">
        <f t="shared" si="21"/>
        <v>6.725745456093922E-2</v>
      </c>
      <c r="S58" s="1">
        <f t="shared" si="21"/>
        <v>9.2878565990896802E-37</v>
      </c>
      <c r="T58" s="1">
        <f t="shared" si="21"/>
        <v>3.3436283756722843E-37</v>
      </c>
    </row>
    <row r="59" spans="1:20" x14ac:dyDescent="0.3">
      <c r="A59" s="13">
        <v>21.668099999999999</v>
      </c>
      <c r="B59">
        <v>25</v>
      </c>
      <c r="C59">
        <v>27.78</v>
      </c>
      <c r="D59">
        <f t="shared" si="18"/>
        <v>1.1468179243054297</v>
      </c>
      <c r="E59">
        <f t="shared" si="18"/>
        <v>1</v>
      </c>
      <c r="F59">
        <f t="shared" si="18"/>
        <v>0.90122566690699346</v>
      </c>
      <c r="G59">
        <f t="shared" si="19"/>
        <v>0.22906862060000208</v>
      </c>
      <c r="H59">
        <f t="shared" si="19"/>
        <v>0</v>
      </c>
      <c r="I59">
        <f t="shared" si="19"/>
        <v>-8.8768000000002054E-2</v>
      </c>
      <c r="J59" s="1">
        <f t="shared" si="15"/>
        <v>5.8843119541019347E-2</v>
      </c>
      <c r="K59" s="1">
        <f t="shared" si="15"/>
        <v>9.2878565990896802E-37</v>
      </c>
      <c r="L59" s="1">
        <f t="shared" si="15"/>
        <v>7.1014400000003275E-3</v>
      </c>
      <c r="N59" s="1">
        <f t="shared" si="20"/>
        <v>9.5000716257261288</v>
      </c>
      <c r="O59" s="1">
        <f t="shared" si="20"/>
        <v>0.40554937455407747</v>
      </c>
      <c r="P59" s="1">
        <f t="shared" si="20"/>
        <v>2.3669291985730898</v>
      </c>
      <c r="R59" s="1">
        <f t="shared" si="21"/>
        <v>5.1309905691138968E-2</v>
      </c>
      <c r="S59" s="1">
        <f t="shared" si="21"/>
        <v>9.2878565990896802E-37</v>
      </c>
      <c r="T59" s="1">
        <f t="shared" si="21"/>
        <v>7.8797578240003639E-3</v>
      </c>
    </row>
    <row r="60" spans="1:20" x14ac:dyDescent="0.3">
      <c r="A60" s="13">
        <v>21.930800000000001</v>
      </c>
      <c r="B60">
        <v>25</v>
      </c>
      <c r="C60">
        <v>27.7</v>
      </c>
      <c r="D60">
        <f t="shared" si="18"/>
        <v>1.1273702960474397</v>
      </c>
      <c r="E60">
        <f t="shared" si="18"/>
        <v>1</v>
      </c>
      <c r="F60">
        <f t="shared" si="18"/>
        <v>0.9041591320072333</v>
      </c>
      <c r="G60">
        <f t="shared" si="19"/>
        <v>0.43410758799999988</v>
      </c>
      <c r="H60">
        <f t="shared" si="19"/>
        <v>0</v>
      </c>
      <c r="I60">
        <f t="shared" si="19"/>
        <v>-0.11059999999999764</v>
      </c>
      <c r="J60" s="1">
        <f t="shared" si="15"/>
        <v>0.20996196943286916</v>
      </c>
      <c r="K60" s="1">
        <f t="shared" si="15"/>
        <v>9.2878565990896802E-37</v>
      </c>
      <c r="L60" s="1">
        <f t="shared" si="15"/>
        <v>1.1059999999999529E-2</v>
      </c>
      <c r="N60" s="1">
        <f t="shared" si="20"/>
        <v>7.9496852524157635</v>
      </c>
      <c r="O60" s="1">
        <f t="shared" si="20"/>
        <v>0.40554937455407747</v>
      </c>
      <c r="P60" s="1">
        <f t="shared" si="20"/>
        <v>2.1271719571937759</v>
      </c>
      <c r="R60" s="1">
        <f t="shared" si="21"/>
        <v>0.18624046612634362</v>
      </c>
      <c r="S60" s="1">
        <f t="shared" si="21"/>
        <v>9.2878565990896802E-37</v>
      </c>
      <c r="T60" s="1">
        <f t="shared" si="21"/>
        <v>1.2232359999999479E-2</v>
      </c>
    </row>
    <row r="61" spans="1:20" x14ac:dyDescent="0.3">
      <c r="A61" s="13">
        <v>22.420200000000001</v>
      </c>
      <c r="B61">
        <v>25</v>
      </c>
      <c r="C61">
        <v>27.6</v>
      </c>
      <c r="D61">
        <f t="shared" si="18"/>
        <v>1.1001681056865489</v>
      </c>
      <c r="E61">
        <f t="shared" si="18"/>
        <v>1</v>
      </c>
      <c r="F61">
        <f t="shared" si="18"/>
        <v>0.90744101633393826</v>
      </c>
      <c r="G61">
        <f t="shared" si="19"/>
        <v>0.55191565439999901</v>
      </c>
      <c r="H61">
        <f t="shared" si="19"/>
        <v>0</v>
      </c>
      <c r="I61">
        <f t="shared" si="19"/>
        <v>-0.11020000000000157</v>
      </c>
      <c r="J61" s="1">
        <f t="shared" si="15"/>
        <v>0.33203153856973366</v>
      </c>
      <c r="K61" s="1">
        <f t="shared" si="15"/>
        <v>9.2878565990896802E-37</v>
      </c>
      <c r="L61" s="1">
        <f t="shared" si="15"/>
        <v>1.1020000000000314E-2</v>
      </c>
      <c r="N61" s="1">
        <f t="shared" si="20"/>
        <v>5.4294527864847177</v>
      </c>
      <c r="O61" s="1">
        <f t="shared" si="20"/>
        <v>0.40554937455407747</v>
      </c>
      <c r="P61" s="1">
        <f t="shared" si="20"/>
        <v>1.8454754054696467</v>
      </c>
      <c r="R61" s="1">
        <f t="shared" si="21"/>
        <v>0.30180073104603655</v>
      </c>
      <c r="S61" s="1">
        <f t="shared" si="21"/>
        <v>9.2878565990896802E-37</v>
      </c>
      <c r="T61" s="1">
        <f t="shared" si="21"/>
        <v>1.2144040000000347E-2</v>
      </c>
    </row>
    <row r="62" spans="1:20" x14ac:dyDescent="0.3">
      <c r="A62" s="13">
        <v>23.0274</v>
      </c>
      <c r="B62">
        <v>25</v>
      </c>
      <c r="C62">
        <v>27.5</v>
      </c>
      <c r="D62">
        <f t="shared" si="18"/>
        <v>1.0891205569326881</v>
      </c>
      <c r="E62">
        <f t="shared" si="18"/>
        <v>1</v>
      </c>
      <c r="F62">
        <f t="shared" si="18"/>
        <v>0.91074681238615662</v>
      </c>
      <c r="G62">
        <f t="shared" si="19"/>
        <v>-0.1342367464000003</v>
      </c>
      <c r="H62">
        <f t="shared" si="19"/>
        <v>0</v>
      </c>
      <c r="I62">
        <f t="shared" si="19"/>
        <v>-0.10980000000000156</v>
      </c>
      <c r="J62" s="1">
        <f t="shared" si="15"/>
        <v>2.0378627187536955E-2</v>
      </c>
      <c r="K62" s="1">
        <f t="shared" si="15"/>
        <v>9.2878565990896802E-37</v>
      </c>
      <c r="L62" s="1">
        <f t="shared" si="15"/>
        <v>1.0980000000000312E-2</v>
      </c>
      <c r="N62" s="1">
        <f t="shared" si="20"/>
        <v>2.9684485735191899</v>
      </c>
      <c r="O62" s="1">
        <f t="shared" si="20"/>
        <v>0.40554937455407747</v>
      </c>
      <c r="P62" s="1">
        <f t="shared" si="20"/>
        <v>1.5837788537455075</v>
      </c>
      <c r="R62" s="1">
        <f t="shared" si="21"/>
        <v>1.871108488203518E-2</v>
      </c>
      <c r="S62" s="1">
        <f t="shared" si="21"/>
        <v>9.2878565990896802E-37</v>
      </c>
      <c r="T62" s="1">
        <f t="shared" si="21"/>
        <v>1.2056040000000344E-2</v>
      </c>
    </row>
    <row r="63" spans="1:20" x14ac:dyDescent="0.3">
      <c r="A63" s="13">
        <v>22.8812</v>
      </c>
      <c r="B63">
        <v>25</v>
      </c>
      <c r="C63">
        <v>27.4</v>
      </c>
      <c r="D63">
        <f t="shared" si="18"/>
        <v>1.0988890231975472</v>
      </c>
      <c r="E63">
        <f t="shared" si="18"/>
        <v>1</v>
      </c>
      <c r="F63">
        <f t="shared" si="18"/>
        <v>0.91407678244972568</v>
      </c>
      <c r="G63">
        <f t="shared" si="19"/>
        <v>-0.23833161900000063</v>
      </c>
      <c r="H63">
        <f t="shared" si="19"/>
        <v>0</v>
      </c>
      <c r="I63">
        <f t="shared" si="19"/>
        <v>-0.10939999999999768</v>
      </c>
      <c r="J63" s="1">
        <f t="shared" si="15"/>
        <v>6.376279778243929E-2</v>
      </c>
      <c r="K63" s="1">
        <f t="shared" si="15"/>
        <v>9.2878565990896802E-37</v>
      </c>
      <c r="L63" s="1">
        <f t="shared" si="15"/>
        <v>1.0939999999999535E-2</v>
      </c>
      <c r="N63" s="1">
        <f t="shared" si="20"/>
        <v>3.4936044182088501</v>
      </c>
      <c r="O63" s="1">
        <f t="shared" si="20"/>
        <v>0.40554937455407747</v>
      </c>
      <c r="P63" s="1">
        <f t="shared" si="20"/>
        <v>1.342082302021369</v>
      </c>
      <c r="R63" s="1">
        <f t="shared" si="21"/>
        <v>5.8024783609997577E-2</v>
      </c>
      <c r="S63" s="1">
        <f t="shared" si="21"/>
        <v>9.2878565990896802E-37</v>
      </c>
      <c r="T63" s="1">
        <f t="shared" si="21"/>
        <v>1.1968359999999493E-2</v>
      </c>
    </row>
    <row r="64" spans="1:20" x14ac:dyDescent="0.3">
      <c r="A64" s="13">
        <v>22.619299999999999</v>
      </c>
      <c r="B64">
        <v>25</v>
      </c>
      <c r="C64">
        <v>27.3</v>
      </c>
      <c r="D64">
        <f t="shared" si="18"/>
        <v>1.0993335839813905</v>
      </c>
      <c r="E64">
        <f t="shared" si="18"/>
        <v>1</v>
      </c>
      <c r="F64">
        <f t="shared" si="18"/>
        <v>0.91743119266055051</v>
      </c>
      <c r="G64">
        <f t="shared" si="19"/>
        <v>0.22149782700000087</v>
      </c>
      <c r="H64">
        <f t="shared" si="19"/>
        <v>0</v>
      </c>
      <c r="I64">
        <f t="shared" si="19"/>
        <v>-0.10900000000000154</v>
      </c>
      <c r="J64" s="1">
        <f t="shared" si="15"/>
        <v>5.2699190695999709E-2</v>
      </c>
      <c r="K64" s="1">
        <f t="shared" si="15"/>
        <v>9.2878565990896802E-37</v>
      </c>
      <c r="L64" s="1">
        <f t="shared" si="15"/>
        <v>1.0900000000000309E-2</v>
      </c>
      <c r="N64" s="1">
        <f t="shared" si="20"/>
        <v>4.5412403617261017</v>
      </c>
      <c r="O64" s="1">
        <f t="shared" si="20"/>
        <v>0.40554937455407747</v>
      </c>
      <c r="P64" s="1">
        <f t="shared" si="20"/>
        <v>1.1203857502972385</v>
      </c>
      <c r="R64" s="1">
        <f t="shared" si="21"/>
        <v>4.7937397223090567E-2</v>
      </c>
      <c r="S64" s="1">
        <f t="shared" si="21"/>
        <v>9.2878565990896802E-37</v>
      </c>
      <c r="T64" s="1">
        <f t="shared" si="21"/>
        <v>1.1881000000000336E-2</v>
      </c>
    </row>
    <row r="65" spans="1:20" x14ac:dyDescent="0.3">
      <c r="A65" s="13">
        <v>22.8628</v>
      </c>
      <c r="B65">
        <v>25</v>
      </c>
      <c r="C65">
        <v>27.2</v>
      </c>
      <c r="D65">
        <f t="shared" si="18"/>
        <v>1.0975261759992976</v>
      </c>
      <c r="E65">
        <f t="shared" si="18"/>
        <v>1</v>
      </c>
      <c r="F65">
        <f t="shared" si="18"/>
        <v>0.92081031307550654</v>
      </c>
      <c r="G65">
        <f t="shared" si="19"/>
        <v>-0.15361820400000128</v>
      </c>
      <c r="H65">
        <f t="shared" si="19"/>
        <v>0</v>
      </c>
      <c r="I65">
        <f t="shared" si="19"/>
        <v>-0.10859999999999767</v>
      </c>
      <c r="J65" s="1">
        <f t="shared" si="15"/>
        <v>2.6767615901607863E-2</v>
      </c>
      <c r="K65" s="1">
        <f t="shared" si="15"/>
        <v>9.2878565990896802E-37</v>
      </c>
      <c r="L65" s="1">
        <f t="shared" si="15"/>
        <v>1.0859999999999535E-2</v>
      </c>
      <c r="N65" s="1">
        <f t="shared" si="20"/>
        <v>3.5627265434502289</v>
      </c>
      <c r="O65" s="1">
        <f t="shared" si="20"/>
        <v>0.40554937455407747</v>
      </c>
      <c r="P65" s="1">
        <f t="shared" si="20"/>
        <v>0.91868919857310039</v>
      </c>
      <c r="R65" s="1">
        <f t="shared" si="21"/>
        <v>2.4389045552590988E-2</v>
      </c>
      <c r="S65" s="1">
        <f t="shared" si="21"/>
        <v>9.2878565990896802E-37</v>
      </c>
      <c r="T65" s="1">
        <f t="shared" si="21"/>
        <v>1.1793959999999494E-2</v>
      </c>
    </row>
    <row r="66" spans="1:20" x14ac:dyDescent="0.3">
      <c r="A66" s="13">
        <v>22.694199999999999</v>
      </c>
      <c r="B66">
        <v>25</v>
      </c>
      <c r="C66">
        <v>27.1</v>
      </c>
      <c r="D66">
        <f t="shared" si="18"/>
        <v>1.0917745703867066</v>
      </c>
      <c r="E66">
        <f t="shared" si="18"/>
        <v>1</v>
      </c>
      <c r="F66">
        <f t="shared" si="18"/>
        <v>0.92421441774491675</v>
      </c>
      <c r="G66">
        <f t="shared" si="19"/>
        <v>0.37425308399999985</v>
      </c>
      <c r="H66">
        <f t="shared" si="19"/>
        <v>0</v>
      </c>
      <c r="I66">
        <f t="shared" si="19"/>
        <v>-0.10820000000000154</v>
      </c>
      <c r="J66" s="1">
        <f t="shared" si="15"/>
        <v>0.15084165236828498</v>
      </c>
      <c r="K66" s="1">
        <f t="shared" si="15"/>
        <v>9.2878565990896802E-37</v>
      </c>
      <c r="L66" s="1">
        <f t="shared" si="15"/>
        <v>1.0820000000000307E-2</v>
      </c>
      <c r="N66" s="1">
        <f t="shared" si="20"/>
        <v>4.2276237823467913</v>
      </c>
      <c r="O66" s="1">
        <f t="shared" si="20"/>
        <v>0.40554937455407747</v>
      </c>
      <c r="P66" s="1">
        <f t="shared" si="20"/>
        <v>0.73699264684896892</v>
      </c>
      <c r="R66" s="1">
        <f t="shared" si="21"/>
        <v>0.13816190307020695</v>
      </c>
      <c r="S66" s="1">
        <f t="shared" si="21"/>
        <v>9.2878565990896802E-37</v>
      </c>
      <c r="T66" s="1">
        <f t="shared" si="21"/>
        <v>1.1707240000000334E-2</v>
      </c>
    </row>
    <row r="67" spans="1:20" x14ac:dyDescent="0.3">
      <c r="A67" s="13">
        <v>23.102799999999998</v>
      </c>
      <c r="B67">
        <v>25</v>
      </c>
      <c r="C67">
        <v>27</v>
      </c>
      <c r="D67">
        <f t="shared" si="18"/>
        <v>1.0672153576558829</v>
      </c>
      <c r="E67">
        <f t="shared" si="18"/>
        <v>1</v>
      </c>
      <c r="F67">
        <f t="shared" si="18"/>
        <v>0.927643784786642</v>
      </c>
      <c r="G67">
        <f t="shared" si="19"/>
        <v>0.60465771540000224</v>
      </c>
      <c r="H67">
        <f t="shared" si="19"/>
        <v>0</v>
      </c>
      <c r="I67">
        <f t="shared" si="19"/>
        <v>-0.10780000000000152</v>
      </c>
      <c r="J67" s="1">
        <f t="shared" si="15"/>
        <v>0.38689932124181448</v>
      </c>
      <c r="K67" s="1">
        <f t="shared" si="15"/>
        <v>9.2878565990896802E-37</v>
      </c>
      <c r="L67" s="1">
        <f t="shared" si="15"/>
        <v>1.0780000000000305E-2</v>
      </c>
      <c r="N67" s="1">
        <f t="shared" si="20"/>
        <v>2.7143176055191933</v>
      </c>
      <c r="O67" s="1">
        <f t="shared" si="20"/>
        <v>0.40554937455407747</v>
      </c>
      <c r="P67" s="1">
        <f t="shared" si="20"/>
        <v>0.57529609512483126</v>
      </c>
      <c r="R67" s="1">
        <f t="shared" si="21"/>
        <v>0.36253162819136248</v>
      </c>
      <c r="S67" s="1">
        <f t="shared" si="21"/>
        <v>9.2878565990896802E-37</v>
      </c>
      <c r="T67" s="1">
        <f t="shared" si="21"/>
        <v>1.1620840000000328E-2</v>
      </c>
    </row>
    <row r="68" spans="1:20" x14ac:dyDescent="0.3">
      <c r="A68" s="13">
        <v>23.748100000000001</v>
      </c>
      <c r="B68">
        <v>25</v>
      </c>
      <c r="C68">
        <v>26.9</v>
      </c>
      <c r="D68">
        <f t="shared" si="18"/>
        <v>1.0466316254398469</v>
      </c>
      <c r="E68">
        <f t="shared" si="18"/>
        <v>0.99800399201596801</v>
      </c>
      <c r="F68">
        <f t="shared" si="18"/>
        <v>0.93283582089552253</v>
      </c>
      <c r="G68">
        <f t="shared" si="19"/>
        <v>0.26379864059999958</v>
      </c>
      <c r="H68">
        <f t="shared" si="19"/>
        <v>0.10020000000000143</v>
      </c>
      <c r="I68">
        <f t="shared" si="19"/>
        <v>-0.2143999999999992</v>
      </c>
      <c r="J68" s="1">
        <f t="shared" si="15"/>
        <v>7.1432559108379923E-2</v>
      </c>
      <c r="K68" s="1">
        <f t="shared" si="15"/>
        <v>1.0020000000000286E-2</v>
      </c>
      <c r="L68" s="1">
        <f t="shared" si="15"/>
        <v>4.2879999999999689E-2</v>
      </c>
      <c r="N68" s="1">
        <f t="shared" si="20"/>
        <v>1.0044421636571002</v>
      </c>
      <c r="O68" s="1">
        <f t="shared" si="20"/>
        <v>0.40554937455407747</v>
      </c>
      <c r="P68" s="1">
        <f t="shared" si="20"/>
        <v>0.43359954340069407</v>
      </c>
      <c r="R68" s="1">
        <f t="shared" si="21"/>
        <v>6.8249952869865169E-2</v>
      </c>
      <c r="S68" s="1">
        <f t="shared" si="21"/>
        <v>1.0040040000000286E-2</v>
      </c>
      <c r="T68" s="1">
        <f t="shared" si="21"/>
        <v>4.5967359999999659E-2</v>
      </c>
    </row>
    <row r="69" spans="1:20" x14ac:dyDescent="0.3">
      <c r="A69" s="13">
        <v>24.0242</v>
      </c>
      <c r="B69">
        <v>25.1</v>
      </c>
      <c r="C69">
        <v>26.7</v>
      </c>
      <c r="D69">
        <f t="shared" si="18"/>
        <v>1.0419532037977111</v>
      </c>
      <c r="E69">
        <f t="shared" si="18"/>
        <v>0.99403578528827041</v>
      </c>
      <c r="F69">
        <f t="shared" si="18"/>
        <v>0.93984962406015038</v>
      </c>
      <c r="G69">
        <f t="shared" si="19"/>
        <v>-5.9119737600002012E-2</v>
      </c>
      <c r="H69">
        <f t="shared" si="19"/>
        <v>0.10059999999999786</v>
      </c>
      <c r="I69">
        <f t="shared" si="19"/>
        <v>-0.21279999999999924</v>
      </c>
      <c r="J69" s="1">
        <f t="shared" si="15"/>
        <v>3.9629323446109073E-3</v>
      </c>
      <c r="K69" s="1">
        <f t="shared" si="15"/>
        <v>1.0059999999999571E-2</v>
      </c>
      <c r="L69" s="1">
        <f t="shared" si="15"/>
        <v>4.2559999999999702E-2</v>
      </c>
      <c r="N69" s="1">
        <f t="shared" si="20"/>
        <v>0.52724825131226616</v>
      </c>
      <c r="O69" s="1">
        <f t="shared" si="20"/>
        <v>0.28818385731270052</v>
      </c>
      <c r="P69" s="1">
        <f t="shared" si="20"/>
        <v>0.21020643995242475</v>
      </c>
      <c r="R69" s="1">
        <f t="shared" si="21"/>
        <v>3.8033688366874933E-3</v>
      </c>
      <c r="S69" s="1">
        <f t="shared" si="21"/>
        <v>1.0120359999999568E-2</v>
      </c>
      <c r="T69" s="1">
        <f t="shared" si="21"/>
        <v>4.528383999999968E-2</v>
      </c>
    </row>
    <row r="70" spans="1:20" x14ac:dyDescent="0.3">
      <c r="A70" s="13">
        <v>23.962599999999998</v>
      </c>
      <c r="B70">
        <v>25.2</v>
      </c>
      <c r="C70">
        <v>26.5</v>
      </c>
      <c r="D70">
        <f t="shared" si="18"/>
        <v>1.0456291655251881</v>
      </c>
      <c r="E70">
        <f t="shared" si="18"/>
        <v>0.99009900990099009</v>
      </c>
      <c r="F70">
        <f t="shared" si="18"/>
        <v>0.94517958412098302</v>
      </c>
      <c r="G70">
        <f t="shared" si="19"/>
        <v>-0.10242637019999913</v>
      </c>
      <c r="H70">
        <f t="shared" si="19"/>
        <v>0.10100000000000144</v>
      </c>
      <c r="I70">
        <f t="shared" si="19"/>
        <v>-0.1058000000000015</v>
      </c>
      <c r="J70" s="1">
        <f t="shared" si="15"/>
        <v>1.1523251325841453E-2</v>
      </c>
      <c r="K70" s="1">
        <f t="shared" si="15"/>
        <v>1.0100000000000288E-2</v>
      </c>
      <c r="L70" s="1">
        <f t="shared" si="15"/>
        <v>1.0580000000000301E-2</v>
      </c>
      <c r="N70" s="1">
        <f t="shared" si="20"/>
        <v>0.62050062538123663</v>
      </c>
      <c r="O70" s="1">
        <f t="shared" si="20"/>
        <v>0.19081834007132725</v>
      </c>
      <c r="P70" s="1">
        <f t="shared" si="20"/>
        <v>6.6813336504154844E-2</v>
      </c>
      <c r="R70" s="1">
        <f t="shared" si="21"/>
        <v>1.1020399684484384E-2</v>
      </c>
      <c r="S70" s="1">
        <f t="shared" si="21"/>
        <v>1.020100000000029E-2</v>
      </c>
      <c r="T70" s="1">
        <f t="shared" si="21"/>
        <v>1.1193640000000319E-2</v>
      </c>
    </row>
    <row r="71" spans="1:20" x14ac:dyDescent="0.3">
      <c r="A71" s="13">
        <v>23.855499999999999</v>
      </c>
      <c r="B71">
        <v>25.3</v>
      </c>
      <c r="C71">
        <v>26.4</v>
      </c>
      <c r="D71">
        <f t="shared" si="18"/>
        <v>1.0419988037853731</v>
      </c>
      <c r="E71">
        <f t="shared" si="18"/>
        <v>0.98619329388560151</v>
      </c>
      <c r="F71">
        <f t="shared" si="18"/>
        <v>0.94876660341555974</v>
      </c>
      <c r="G71">
        <f t="shared" si="19"/>
        <v>0.26266824780000159</v>
      </c>
      <c r="H71">
        <f t="shared" si="19"/>
        <v>0.10139999999999784</v>
      </c>
      <c r="I71">
        <f t="shared" si="19"/>
        <v>-0.10539999999999776</v>
      </c>
      <c r="J71" s="1">
        <f t="shared" si="15"/>
        <v>7.0502271957975829E-2</v>
      </c>
      <c r="K71" s="1">
        <f t="shared" si="15"/>
        <v>1.0139999999999568E-2</v>
      </c>
      <c r="L71" s="1">
        <f t="shared" si="15"/>
        <v>1.0539999999999551E-2</v>
      </c>
      <c r="N71" s="1">
        <f t="shared" si="20"/>
        <v>0.80070036393296229</v>
      </c>
      <c r="O71" s="1">
        <f t="shared" si="20"/>
        <v>0.11345282282995073</v>
      </c>
      <c r="P71" s="1">
        <f t="shared" si="20"/>
        <v>2.5116784780019122E-2</v>
      </c>
      <c r="R71" s="1">
        <f t="shared" si="21"/>
        <v>6.766060738443766E-2</v>
      </c>
      <c r="S71" s="1">
        <f t="shared" si="21"/>
        <v>1.0281959999999563E-2</v>
      </c>
      <c r="T71" s="1">
        <f t="shared" si="21"/>
        <v>1.1109159999999528E-2</v>
      </c>
    </row>
    <row r="72" spans="1:20" x14ac:dyDescent="0.3">
      <c r="A72" s="13">
        <v>24.129200000000001</v>
      </c>
      <c r="B72">
        <v>25.4</v>
      </c>
      <c r="C72">
        <v>26.3</v>
      </c>
      <c r="D72">
        <f t="shared" si="18"/>
        <v>1.0272466912384075</v>
      </c>
      <c r="E72">
        <f t="shared" si="18"/>
        <v>0.98231827111984282</v>
      </c>
      <c r="F72">
        <f t="shared" si="18"/>
        <v>0.95238095238095233</v>
      </c>
      <c r="G72">
        <f t="shared" si="19"/>
        <v>0.40438193039999826</v>
      </c>
      <c r="H72">
        <f t="shared" si="19"/>
        <v>0.10180000000000144</v>
      </c>
      <c r="I72">
        <f t="shared" si="19"/>
        <v>-0.10500000000000149</v>
      </c>
      <c r="J72" s="1">
        <f t="shared" si="15"/>
        <v>0.16586697256586841</v>
      </c>
      <c r="K72" s="1">
        <f t="shared" si="15"/>
        <v>1.018000000000029E-2</v>
      </c>
      <c r="L72" s="1">
        <f t="shared" si="15"/>
        <v>1.0500000000000299E-2</v>
      </c>
      <c r="N72" s="1">
        <f t="shared" si="20"/>
        <v>0.38578834096743531</v>
      </c>
      <c r="O72" s="1">
        <f t="shared" si="20"/>
        <v>5.6087305588576462E-2</v>
      </c>
      <c r="P72" s="1">
        <f t="shared" si="20"/>
        <v>3.4202330558843804E-3</v>
      </c>
      <c r="R72" s="1">
        <f t="shared" si="21"/>
        <v>0.16146751698553133</v>
      </c>
      <c r="S72" s="1">
        <f t="shared" si="21"/>
        <v>1.0363240000000294E-2</v>
      </c>
      <c r="T72" s="1">
        <f t="shared" si="21"/>
        <v>1.1025000000000314E-2</v>
      </c>
    </row>
    <row r="73" spans="1:20" x14ac:dyDescent="0.3">
      <c r="A73" s="13">
        <v>24.544599999999999</v>
      </c>
      <c r="B73">
        <v>25.5</v>
      </c>
      <c r="C73">
        <v>26.2</v>
      </c>
      <c r="D73">
        <f t="shared" si="18"/>
        <v>1.0084325126709546</v>
      </c>
      <c r="E73">
        <f t="shared" si="18"/>
        <v>0.97847358121330719</v>
      </c>
      <c r="F73">
        <f t="shared" si="18"/>
        <v>0.95602294455066927</v>
      </c>
      <c r="G73">
        <f t="shared" si="19"/>
        <v>0.48858004259999921</v>
      </c>
      <c r="H73">
        <f t="shared" si="19"/>
        <v>0.10220000000000146</v>
      </c>
      <c r="I73">
        <f t="shared" si="19"/>
        <v>-0.10459999999999776</v>
      </c>
      <c r="J73" s="1">
        <f t="shared" si="15"/>
        <v>0.2382154870570693</v>
      </c>
      <c r="K73" s="1">
        <f t="shared" si="15"/>
        <v>1.022000000000029E-2</v>
      </c>
      <c r="L73" s="1">
        <f t="shared" si="15"/>
        <v>1.0459999999999553E-2</v>
      </c>
      <c r="N73" s="1">
        <f t="shared" si="20"/>
        <v>4.232015089846012E-2</v>
      </c>
      <c r="O73" s="1">
        <f t="shared" si="20"/>
        <v>1.8721788347200376E-2</v>
      </c>
      <c r="P73" s="1">
        <f t="shared" si="20"/>
        <v>1.7236813317490806E-3</v>
      </c>
      <c r="R73" s="1">
        <f t="shared" si="21"/>
        <v>0.23622352915429806</v>
      </c>
      <c r="S73" s="1">
        <f t="shared" si="21"/>
        <v>1.0444840000000297E-2</v>
      </c>
      <c r="T73" s="1">
        <f t="shared" si="21"/>
        <v>1.0941159999999532E-2</v>
      </c>
    </row>
    <row r="74" spans="1:20" x14ac:dyDescent="0.3">
      <c r="A74" s="13">
        <v>25.037299999999998</v>
      </c>
      <c r="B74">
        <v>25.6</v>
      </c>
      <c r="C74">
        <v>26.1</v>
      </c>
      <c r="D74">
        <f t="shared" si="18"/>
        <v>0.99842249246191028</v>
      </c>
      <c r="E74">
        <f t="shared" si="18"/>
        <v>0.97465886939571156</v>
      </c>
      <c r="F74">
        <f t="shared" si="18"/>
        <v>0.95969289827255277</v>
      </c>
      <c r="G74">
        <f t="shared" si="19"/>
        <v>4.4069520000004038E-3</v>
      </c>
      <c r="H74">
        <f t="shared" si="19"/>
        <v>0.1025999999999978</v>
      </c>
      <c r="I74">
        <f t="shared" si="19"/>
        <v>-0.10420000000000149</v>
      </c>
      <c r="J74" s="1">
        <f t="shared" si="15"/>
        <v>3.4364515423101702E-6</v>
      </c>
      <c r="K74" s="1">
        <f t="shared" si="15"/>
        <v>1.0259999999999561E-2</v>
      </c>
      <c r="L74" s="1">
        <f t="shared" si="15"/>
        <v>1.0420000000000297E-2</v>
      </c>
      <c r="N74" s="1">
        <f t="shared" si="20"/>
        <v>8.2358312070859363E-2</v>
      </c>
      <c r="O74" s="1">
        <f t="shared" si="20"/>
        <v>1.3562711058248576E-3</v>
      </c>
      <c r="P74" s="1">
        <f t="shared" si="20"/>
        <v>2.0027129607613343E-2</v>
      </c>
      <c r="R74" s="1">
        <f t="shared" si="21"/>
        <v>3.4418811357470198E-6</v>
      </c>
      <c r="S74" s="1">
        <f t="shared" si="21"/>
        <v>1.0526759999999549E-2</v>
      </c>
      <c r="T74" s="1">
        <f t="shared" si="21"/>
        <v>1.0857640000000311E-2</v>
      </c>
    </row>
    <row r="75" spans="1:20" x14ac:dyDescent="0.3">
      <c r="A75" s="13">
        <v>25.041699999999999</v>
      </c>
      <c r="B75">
        <v>25.7</v>
      </c>
      <c r="C75">
        <v>26</v>
      </c>
      <c r="D75">
        <f t="shared" si="18"/>
        <v>1.0029687876113293</v>
      </c>
      <c r="E75">
        <f t="shared" si="18"/>
        <v>0.970873786407767</v>
      </c>
      <c r="F75">
        <f t="shared" si="18"/>
        <v>0.96339113680154143</v>
      </c>
      <c r="G75">
        <f t="shared" si="19"/>
        <v>-0.23071505599999723</v>
      </c>
      <c r="H75">
        <f t="shared" si="19"/>
        <v>0.10300000000000147</v>
      </c>
      <c r="I75">
        <f t="shared" si="19"/>
        <v>-0.10380000000000147</v>
      </c>
      <c r="J75" s="1">
        <f t="shared" si="15"/>
        <v>5.4574931164847761E-2</v>
      </c>
      <c r="K75" s="1">
        <f t="shared" si="15"/>
        <v>1.0300000000000293E-2</v>
      </c>
      <c r="L75" s="1">
        <f t="shared" si="15"/>
        <v>1.0380000000000295E-2</v>
      </c>
      <c r="N75" s="1">
        <f t="shared" si="20"/>
        <v>8.490310820879049E-2</v>
      </c>
      <c r="O75" s="1">
        <f t="shared" si="20"/>
        <v>3.9907538644494579E-3</v>
      </c>
      <c r="P75" s="1">
        <f t="shared" si="20"/>
        <v>5.8330577883478472E-2</v>
      </c>
      <c r="R75" s="1">
        <f t="shared" si="21"/>
        <v>5.4413389368599824E-2</v>
      </c>
      <c r="S75" s="1">
        <f t="shared" si="21"/>
        <v>1.0609000000000302E-2</v>
      </c>
      <c r="T75" s="1">
        <f t="shared" si="21"/>
        <v>1.0774440000000307E-2</v>
      </c>
    </row>
    <row r="76" spans="1:20" x14ac:dyDescent="0.3">
      <c r="A76" s="13">
        <v>24.810300000000002</v>
      </c>
      <c r="B76">
        <v>25.8</v>
      </c>
      <c r="C76">
        <v>25.9</v>
      </c>
      <c r="D76">
        <f t="shared" si="18"/>
        <v>1.0135450155883223</v>
      </c>
      <c r="E76">
        <f t="shared" si="18"/>
        <v>0.96525096525096532</v>
      </c>
      <c r="F76">
        <f t="shared" si="18"/>
        <v>0.96711798839458407</v>
      </c>
      <c r="G76">
        <f t="shared" si="19"/>
        <v>-0.2849404768000019</v>
      </c>
      <c r="H76">
        <f t="shared" si="19"/>
        <v>0.20719999999999925</v>
      </c>
      <c r="I76">
        <f t="shared" si="19"/>
        <v>-0.1033999999999978</v>
      </c>
      <c r="J76" s="1">
        <f t="shared" si="15"/>
        <v>8.377128337058605E-2</v>
      </c>
      <c r="K76" s="1">
        <f t="shared" si="15"/>
        <v>4.1439999999999699E-2</v>
      </c>
      <c r="L76" s="1">
        <f t="shared" si="15"/>
        <v>1.033999999999956E-2</v>
      </c>
      <c r="N76" s="1">
        <f t="shared" si="20"/>
        <v>3.5977658639700415E-3</v>
      </c>
      <c r="O76" s="1">
        <f t="shared" si="20"/>
        <v>2.6625236623074366E-2</v>
      </c>
      <c r="P76" s="1">
        <f t="shared" si="20"/>
        <v>0.11663402615934416</v>
      </c>
      <c r="R76" s="1">
        <f t="shared" si="21"/>
        <v>8.2651763939621536E-2</v>
      </c>
      <c r="S76" s="1">
        <f t="shared" si="21"/>
        <v>4.2931839999999687E-2</v>
      </c>
      <c r="T76" s="1">
        <f t="shared" si="21"/>
        <v>1.0691559999999545E-2</v>
      </c>
    </row>
    <row r="77" spans="1:20" x14ac:dyDescent="0.3">
      <c r="A77" s="13">
        <v>24.5215</v>
      </c>
      <c r="B77">
        <v>26</v>
      </c>
      <c r="C77">
        <v>25.8</v>
      </c>
      <c r="D77">
        <f t="shared" si="18"/>
        <v>1.0242270670438554</v>
      </c>
      <c r="E77">
        <f t="shared" si="18"/>
        <v>0.95785440613026818</v>
      </c>
      <c r="F77">
        <f t="shared" si="18"/>
        <v>0.970873786407767</v>
      </c>
      <c r="G77">
        <f t="shared" si="19"/>
        <v>-0.22036129219999978</v>
      </c>
      <c r="H77">
        <f t="shared" si="19"/>
        <v>0.20879999999999926</v>
      </c>
      <c r="I77">
        <f t="shared" si="19"/>
        <v>-0.10300000000000147</v>
      </c>
      <c r="J77" s="1">
        <f t="shared" si="15"/>
        <v>5.0894059652377116E-2</v>
      </c>
      <c r="K77" s="1">
        <f t="shared" si="15"/>
        <v>4.1759999999999707E-2</v>
      </c>
      <c r="L77" s="1">
        <f t="shared" si="15"/>
        <v>1.0300000000000293E-2</v>
      </c>
      <c r="N77" s="1">
        <f t="shared" si="20"/>
        <v>5.2357961174322599E-2</v>
      </c>
      <c r="O77" s="1">
        <f t="shared" si="20"/>
        <v>0.1318942021403233</v>
      </c>
      <c r="P77" s="1">
        <f t="shared" si="20"/>
        <v>0.19493747443520729</v>
      </c>
      <c r="R77" s="1">
        <f t="shared" si="21"/>
        <v>4.9690211565359785E-2</v>
      </c>
      <c r="S77" s="1">
        <f t="shared" si="21"/>
        <v>4.3597439999999696E-2</v>
      </c>
      <c r="T77" s="1">
        <f t="shared" si="21"/>
        <v>1.0609000000000302E-2</v>
      </c>
    </row>
    <row r="78" spans="1:20" x14ac:dyDescent="0.3">
      <c r="A78" s="13">
        <v>24.2958</v>
      </c>
      <c r="B78">
        <v>26.2</v>
      </c>
      <c r="C78">
        <v>25.7</v>
      </c>
      <c r="D78">
        <f t="shared" si="18"/>
        <v>1.0269492009308268</v>
      </c>
      <c r="E78">
        <f t="shared" si="18"/>
        <v>0.95057034220532333</v>
      </c>
      <c r="F78">
        <f t="shared" si="18"/>
        <v>0.97276264591439687</v>
      </c>
      <c r="G78">
        <f t="shared" si="19"/>
        <v>9.3772895399999404E-2</v>
      </c>
      <c r="H78">
        <f t="shared" si="19"/>
        <v>0.21039999999999923</v>
      </c>
      <c r="I78">
        <f t="shared" si="19"/>
        <v>0</v>
      </c>
      <c r="J78" s="1">
        <f t="shared" si="15"/>
        <v>8.545555069436675E-3</v>
      </c>
      <c r="K78" s="1">
        <f t="shared" si="15"/>
        <v>4.2079999999999694E-2</v>
      </c>
      <c r="L78" s="1">
        <f t="shared" si="15"/>
        <v>3.2525567856734282E-37</v>
      </c>
      <c r="N78" s="1">
        <f t="shared" si="20"/>
        <v>0.20658717655363898</v>
      </c>
      <c r="O78" s="1">
        <f t="shared" si="20"/>
        <v>0.31716316765757169</v>
      </c>
      <c r="P78" s="1">
        <f t="shared" si="20"/>
        <v>0.29324092271107344</v>
      </c>
      <c r="R78" s="1">
        <f t="shared" si="21"/>
        <v>8.3213026133045175E-3</v>
      </c>
      <c r="S78" s="1">
        <f t="shared" si="21"/>
        <v>4.4268159999999675E-2</v>
      </c>
      <c r="T78" s="1">
        <f t="shared" si="21"/>
        <v>3.3436283756722843E-37</v>
      </c>
    </row>
    <row r="79" spans="1:20" x14ac:dyDescent="0.3">
      <c r="A79" s="13">
        <v>24.392099999999999</v>
      </c>
      <c r="B79">
        <v>26.4</v>
      </c>
      <c r="C79">
        <v>25.7</v>
      </c>
      <c r="D79">
        <f t="shared" si="18"/>
        <v>1.0181744132769943</v>
      </c>
      <c r="E79">
        <f t="shared" si="18"/>
        <v>0.94517958412098302</v>
      </c>
      <c r="F79">
        <f t="shared" si="18"/>
        <v>0.97276264591439687</v>
      </c>
      <c r="G79">
        <f t="shared" si="19"/>
        <v>0.31752909499999971</v>
      </c>
      <c r="H79">
        <f t="shared" si="19"/>
        <v>0.1058000000000015</v>
      </c>
      <c r="I79">
        <f t="shared" si="19"/>
        <v>0</v>
      </c>
      <c r="J79" s="1">
        <f t="shared" si="15"/>
        <v>0.10101384307330548</v>
      </c>
      <c r="K79" s="1">
        <f t="shared" si="15"/>
        <v>1.0580000000000301E-2</v>
      </c>
      <c r="L79" s="1">
        <f t="shared" si="15"/>
        <v>3.2525567856734282E-37</v>
      </c>
      <c r="N79" s="1">
        <f t="shared" si="20"/>
        <v>0.12832058020880921</v>
      </c>
      <c r="O79" s="1">
        <f t="shared" si="20"/>
        <v>0.58243213317481946</v>
      </c>
      <c r="P79" s="1">
        <f t="shared" si="20"/>
        <v>0.29324092271107344</v>
      </c>
      <c r="R79" s="1">
        <f t="shared" si="21"/>
        <v>9.9210745974446984E-2</v>
      </c>
      <c r="S79" s="1">
        <f t="shared" si="21"/>
        <v>1.1193640000000319E-2</v>
      </c>
      <c r="T79" s="1">
        <f t="shared" si="21"/>
        <v>3.3436283756722843E-37</v>
      </c>
    </row>
    <row r="80" spans="1:20" x14ac:dyDescent="0.3">
      <c r="A80" s="13">
        <v>24.715399999999999</v>
      </c>
      <c r="B80">
        <v>26.5</v>
      </c>
      <c r="C80">
        <v>25.7</v>
      </c>
      <c r="D80">
        <f t="shared" si="18"/>
        <v>1.0053666471625538</v>
      </c>
      <c r="E80">
        <f t="shared" si="18"/>
        <v>0.93984962406015038</v>
      </c>
      <c r="F80">
        <f t="shared" si="18"/>
        <v>0.97276264591439687</v>
      </c>
      <c r="G80">
        <f t="shared" si="19"/>
        <v>0.30068632260000244</v>
      </c>
      <c r="H80">
        <f t="shared" si="19"/>
        <v>0.21279999999999924</v>
      </c>
      <c r="I80">
        <f t="shared" si="19"/>
        <v>0</v>
      </c>
      <c r="J80" s="1">
        <f t="shared" ref="J80:L143" si="22">(G80-G$12)^2*D80</f>
        <v>8.9361250879318663E-2</v>
      </c>
      <c r="K80" s="1">
        <f t="shared" si="22"/>
        <v>4.2559999999999702E-2</v>
      </c>
      <c r="L80" s="1">
        <f t="shared" si="22"/>
        <v>3.2525567856734282E-37</v>
      </c>
      <c r="N80" s="1">
        <f t="shared" si="20"/>
        <v>1.2193100708690265E-3</v>
      </c>
      <c r="O80" s="1">
        <f t="shared" si="20"/>
        <v>0.74506661593344625</v>
      </c>
      <c r="P80" s="1">
        <f t="shared" si="20"/>
        <v>0.29324092271107344</v>
      </c>
      <c r="R80" s="1">
        <f t="shared" si="21"/>
        <v>8.888424052212486E-2</v>
      </c>
      <c r="S80" s="1">
        <f t="shared" si="21"/>
        <v>4.528383999999968E-2</v>
      </c>
      <c r="T80" s="1">
        <f t="shared" si="21"/>
        <v>3.3436283756722843E-37</v>
      </c>
    </row>
    <row r="81" spans="1:20" x14ac:dyDescent="0.3">
      <c r="A81" s="13">
        <v>25.017700000000001</v>
      </c>
      <c r="B81">
        <v>26.7</v>
      </c>
      <c r="C81">
        <v>25.7</v>
      </c>
      <c r="D81">
        <f t="shared" ref="D81:F144" si="23">50/(A81+A82)</f>
        <v>0.99537350395362356</v>
      </c>
      <c r="E81">
        <f t="shared" si="23"/>
        <v>0.93457943925233644</v>
      </c>
      <c r="F81">
        <f t="shared" si="23"/>
        <v>0.97276264591439687</v>
      </c>
      <c r="G81">
        <f t="shared" ref="G81:I144" si="24">(A82-A81)/D81</f>
        <v>0.19791565599999916</v>
      </c>
      <c r="H81">
        <f t="shared" si="24"/>
        <v>0.10700000000000152</v>
      </c>
      <c r="I81">
        <f t="shared" si="24"/>
        <v>0</v>
      </c>
      <c r="J81" s="1">
        <f t="shared" si="22"/>
        <v>3.799048721642001E-2</v>
      </c>
      <c r="K81" s="1">
        <f t="shared" si="22"/>
        <v>1.0700000000000305E-2</v>
      </c>
      <c r="L81" s="1">
        <f t="shared" si="22"/>
        <v>3.2525567856734282E-37</v>
      </c>
      <c r="N81" s="1">
        <f t="shared" ref="N81:P144" si="25">(A81-A$12)^2</f>
        <v>7.1492802001896061E-2</v>
      </c>
      <c r="O81" s="1">
        <f t="shared" si="25"/>
        <v>1.1303355814506939</v>
      </c>
      <c r="P81" s="1">
        <f t="shared" si="25"/>
        <v>0.29324092271107344</v>
      </c>
      <c r="R81" s="1">
        <f t="shared" ref="R81:T144" si="26">(G81-G$12)^2</f>
        <v>3.8167067001001934E-2</v>
      </c>
      <c r="S81" s="1">
        <f t="shared" si="26"/>
        <v>1.1449000000000327E-2</v>
      </c>
      <c r="T81" s="1">
        <f t="shared" si="26"/>
        <v>3.3436283756722843E-37</v>
      </c>
    </row>
    <row r="82" spans="1:20" x14ac:dyDescent="0.3">
      <c r="A82" s="13">
        <v>25.214700000000001</v>
      </c>
      <c r="B82">
        <v>26.8</v>
      </c>
      <c r="C82">
        <v>25.7</v>
      </c>
      <c r="D82">
        <f t="shared" si="23"/>
        <v>0.9946962794380364</v>
      </c>
      <c r="E82">
        <f t="shared" si="23"/>
        <v>0.93109869646182486</v>
      </c>
      <c r="F82">
        <f t="shared" si="23"/>
        <v>0.97276264591439687</v>
      </c>
      <c r="G82">
        <f t="shared" si="24"/>
        <v>-0.16366804960000073</v>
      </c>
      <c r="H82">
        <f t="shared" si="24"/>
        <v>0.10739999999999772</v>
      </c>
      <c r="I82">
        <f t="shared" si="24"/>
        <v>0</v>
      </c>
      <c r="J82" s="1">
        <f t="shared" si="22"/>
        <v>2.7482475661201225E-2</v>
      </c>
      <c r="K82" s="1">
        <f t="shared" si="22"/>
        <v>1.0739999999999543E-2</v>
      </c>
      <c r="L82" s="1">
        <f t="shared" si="22"/>
        <v>3.2525567856734282E-37</v>
      </c>
      <c r="N82" s="1">
        <f t="shared" si="25"/>
        <v>0.21565006545016641</v>
      </c>
      <c r="O82" s="1">
        <f t="shared" si="25"/>
        <v>1.3529700642093216</v>
      </c>
      <c r="P82" s="1">
        <f t="shared" si="25"/>
        <v>0.29324092271107344</v>
      </c>
      <c r="R82" s="1">
        <f t="shared" si="26"/>
        <v>2.762901222142675E-2</v>
      </c>
      <c r="S82" s="1">
        <f t="shared" si="26"/>
        <v>1.1534759999999511E-2</v>
      </c>
      <c r="T82" s="1">
        <f t="shared" si="26"/>
        <v>3.3436283756722843E-37</v>
      </c>
    </row>
    <row r="83" spans="1:20" x14ac:dyDescent="0.3">
      <c r="A83" s="13">
        <v>25.0519</v>
      </c>
      <c r="B83">
        <v>26.9</v>
      </c>
      <c r="C83">
        <v>25.7</v>
      </c>
      <c r="D83">
        <f t="shared" si="23"/>
        <v>0.99720185160439812</v>
      </c>
      <c r="E83">
        <f t="shared" si="23"/>
        <v>0.927643784786642</v>
      </c>
      <c r="F83">
        <f t="shared" si="23"/>
        <v>0.97276264591439687</v>
      </c>
      <c r="G83">
        <f t="shared" si="24"/>
        <v>3.6602419000000198E-2</v>
      </c>
      <c r="H83">
        <f t="shared" si="24"/>
        <v>0.10780000000000152</v>
      </c>
      <c r="I83">
        <f t="shared" si="24"/>
        <v>0</v>
      </c>
      <c r="J83" s="1">
        <f t="shared" si="22"/>
        <v>1.1562057040562859E-3</v>
      </c>
      <c r="K83" s="1">
        <f t="shared" si="22"/>
        <v>1.0780000000000305E-2</v>
      </c>
      <c r="L83" s="1">
        <f t="shared" si="22"/>
        <v>3.2525567856734282E-37</v>
      </c>
      <c r="N83" s="1">
        <f t="shared" si="25"/>
        <v>9.0951328346721885E-2</v>
      </c>
      <c r="O83" s="1">
        <f t="shared" si="25"/>
        <v>1.595604546967941</v>
      </c>
      <c r="P83" s="1">
        <f t="shared" si="25"/>
        <v>0.29324092271107344</v>
      </c>
      <c r="R83" s="1">
        <f t="shared" si="26"/>
        <v>1.1594500172618677E-3</v>
      </c>
      <c r="S83" s="1">
        <f t="shared" si="26"/>
        <v>1.1620840000000328E-2</v>
      </c>
      <c r="T83" s="1">
        <f t="shared" si="26"/>
        <v>3.3436283756722843E-37</v>
      </c>
    </row>
    <row r="84" spans="1:20" x14ac:dyDescent="0.3">
      <c r="A84" s="13">
        <v>25.0884</v>
      </c>
      <c r="B84">
        <v>27</v>
      </c>
      <c r="C84">
        <v>25.7</v>
      </c>
      <c r="D84">
        <f t="shared" si="23"/>
        <v>0.98954251470460164</v>
      </c>
      <c r="E84">
        <f t="shared" si="23"/>
        <v>0.92421441774491675</v>
      </c>
      <c r="F84">
        <f t="shared" si="23"/>
        <v>0.970873786407767</v>
      </c>
      <c r="G84">
        <f t="shared" si="24"/>
        <v>0.3553157088000013</v>
      </c>
      <c r="H84">
        <f t="shared" si="24"/>
        <v>0.10820000000000154</v>
      </c>
      <c r="I84">
        <f t="shared" si="24"/>
        <v>0.10300000000000147</v>
      </c>
      <c r="J84" s="1">
        <f t="shared" si="22"/>
        <v>0.12314107602078973</v>
      </c>
      <c r="K84" s="1">
        <f t="shared" si="22"/>
        <v>1.0820000000000307E-2</v>
      </c>
      <c r="L84" s="1">
        <f t="shared" si="22"/>
        <v>1.0300000000000293E-2</v>
      </c>
      <c r="N84" s="1">
        <f t="shared" si="25"/>
        <v>0.11429901903637621</v>
      </c>
      <c r="O84" s="1">
        <f t="shared" si="25"/>
        <v>1.8582390297265692</v>
      </c>
      <c r="P84" s="1">
        <f t="shared" si="25"/>
        <v>0.29324092271107344</v>
      </c>
      <c r="R84" s="1">
        <f t="shared" si="26"/>
        <v>0.12444243091217745</v>
      </c>
      <c r="S84" s="1">
        <f t="shared" si="26"/>
        <v>1.1707240000000334E-2</v>
      </c>
      <c r="T84" s="1">
        <f t="shared" si="26"/>
        <v>1.0609000000000302E-2</v>
      </c>
    </row>
    <row r="85" spans="1:20" x14ac:dyDescent="0.3">
      <c r="A85" s="13">
        <v>25.44</v>
      </c>
      <c r="B85">
        <v>27.1</v>
      </c>
      <c r="C85">
        <v>25.8</v>
      </c>
      <c r="D85">
        <f t="shared" si="23"/>
        <v>0.98129648892116261</v>
      </c>
      <c r="E85">
        <f t="shared" si="23"/>
        <v>0.92081031307550654</v>
      </c>
      <c r="F85">
        <f t="shared" si="23"/>
        <v>0.96711798839458407</v>
      </c>
      <c r="G85">
        <f t="shared" si="24"/>
        <v>7.4391380000000409E-2</v>
      </c>
      <c r="H85">
        <f t="shared" si="24"/>
        <v>0.10859999999999767</v>
      </c>
      <c r="I85">
        <f t="shared" si="24"/>
        <v>0.1033999999999978</v>
      </c>
      <c r="J85" s="1">
        <f t="shared" si="22"/>
        <v>5.0644089350151203E-3</v>
      </c>
      <c r="K85" s="1">
        <f t="shared" si="22"/>
        <v>1.0859999999999535E-2</v>
      </c>
      <c r="L85" s="1">
        <f t="shared" si="22"/>
        <v>1.033999999999956E-2</v>
      </c>
      <c r="N85" s="1">
        <f t="shared" si="25"/>
        <v>0.47566040496740297</v>
      </c>
      <c r="O85" s="1">
        <f t="shared" si="25"/>
        <v>2.1408735124851979</v>
      </c>
      <c r="P85" s="1">
        <f t="shared" si="25"/>
        <v>0.19493747443520729</v>
      </c>
      <c r="R85" s="1">
        <f t="shared" si="26"/>
        <v>5.1609365693165085E-3</v>
      </c>
      <c r="S85" s="1">
        <f t="shared" si="26"/>
        <v>1.1793959999999494E-2</v>
      </c>
      <c r="T85" s="1">
        <f t="shared" si="26"/>
        <v>1.0691559999999545E-2</v>
      </c>
    </row>
    <row r="86" spans="1:20" x14ac:dyDescent="0.3">
      <c r="A86" s="13">
        <v>25.513000000000002</v>
      </c>
      <c r="B86">
        <v>27.2</v>
      </c>
      <c r="C86">
        <v>25.9</v>
      </c>
      <c r="D86">
        <f t="shared" si="23"/>
        <v>0.98470749263931157</v>
      </c>
      <c r="E86">
        <f t="shared" si="23"/>
        <v>0.91743119266055051</v>
      </c>
      <c r="F86">
        <f t="shared" si="23"/>
        <v>0.96339113680154143</v>
      </c>
      <c r="G86">
        <f t="shared" si="24"/>
        <v>-0.25337473500000118</v>
      </c>
      <c r="H86">
        <f t="shared" si="24"/>
        <v>0.10900000000000154</v>
      </c>
      <c r="I86">
        <f t="shared" si="24"/>
        <v>0.10380000000000147</v>
      </c>
      <c r="J86" s="1">
        <f t="shared" si="22"/>
        <v>6.4496716993770534E-2</v>
      </c>
      <c r="K86" s="1">
        <f t="shared" si="22"/>
        <v>1.0900000000000309E-2</v>
      </c>
      <c r="L86" s="1">
        <f t="shared" si="22"/>
        <v>1.0380000000000295E-2</v>
      </c>
      <c r="N86" s="1">
        <f t="shared" si="25"/>
        <v>0.58168288634671217</v>
      </c>
      <c r="O86" s="1">
        <f t="shared" si="25"/>
        <v>2.4435079952438161</v>
      </c>
      <c r="P86" s="1">
        <f t="shared" si="25"/>
        <v>0.11663402615934416</v>
      </c>
      <c r="R86" s="1">
        <f t="shared" si="26"/>
        <v>6.5498351008683786E-2</v>
      </c>
      <c r="S86" s="1">
        <f t="shared" si="26"/>
        <v>1.1881000000000336E-2</v>
      </c>
      <c r="T86" s="1">
        <f t="shared" si="26"/>
        <v>1.0774440000000307E-2</v>
      </c>
    </row>
    <row r="87" spans="1:20" x14ac:dyDescent="0.3">
      <c r="A87" s="13">
        <v>25.263500000000001</v>
      </c>
      <c r="B87">
        <v>27.3</v>
      </c>
      <c r="C87">
        <v>26</v>
      </c>
      <c r="D87">
        <f t="shared" si="23"/>
        <v>0.99381252323036773</v>
      </c>
      <c r="E87">
        <f t="shared" si="23"/>
        <v>0.91407678244972568</v>
      </c>
      <c r="F87">
        <f t="shared" si="23"/>
        <v>0.95969289827255277</v>
      </c>
      <c r="G87">
        <f t="shared" si="24"/>
        <v>-0.21704294820000178</v>
      </c>
      <c r="H87">
        <f t="shared" si="24"/>
        <v>0.10939999999999768</v>
      </c>
      <c r="I87">
        <f t="shared" si="24"/>
        <v>0.10420000000000149</v>
      </c>
      <c r="J87" s="1">
        <f t="shared" si="22"/>
        <v>4.7923447466926464E-2</v>
      </c>
      <c r="K87" s="1">
        <f t="shared" si="22"/>
        <v>1.0939999999999535E-2</v>
      </c>
      <c r="L87" s="1">
        <f t="shared" si="22"/>
        <v>1.0420000000000297E-2</v>
      </c>
      <c r="N87" s="1">
        <f t="shared" si="25"/>
        <v>0.26335512807085476</v>
      </c>
      <c r="O87" s="1">
        <f t="shared" si="25"/>
        <v>2.7661424780024451</v>
      </c>
      <c r="P87" s="1">
        <f t="shared" si="25"/>
        <v>5.8330577883478472E-2</v>
      </c>
      <c r="R87" s="1">
        <f t="shared" si="26"/>
        <v>4.8221818850855545E-2</v>
      </c>
      <c r="S87" s="1">
        <f t="shared" si="26"/>
        <v>1.1968359999999493E-2</v>
      </c>
      <c r="T87" s="1">
        <f t="shared" si="26"/>
        <v>1.0857640000000311E-2</v>
      </c>
    </row>
    <row r="88" spans="1:20" x14ac:dyDescent="0.3">
      <c r="A88" s="13">
        <v>25.047799999999999</v>
      </c>
      <c r="B88">
        <v>27.4</v>
      </c>
      <c r="C88">
        <v>26.1</v>
      </c>
      <c r="D88">
        <f t="shared" si="23"/>
        <v>0.99805180288077677</v>
      </c>
      <c r="E88">
        <f t="shared" si="23"/>
        <v>0.91074681238615662</v>
      </c>
      <c r="F88">
        <f t="shared" si="23"/>
        <v>0.95602294455066927</v>
      </c>
      <c r="G88">
        <f t="shared" si="24"/>
        <v>2.0039040000024489E-3</v>
      </c>
      <c r="H88">
        <f t="shared" si="24"/>
        <v>0.10980000000000156</v>
      </c>
      <c r="I88">
        <f t="shared" si="24"/>
        <v>0.10459999999999776</v>
      </c>
      <c r="J88" s="1">
        <f t="shared" si="22"/>
        <v>2.9951907815433418E-7</v>
      </c>
      <c r="K88" s="1">
        <f t="shared" si="22"/>
        <v>1.0980000000000312E-2</v>
      </c>
      <c r="L88" s="1">
        <f t="shared" si="22"/>
        <v>1.0459999999999553E-2</v>
      </c>
      <c r="N88" s="1">
        <f t="shared" si="25"/>
        <v>8.8495171036376524E-2</v>
      </c>
      <c r="O88" s="1">
        <f t="shared" si="25"/>
        <v>3.1087769607610625</v>
      </c>
      <c r="P88" s="1">
        <f t="shared" si="25"/>
        <v>2.0027129607613343E-2</v>
      </c>
      <c r="R88" s="1">
        <f t="shared" si="26"/>
        <v>3.0010373939489142E-7</v>
      </c>
      <c r="S88" s="1">
        <f t="shared" si="26"/>
        <v>1.2056040000000344E-2</v>
      </c>
      <c r="T88" s="1">
        <f t="shared" si="26"/>
        <v>1.0941159999999532E-2</v>
      </c>
    </row>
    <row r="89" spans="1:20" x14ac:dyDescent="0.3">
      <c r="A89" s="13">
        <v>25.049800000000001</v>
      </c>
      <c r="B89">
        <v>27.5</v>
      </c>
      <c r="C89">
        <v>26.2</v>
      </c>
      <c r="D89">
        <f t="shared" si="23"/>
        <v>1.0009509033581903</v>
      </c>
      <c r="E89">
        <f t="shared" si="23"/>
        <v>0.90744101633393826</v>
      </c>
      <c r="F89">
        <f t="shared" si="23"/>
        <v>0.95238095238095233</v>
      </c>
      <c r="G89">
        <f t="shared" si="24"/>
        <v>-0.14696025500000179</v>
      </c>
      <c r="H89">
        <f t="shared" si="24"/>
        <v>0.11020000000000157</v>
      </c>
      <c r="I89">
        <f t="shared" si="24"/>
        <v>0.10500000000000149</v>
      </c>
      <c r="J89" s="1">
        <f t="shared" si="22"/>
        <v>2.2375087375187529E-2</v>
      </c>
      <c r="K89" s="1">
        <f t="shared" si="22"/>
        <v>1.1020000000000314E-2</v>
      </c>
      <c r="L89" s="1">
        <f t="shared" si="22"/>
        <v>1.0500000000000299E-2</v>
      </c>
      <c r="N89" s="1">
        <f t="shared" si="25"/>
        <v>8.9689096553619299E-2</v>
      </c>
      <c r="O89" s="1">
        <f t="shared" si="25"/>
        <v>3.4714114435196919</v>
      </c>
      <c r="P89" s="1">
        <f t="shared" si="25"/>
        <v>1.7236813317490806E-3</v>
      </c>
      <c r="R89" s="1">
        <f t="shared" si="26"/>
        <v>2.23538310421811E-2</v>
      </c>
      <c r="S89" s="1">
        <f t="shared" si="26"/>
        <v>1.2144040000000347E-2</v>
      </c>
      <c r="T89" s="1">
        <f t="shared" si="26"/>
        <v>1.1025000000000314E-2</v>
      </c>
    </row>
    <row r="90" spans="1:20" x14ac:dyDescent="0.3">
      <c r="A90" s="13">
        <v>24.902699999999999</v>
      </c>
      <c r="B90">
        <v>27.6</v>
      </c>
      <c r="C90">
        <v>26.3</v>
      </c>
      <c r="D90">
        <f t="shared" si="23"/>
        <v>1.0086990203515116</v>
      </c>
      <c r="E90">
        <f t="shared" si="23"/>
        <v>0.9041591320072333</v>
      </c>
      <c r="F90">
        <f t="shared" si="23"/>
        <v>0.94876660341555974</v>
      </c>
      <c r="G90">
        <f t="shared" si="24"/>
        <v>-0.23455956159999922</v>
      </c>
      <c r="H90">
        <f t="shared" si="24"/>
        <v>0.11059999999999764</v>
      </c>
      <c r="I90">
        <f t="shared" si="24"/>
        <v>0.10539999999999776</v>
      </c>
      <c r="J90" s="1">
        <f t="shared" si="22"/>
        <v>5.6710834693166207E-2</v>
      </c>
      <c r="K90" s="1">
        <f t="shared" si="22"/>
        <v>1.1059999999999529E-2</v>
      </c>
      <c r="L90" s="1">
        <f t="shared" si="22"/>
        <v>1.0539999999999551E-2</v>
      </c>
      <c r="N90" s="1">
        <f t="shared" si="25"/>
        <v>2.322008476051891E-2</v>
      </c>
      <c r="O90" s="1">
        <f t="shared" si="25"/>
        <v>3.8540459262783222</v>
      </c>
      <c r="P90" s="1">
        <f t="shared" si="25"/>
        <v>3.4202330558843804E-3</v>
      </c>
      <c r="R90" s="1">
        <f t="shared" si="26"/>
        <v>5.6221760454772333E-2</v>
      </c>
      <c r="S90" s="1">
        <f t="shared" si="26"/>
        <v>1.2232359999999479E-2</v>
      </c>
      <c r="T90" s="1">
        <f t="shared" si="26"/>
        <v>1.1109159999999528E-2</v>
      </c>
    </row>
    <row r="91" spans="1:20" x14ac:dyDescent="0.3">
      <c r="A91" s="13">
        <v>24.6661</v>
      </c>
      <c r="B91">
        <v>27.7</v>
      </c>
      <c r="C91">
        <v>26.4</v>
      </c>
      <c r="D91">
        <f t="shared" si="23"/>
        <v>1.0182117350938893</v>
      </c>
      <c r="E91">
        <f t="shared" si="23"/>
        <v>0.90122566690699346</v>
      </c>
      <c r="F91">
        <f t="shared" si="23"/>
        <v>0.94517958412098302</v>
      </c>
      <c r="G91">
        <f t="shared" si="24"/>
        <v>-0.22244882100000146</v>
      </c>
      <c r="H91">
        <f t="shared" si="24"/>
        <v>8.8768000000002054E-2</v>
      </c>
      <c r="I91">
        <f t="shared" si="24"/>
        <v>0.1058000000000015</v>
      </c>
      <c r="J91" s="1">
        <f t="shared" si="22"/>
        <v>5.1547217545819216E-2</v>
      </c>
      <c r="K91" s="1">
        <f t="shared" si="22"/>
        <v>7.1014400000003275E-3</v>
      </c>
      <c r="L91" s="1">
        <f t="shared" si="22"/>
        <v>1.0580000000000301E-2</v>
      </c>
      <c r="N91" s="1">
        <f t="shared" si="25"/>
        <v>7.0927760708702518E-3</v>
      </c>
      <c r="O91" s="1">
        <f t="shared" si="25"/>
        <v>4.2566804090369379</v>
      </c>
      <c r="P91" s="1">
        <f t="shared" si="25"/>
        <v>2.5116784780019122E-2</v>
      </c>
      <c r="R91" s="1">
        <f t="shared" si="26"/>
        <v>5.0625244012794696E-2</v>
      </c>
      <c r="S91" s="1">
        <f t="shared" si="26"/>
        <v>7.8797578240003639E-3</v>
      </c>
      <c r="T91" s="1">
        <f t="shared" si="26"/>
        <v>1.1193640000000319E-2</v>
      </c>
    </row>
    <row r="92" spans="1:20" x14ac:dyDescent="0.3">
      <c r="A92" s="13">
        <v>24.439599999999999</v>
      </c>
      <c r="B92">
        <v>27.78</v>
      </c>
      <c r="C92">
        <v>26.5</v>
      </c>
      <c r="D92">
        <f t="shared" si="23"/>
        <v>1.0234262263204756</v>
      </c>
      <c r="E92">
        <f t="shared" si="23"/>
        <v>0.89992800575953924</v>
      </c>
      <c r="F92">
        <f t="shared" si="23"/>
        <v>0.94161958568738224</v>
      </c>
      <c r="G92">
        <f t="shared" si="24"/>
        <v>-2.3157506999998103E-2</v>
      </c>
      <c r="H92">
        <f t="shared" si="24"/>
        <v>0</v>
      </c>
      <c r="I92">
        <f t="shared" si="24"/>
        <v>0.10620000000000152</v>
      </c>
      <c r="J92" s="1">
        <f t="shared" si="22"/>
        <v>6.7644831923785551E-4</v>
      </c>
      <c r="K92" s="1">
        <f t="shared" si="22"/>
        <v>8.358402266999353E-37</v>
      </c>
      <c r="L92" s="1">
        <f t="shared" si="22"/>
        <v>1.0620000000000303E-2</v>
      </c>
      <c r="N92" s="1">
        <f t="shared" si="25"/>
        <v>9.6546061243290987E-2</v>
      </c>
      <c r="O92" s="1">
        <f t="shared" si="25"/>
        <v>4.5931879952438459</v>
      </c>
      <c r="P92" s="1">
        <f t="shared" si="25"/>
        <v>6.6813336504154844E-2</v>
      </c>
      <c r="R92" s="1">
        <f t="shared" si="26"/>
        <v>6.6096441721050106E-4</v>
      </c>
      <c r="S92" s="1">
        <f t="shared" si="26"/>
        <v>9.2878565990896802E-37</v>
      </c>
      <c r="T92" s="1">
        <f t="shared" si="26"/>
        <v>1.1278440000000322E-2</v>
      </c>
    </row>
    <row r="93" spans="1:20" x14ac:dyDescent="0.3">
      <c r="A93" s="13">
        <v>24.415900000000001</v>
      </c>
      <c r="B93">
        <v>27.78</v>
      </c>
      <c r="C93">
        <v>26.6</v>
      </c>
      <c r="D93">
        <f t="shared" si="23"/>
        <v>1.0273353386919144</v>
      </c>
      <c r="E93">
        <f t="shared" si="23"/>
        <v>0.89992800575953924</v>
      </c>
      <c r="F93">
        <f t="shared" si="23"/>
        <v>0.93808630393996251</v>
      </c>
      <c r="G93">
        <f t="shared" si="24"/>
        <v>-0.15788418240000207</v>
      </c>
      <c r="H93">
        <f t="shared" si="24"/>
        <v>0</v>
      </c>
      <c r="I93">
        <f t="shared" si="24"/>
        <v>0.10659999999999772</v>
      </c>
      <c r="J93" s="1">
        <f t="shared" si="22"/>
        <v>2.6443282028199067E-2</v>
      </c>
      <c r="K93" s="1">
        <f t="shared" si="22"/>
        <v>8.358402266999353E-37</v>
      </c>
      <c r="L93" s="1">
        <f t="shared" si="22"/>
        <v>1.0659999999999545E-2</v>
      </c>
      <c r="N93" s="1">
        <f t="shared" si="25"/>
        <v>0.11183581386398003</v>
      </c>
      <c r="O93" s="1">
        <f t="shared" si="25"/>
        <v>4.5931879952438459</v>
      </c>
      <c r="P93" s="1">
        <f t="shared" si="25"/>
        <v>0.12850988822829115</v>
      </c>
      <c r="R93" s="1">
        <f t="shared" si="26"/>
        <v>2.5739679179992748E-2</v>
      </c>
      <c r="S93" s="1">
        <f t="shared" si="26"/>
        <v>9.2878565990896802E-37</v>
      </c>
      <c r="T93" s="1">
        <f t="shared" si="26"/>
        <v>1.1363559999999514E-2</v>
      </c>
    </row>
    <row r="94" spans="1:20" x14ac:dyDescent="0.3">
      <c r="A94" s="13">
        <v>24.253699999999998</v>
      </c>
      <c r="B94">
        <v>27.78</v>
      </c>
      <c r="C94">
        <v>26.7</v>
      </c>
      <c r="D94">
        <f t="shared" si="23"/>
        <v>1.0347018299736566</v>
      </c>
      <c r="E94">
        <f t="shared" si="23"/>
        <v>0.89992800575953924</v>
      </c>
      <c r="F94">
        <f t="shared" si="23"/>
        <v>0.93457943925233644</v>
      </c>
      <c r="G94">
        <f t="shared" si="24"/>
        <v>-0.17811894659999689</v>
      </c>
      <c r="H94">
        <f t="shared" si="24"/>
        <v>0</v>
      </c>
      <c r="I94">
        <f t="shared" si="24"/>
        <v>0.10700000000000152</v>
      </c>
      <c r="J94" s="1">
        <f t="shared" si="22"/>
        <v>3.3774623545844429E-2</v>
      </c>
      <c r="K94" s="1">
        <f t="shared" si="22"/>
        <v>8.358402266999353E-37</v>
      </c>
      <c r="L94" s="1">
        <f t="shared" si="22"/>
        <v>1.0700000000000305E-2</v>
      </c>
      <c r="N94" s="1">
        <f t="shared" si="25"/>
        <v>0.24663005441571043</v>
      </c>
      <c r="O94" s="1">
        <f t="shared" si="25"/>
        <v>4.5931879952438459</v>
      </c>
      <c r="P94" s="1">
        <f t="shared" si="25"/>
        <v>0.21020643995242475</v>
      </c>
      <c r="R94" s="1">
        <f t="shared" si="26"/>
        <v>3.2641890221363899E-2</v>
      </c>
      <c r="S94" s="1">
        <f t="shared" si="26"/>
        <v>9.2878565990896802E-37</v>
      </c>
      <c r="T94" s="1">
        <f t="shared" si="26"/>
        <v>1.1449000000000327E-2</v>
      </c>
    </row>
    <row r="95" spans="1:20" x14ac:dyDescent="0.3">
      <c r="A95" s="13">
        <v>24.069400000000002</v>
      </c>
      <c r="B95">
        <v>27.78</v>
      </c>
      <c r="C95">
        <v>26.8</v>
      </c>
      <c r="D95">
        <f t="shared" si="23"/>
        <v>1.0326226136091399</v>
      </c>
      <c r="E95">
        <f t="shared" si="23"/>
        <v>0.89992800575953924</v>
      </c>
      <c r="F95">
        <f t="shared" si="23"/>
        <v>0.93109869646182486</v>
      </c>
      <c r="G95">
        <f t="shared" si="24"/>
        <v>0.27270369279999751</v>
      </c>
      <c r="H95">
        <f t="shared" si="24"/>
        <v>0</v>
      </c>
      <c r="I95">
        <f t="shared" si="24"/>
        <v>0.10739999999999772</v>
      </c>
      <c r="J95" s="1">
        <f t="shared" si="22"/>
        <v>7.5362954180831471E-2</v>
      </c>
      <c r="K95" s="1">
        <f t="shared" si="22"/>
        <v>8.358402266999353E-37</v>
      </c>
      <c r="L95" s="1">
        <f t="shared" si="22"/>
        <v>1.0739999999999543E-2</v>
      </c>
      <c r="N95" s="1">
        <f t="shared" si="25"/>
        <v>0.46365016800191849</v>
      </c>
      <c r="O95" s="1">
        <f t="shared" si="25"/>
        <v>4.5931879952438459</v>
      </c>
      <c r="P95" s="1">
        <f t="shared" si="25"/>
        <v>0.31190299167656149</v>
      </c>
      <c r="R95" s="1">
        <f t="shared" si="26"/>
        <v>7.2982087732350653E-2</v>
      </c>
      <c r="S95" s="1">
        <f t="shared" si="26"/>
        <v>9.2878565990896802E-37</v>
      </c>
      <c r="T95" s="1">
        <f t="shared" si="26"/>
        <v>1.1534759999999511E-2</v>
      </c>
    </row>
    <row r="96" spans="1:20" x14ac:dyDescent="0.3">
      <c r="A96" s="13">
        <v>24.350999999999999</v>
      </c>
      <c r="B96">
        <v>27.78</v>
      </c>
      <c r="C96">
        <v>26.9</v>
      </c>
      <c r="D96">
        <f t="shared" si="23"/>
        <v>1.0219682290516952</v>
      </c>
      <c r="E96">
        <f t="shared" si="23"/>
        <v>0.89992800575953924</v>
      </c>
      <c r="F96">
        <f t="shared" si="23"/>
        <v>0.92592592592592593</v>
      </c>
      <c r="G96">
        <f t="shared" si="24"/>
        <v>0.21840209280000203</v>
      </c>
      <c r="H96">
        <f t="shared" si="24"/>
        <v>0</v>
      </c>
      <c r="I96">
        <f t="shared" si="24"/>
        <v>0.21600000000000308</v>
      </c>
      <c r="J96" s="1">
        <f t="shared" si="22"/>
        <v>4.7614913069618445E-2</v>
      </c>
      <c r="K96" s="1">
        <f t="shared" si="22"/>
        <v>8.358402266999353E-37</v>
      </c>
      <c r="L96" s="1">
        <f t="shared" si="22"/>
        <v>4.320000000000123E-2</v>
      </c>
      <c r="N96" s="1">
        <f t="shared" si="25"/>
        <v>0.15945536082950015</v>
      </c>
      <c r="O96" s="1">
        <f t="shared" si="25"/>
        <v>4.5931879952438459</v>
      </c>
      <c r="P96" s="1">
        <f t="shared" si="25"/>
        <v>0.43359954340069407</v>
      </c>
      <c r="R96" s="1">
        <f t="shared" si="26"/>
        <v>4.6591382898273928E-2</v>
      </c>
      <c r="S96" s="1">
        <f t="shared" si="26"/>
        <v>9.2878565990896802E-37</v>
      </c>
      <c r="T96" s="1">
        <f t="shared" si="26"/>
        <v>4.6656000000001328E-2</v>
      </c>
    </row>
    <row r="97" spans="1:20" x14ac:dyDescent="0.3">
      <c r="A97" s="13">
        <v>24.574200000000001</v>
      </c>
      <c r="B97">
        <v>27.78</v>
      </c>
      <c r="C97">
        <v>27.1</v>
      </c>
      <c r="D97">
        <f t="shared" si="23"/>
        <v>1.0117873223048515</v>
      </c>
      <c r="E97">
        <f t="shared" si="23"/>
        <v>0.89992800575953924</v>
      </c>
      <c r="F97">
        <f t="shared" si="23"/>
        <v>0.92081031307550654</v>
      </c>
      <c r="G97">
        <f t="shared" si="24"/>
        <v>0.26596498499999816</v>
      </c>
      <c r="H97">
        <f t="shared" si="24"/>
        <v>0</v>
      </c>
      <c r="I97">
        <f t="shared" si="24"/>
        <v>0.10859999999999767</v>
      </c>
      <c r="J97" s="1">
        <f t="shared" si="22"/>
        <v>7.0204429118658443E-2</v>
      </c>
      <c r="K97" s="1">
        <f t="shared" si="22"/>
        <v>8.358402266999353E-37</v>
      </c>
      <c r="L97" s="1">
        <f t="shared" si="22"/>
        <v>1.0859999999999535E-2</v>
      </c>
      <c r="N97" s="1">
        <f t="shared" si="25"/>
        <v>3.1017768553630955E-2</v>
      </c>
      <c r="O97" s="1">
        <f t="shared" si="25"/>
        <v>4.5931879952438459</v>
      </c>
      <c r="P97" s="1">
        <f t="shared" si="25"/>
        <v>0.73699264684896892</v>
      </c>
      <c r="R97" s="1">
        <f t="shared" si="26"/>
        <v>6.9386547519426078E-2</v>
      </c>
      <c r="S97" s="1">
        <f t="shared" si="26"/>
        <v>9.2878565990896802E-37</v>
      </c>
      <c r="T97" s="1">
        <f t="shared" si="26"/>
        <v>1.1793959999999494E-2</v>
      </c>
    </row>
    <row r="98" spans="1:20" x14ac:dyDescent="0.3">
      <c r="A98" s="13">
        <v>24.843299999999999</v>
      </c>
      <c r="B98">
        <v>27.78</v>
      </c>
      <c r="C98">
        <v>27.2</v>
      </c>
      <c r="D98">
        <f t="shared" si="23"/>
        <v>1.0056780583172593</v>
      </c>
      <c r="E98">
        <f t="shared" si="23"/>
        <v>0.89992800575953924</v>
      </c>
      <c r="F98">
        <f t="shared" si="23"/>
        <v>0.91743119266055051</v>
      </c>
      <c r="G98">
        <f t="shared" si="24"/>
        <v>3.0924409400002111E-2</v>
      </c>
      <c r="H98">
        <f t="shared" si="24"/>
        <v>0</v>
      </c>
      <c r="I98">
        <f t="shared" si="24"/>
        <v>0.10900000000000154</v>
      </c>
      <c r="J98" s="1">
        <f t="shared" si="22"/>
        <v>8.0958032336297709E-4</v>
      </c>
      <c r="K98" s="1">
        <f t="shared" si="22"/>
        <v>8.358402266999353E-37</v>
      </c>
      <c r="L98" s="1">
        <f t="shared" si="22"/>
        <v>1.0900000000000309E-2</v>
      </c>
      <c r="N98" s="1">
        <f t="shared" si="25"/>
        <v>8.6455368984515897E-3</v>
      </c>
      <c r="O98" s="1">
        <f t="shared" si="25"/>
        <v>4.5931879952438459</v>
      </c>
      <c r="P98" s="1">
        <f t="shared" si="25"/>
        <v>0.91868919857310039</v>
      </c>
      <c r="R98" s="1">
        <f t="shared" si="26"/>
        <v>8.0500943285726964E-4</v>
      </c>
      <c r="S98" s="1">
        <f t="shared" si="26"/>
        <v>9.2878565990896802E-37</v>
      </c>
      <c r="T98" s="1">
        <f t="shared" si="26"/>
        <v>1.1881000000000336E-2</v>
      </c>
    </row>
    <row r="99" spans="1:20" x14ac:dyDescent="0.3">
      <c r="A99" s="13">
        <v>24.874400000000001</v>
      </c>
      <c r="B99">
        <v>27.78</v>
      </c>
      <c r="C99">
        <v>27.3</v>
      </c>
      <c r="D99">
        <f t="shared" si="23"/>
        <v>1.003282741128974</v>
      </c>
      <c r="E99">
        <f t="shared" si="23"/>
        <v>0.90122566690699346</v>
      </c>
      <c r="F99">
        <f t="shared" si="23"/>
        <v>0.91407678244972568</v>
      </c>
      <c r="G99">
        <f t="shared" si="24"/>
        <v>8.7313372799998359E-2</v>
      </c>
      <c r="H99">
        <f t="shared" si="24"/>
        <v>-8.8768000000002054E-2</v>
      </c>
      <c r="I99">
        <f t="shared" si="24"/>
        <v>0.10939999999999768</v>
      </c>
      <c r="J99" s="1">
        <f t="shared" si="22"/>
        <v>7.2081225504684694E-3</v>
      </c>
      <c r="K99" s="1">
        <f t="shared" si="22"/>
        <v>7.1014400000003275E-3</v>
      </c>
      <c r="L99" s="1">
        <f t="shared" si="22"/>
        <v>1.0939999999999535E-2</v>
      </c>
      <c r="N99" s="1">
        <f t="shared" si="25"/>
        <v>1.5396188691554687E-2</v>
      </c>
      <c r="O99" s="1">
        <f t="shared" si="25"/>
        <v>4.5931879952438459</v>
      </c>
      <c r="P99" s="1">
        <f t="shared" si="25"/>
        <v>1.1203857502972385</v>
      </c>
      <c r="R99" s="1">
        <f t="shared" si="26"/>
        <v>7.1845375734833367E-3</v>
      </c>
      <c r="S99" s="1">
        <f t="shared" si="26"/>
        <v>7.8797578240003639E-3</v>
      </c>
      <c r="T99" s="1">
        <f t="shared" si="26"/>
        <v>1.1968359999999493E-2</v>
      </c>
    </row>
    <row r="100" spans="1:20" x14ac:dyDescent="0.3">
      <c r="A100" s="13">
        <v>24.962</v>
      </c>
      <c r="B100">
        <v>27.7</v>
      </c>
      <c r="C100">
        <v>27.4</v>
      </c>
      <c r="D100">
        <f t="shared" si="23"/>
        <v>1.0004301849795412</v>
      </c>
      <c r="E100">
        <f t="shared" si="23"/>
        <v>0.9041591320072333</v>
      </c>
      <c r="F100">
        <f t="shared" si="23"/>
        <v>0.91074681238615662</v>
      </c>
      <c r="G100">
        <f t="shared" si="24"/>
        <v>5.4476565000000886E-2</v>
      </c>
      <c r="H100">
        <f t="shared" si="24"/>
        <v>-0.11059999999999764</v>
      </c>
      <c r="I100">
        <f t="shared" si="24"/>
        <v>0.10980000000000156</v>
      </c>
      <c r="J100" s="1">
        <f t="shared" si="22"/>
        <v>2.6973492586432209E-3</v>
      </c>
      <c r="K100" s="1">
        <f t="shared" si="22"/>
        <v>1.1059999999999529E-2</v>
      </c>
      <c r="L100" s="1">
        <f t="shared" si="22"/>
        <v>1.0980000000000312E-2</v>
      </c>
      <c r="N100" s="1">
        <f t="shared" si="25"/>
        <v>4.4809006346724294E-2</v>
      </c>
      <c r="O100" s="1">
        <f t="shared" si="25"/>
        <v>4.2566804090369379</v>
      </c>
      <c r="P100" s="1">
        <f t="shared" si="25"/>
        <v>1.342082302021369</v>
      </c>
      <c r="R100" s="1">
        <f t="shared" si="26"/>
        <v>2.6961893984620046E-3</v>
      </c>
      <c r="S100" s="1">
        <f t="shared" si="26"/>
        <v>1.2232359999999479E-2</v>
      </c>
      <c r="T100" s="1">
        <f t="shared" si="26"/>
        <v>1.2056040000000344E-2</v>
      </c>
    </row>
    <row r="101" spans="1:20" x14ac:dyDescent="0.3">
      <c r="A101" s="13">
        <v>25.016500000000001</v>
      </c>
      <c r="B101">
        <v>27.6</v>
      </c>
      <c r="C101">
        <v>27.5</v>
      </c>
      <c r="D101">
        <f t="shared" si="23"/>
        <v>0.99983002889508787</v>
      </c>
      <c r="E101">
        <f t="shared" si="23"/>
        <v>0.90744101633393826</v>
      </c>
      <c r="F101">
        <f t="shared" si="23"/>
        <v>0.90744101633393826</v>
      </c>
      <c r="G101">
        <f t="shared" si="24"/>
        <v>-2.4504164999999745E-2</v>
      </c>
      <c r="H101">
        <f t="shared" si="24"/>
        <v>-0.11020000000000157</v>
      </c>
      <c r="I101">
        <f t="shared" si="24"/>
        <v>0.11020000000000157</v>
      </c>
      <c r="J101" s="1">
        <f t="shared" si="22"/>
        <v>7.3189655835800491E-4</v>
      </c>
      <c r="K101" s="1">
        <f t="shared" si="22"/>
        <v>1.1020000000000314E-2</v>
      </c>
      <c r="L101" s="1">
        <f t="shared" si="22"/>
        <v>1.1020000000000314E-2</v>
      </c>
      <c r="N101" s="1">
        <f t="shared" si="25"/>
        <v>7.0852526691550857E-2</v>
      </c>
      <c r="O101" s="1">
        <f t="shared" si="25"/>
        <v>3.8540459262783222</v>
      </c>
      <c r="P101" s="1">
        <f t="shared" si="25"/>
        <v>1.5837788537455075</v>
      </c>
      <c r="R101" s="1">
        <f t="shared" si="26"/>
        <v>7.3202098077292577E-4</v>
      </c>
      <c r="S101" s="1">
        <f t="shared" si="26"/>
        <v>1.2144040000000347E-2</v>
      </c>
      <c r="T101" s="1">
        <f t="shared" si="26"/>
        <v>1.2144040000000347E-2</v>
      </c>
    </row>
    <row r="102" spans="1:20" x14ac:dyDescent="0.3">
      <c r="A102" s="13">
        <v>24.992000000000001</v>
      </c>
      <c r="B102">
        <v>27.5</v>
      </c>
      <c r="C102">
        <v>27.6</v>
      </c>
      <c r="D102">
        <f t="shared" si="23"/>
        <v>0.99923258937136283</v>
      </c>
      <c r="E102">
        <f t="shared" si="23"/>
        <v>0.91074681238615662</v>
      </c>
      <c r="F102">
        <f t="shared" si="23"/>
        <v>0.9041591320072333</v>
      </c>
      <c r="G102">
        <f t="shared" si="24"/>
        <v>5.4441779199997556E-2</v>
      </c>
      <c r="H102">
        <f t="shared" si="24"/>
        <v>-0.10980000000000156</v>
      </c>
      <c r="I102">
        <f t="shared" si="24"/>
        <v>0.11059999999999764</v>
      </c>
      <c r="J102" s="1">
        <f t="shared" si="22"/>
        <v>2.690511800990942E-3</v>
      </c>
      <c r="K102" s="1">
        <f t="shared" si="22"/>
        <v>1.0980000000000312E-2</v>
      </c>
      <c r="L102" s="1">
        <f t="shared" si="22"/>
        <v>1.1059999999999529E-2</v>
      </c>
      <c r="N102" s="1">
        <f t="shared" si="25"/>
        <v>5.8409889105344712E-2</v>
      </c>
      <c r="O102" s="1">
        <f t="shared" si="25"/>
        <v>3.4714114435196919</v>
      </c>
      <c r="P102" s="1">
        <f t="shared" si="25"/>
        <v>1.8454754054696467</v>
      </c>
      <c r="R102" s="1">
        <f t="shared" si="26"/>
        <v>2.6925781140541031E-3</v>
      </c>
      <c r="S102" s="1">
        <f t="shared" si="26"/>
        <v>1.2056040000000344E-2</v>
      </c>
      <c r="T102" s="1">
        <f t="shared" si="26"/>
        <v>1.2232359999999479E-2</v>
      </c>
    </row>
    <row r="103" spans="1:20" x14ac:dyDescent="0.3">
      <c r="A103" s="13">
        <v>25.046399999999998</v>
      </c>
      <c r="B103">
        <v>27.4</v>
      </c>
      <c r="C103">
        <v>27.7</v>
      </c>
      <c r="D103">
        <f t="shared" si="23"/>
        <v>0.99078765637106192</v>
      </c>
      <c r="E103">
        <f t="shared" si="23"/>
        <v>0.91407678244972568</v>
      </c>
      <c r="F103">
        <f t="shared" si="23"/>
        <v>0.90122566690699346</v>
      </c>
      <c r="G103">
        <f t="shared" si="24"/>
        <v>0.37555978580000321</v>
      </c>
      <c r="H103">
        <f t="shared" si="24"/>
        <v>-0.10939999999999768</v>
      </c>
      <c r="I103">
        <f t="shared" si="24"/>
        <v>8.8768000000002054E-2</v>
      </c>
      <c r="J103" s="1">
        <f t="shared" si="22"/>
        <v>0.13785325663910891</v>
      </c>
      <c r="K103" s="1">
        <f t="shared" si="22"/>
        <v>1.0939999999999535E-2</v>
      </c>
      <c r="L103" s="1">
        <f t="shared" si="22"/>
        <v>7.1014400000003275E-3</v>
      </c>
      <c r="N103" s="1">
        <f t="shared" si="25"/>
        <v>8.7664183174307422E-2</v>
      </c>
      <c r="O103" s="1">
        <f t="shared" si="25"/>
        <v>3.1087769607610625</v>
      </c>
      <c r="P103" s="1">
        <f t="shared" si="25"/>
        <v>2.1271719571937759</v>
      </c>
      <c r="R103" s="1">
        <f t="shared" si="26"/>
        <v>0.13913501621933935</v>
      </c>
      <c r="S103" s="1">
        <f t="shared" si="26"/>
        <v>1.1968359999999493E-2</v>
      </c>
      <c r="T103" s="1">
        <f t="shared" si="26"/>
        <v>7.8797578240003639E-3</v>
      </c>
    </row>
    <row r="104" spans="1:20" x14ac:dyDescent="0.3">
      <c r="A104" s="13">
        <v>25.418500000000002</v>
      </c>
      <c r="B104">
        <v>27.3</v>
      </c>
      <c r="C104">
        <v>27.78</v>
      </c>
      <c r="D104">
        <f t="shared" si="23"/>
        <v>0.98019996079200145</v>
      </c>
      <c r="E104">
        <f t="shared" si="23"/>
        <v>0.91743119266055051</v>
      </c>
      <c r="F104">
        <f t="shared" si="23"/>
        <v>0.89992800575953924</v>
      </c>
      <c r="G104">
        <f t="shared" si="24"/>
        <v>0.17649459999999825</v>
      </c>
      <c r="H104">
        <f t="shared" si="24"/>
        <v>-0.10900000000000154</v>
      </c>
      <c r="I104">
        <f t="shared" si="24"/>
        <v>0</v>
      </c>
      <c r="J104" s="1">
        <f t="shared" si="22"/>
        <v>2.9657052605211318E-2</v>
      </c>
      <c r="K104" s="1">
        <f t="shared" si="22"/>
        <v>1.0900000000000309E-2</v>
      </c>
      <c r="L104" s="1">
        <f t="shared" si="22"/>
        <v>3.0090248161197663E-37</v>
      </c>
      <c r="N104" s="1">
        <f t="shared" si="25"/>
        <v>0.44646635565705917</v>
      </c>
      <c r="O104" s="1">
        <f t="shared" si="25"/>
        <v>2.7661424780024451</v>
      </c>
      <c r="P104" s="1">
        <f t="shared" si="25"/>
        <v>2.3669291985730898</v>
      </c>
      <c r="R104" s="1">
        <f t="shared" si="26"/>
        <v>3.0256125067836592E-2</v>
      </c>
      <c r="S104" s="1">
        <f t="shared" si="26"/>
        <v>1.1881000000000336E-2</v>
      </c>
      <c r="T104" s="1">
        <f t="shared" si="26"/>
        <v>3.3436283756722843E-37</v>
      </c>
    </row>
    <row r="105" spans="1:20" x14ac:dyDescent="0.3">
      <c r="A105" s="13">
        <v>25.5915</v>
      </c>
      <c r="B105">
        <v>27.2</v>
      </c>
      <c r="C105">
        <v>27.78</v>
      </c>
      <c r="D105">
        <f t="shared" si="23"/>
        <v>0.98230283217552561</v>
      </c>
      <c r="E105">
        <f t="shared" si="23"/>
        <v>0.92081031307550654</v>
      </c>
      <c r="F105">
        <f t="shared" si="23"/>
        <v>0.89992800575953924</v>
      </c>
      <c r="G105">
        <f t="shared" si="24"/>
        <v>-0.28728411519999958</v>
      </c>
      <c r="H105">
        <f t="shared" si="24"/>
        <v>-0.10859999999999767</v>
      </c>
      <c r="I105">
        <f t="shared" si="24"/>
        <v>0</v>
      </c>
      <c r="J105" s="1">
        <f t="shared" si="22"/>
        <v>8.2518164833038893E-2</v>
      </c>
      <c r="K105" s="1">
        <f t="shared" si="22"/>
        <v>1.0859999999999535E-2</v>
      </c>
      <c r="L105" s="1">
        <f t="shared" si="22"/>
        <v>3.0090248161197663E-37</v>
      </c>
      <c r="N105" s="1">
        <f t="shared" si="25"/>
        <v>0.70758611289843154</v>
      </c>
      <c r="O105" s="1">
        <f t="shared" si="25"/>
        <v>2.4435079952438161</v>
      </c>
      <c r="P105" s="1">
        <f t="shared" si="25"/>
        <v>2.3669291985730898</v>
      </c>
      <c r="R105" s="1">
        <f t="shared" si="26"/>
        <v>8.4004812090670927E-2</v>
      </c>
      <c r="S105" s="1">
        <f t="shared" si="26"/>
        <v>1.1793959999999494E-2</v>
      </c>
      <c r="T105" s="1">
        <f t="shared" si="26"/>
        <v>3.3436283756722843E-37</v>
      </c>
    </row>
    <row r="106" spans="1:20" x14ac:dyDescent="0.3">
      <c r="A106" s="13">
        <v>25.3093</v>
      </c>
      <c r="B106">
        <v>27.1</v>
      </c>
      <c r="C106">
        <v>27.78</v>
      </c>
      <c r="D106">
        <f t="shared" si="23"/>
        <v>0.99554196308928622</v>
      </c>
      <c r="E106">
        <f t="shared" si="23"/>
        <v>0.92421441774491675</v>
      </c>
      <c r="F106">
        <f t="shared" si="23"/>
        <v>0.89992800575953924</v>
      </c>
      <c r="G106">
        <f t="shared" si="24"/>
        <v>-0.39646746660000026</v>
      </c>
      <c r="H106">
        <f t="shared" si="24"/>
        <v>-0.10820000000000154</v>
      </c>
      <c r="I106">
        <f t="shared" si="24"/>
        <v>0</v>
      </c>
      <c r="J106" s="1">
        <f t="shared" si="22"/>
        <v>0.15850652007557539</v>
      </c>
      <c r="K106" s="1">
        <f t="shared" si="22"/>
        <v>1.0820000000000307E-2</v>
      </c>
      <c r="L106" s="1">
        <f t="shared" si="22"/>
        <v>3.0090248161197663E-37</v>
      </c>
      <c r="N106" s="1">
        <f t="shared" si="25"/>
        <v>0.31246018241568096</v>
      </c>
      <c r="O106" s="1">
        <f t="shared" si="25"/>
        <v>2.1408735124851979</v>
      </c>
      <c r="P106" s="1">
        <f t="shared" si="25"/>
        <v>2.3669291985730898</v>
      </c>
      <c r="R106" s="1">
        <f t="shared" si="26"/>
        <v>0.15921631227247382</v>
      </c>
      <c r="S106" s="1">
        <f t="shared" si="26"/>
        <v>1.1707240000000334E-2</v>
      </c>
      <c r="T106" s="1">
        <f t="shared" si="26"/>
        <v>3.3436283756722843E-37</v>
      </c>
    </row>
    <row r="107" spans="1:20" x14ac:dyDescent="0.3">
      <c r="A107" s="13">
        <v>24.9146</v>
      </c>
      <c r="B107">
        <v>27</v>
      </c>
      <c r="C107">
        <v>27.78</v>
      </c>
      <c r="D107">
        <f t="shared" si="23"/>
        <v>1.0113882314865386</v>
      </c>
      <c r="E107">
        <f t="shared" si="23"/>
        <v>0.927643784786642</v>
      </c>
      <c r="F107">
        <f t="shared" si="23"/>
        <v>0.89992800575953924</v>
      </c>
      <c r="G107">
        <f t="shared" si="24"/>
        <v>-0.38778382799999894</v>
      </c>
      <c r="H107">
        <f t="shared" si="24"/>
        <v>-0.10780000000000152</v>
      </c>
      <c r="I107">
        <f t="shared" si="24"/>
        <v>0</v>
      </c>
      <c r="J107" s="1">
        <f t="shared" si="22"/>
        <v>0.15409697292341604</v>
      </c>
      <c r="K107" s="1">
        <f t="shared" si="22"/>
        <v>1.0780000000000305E-2</v>
      </c>
      <c r="L107" s="1">
        <f t="shared" si="22"/>
        <v>3.0090248161197663E-37</v>
      </c>
      <c r="N107" s="1">
        <f t="shared" si="25"/>
        <v>2.698837158810501E-2</v>
      </c>
      <c r="O107" s="1">
        <f t="shared" si="25"/>
        <v>1.8582390297265692</v>
      </c>
      <c r="P107" s="1">
        <f t="shared" si="25"/>
        <v>2.3669291985730898</v>
      </c>
      <c r="R107" s="1">
        <f t="shared" si="26"/>
        <v>0.15236184100829836</v>
      </c>
      <c r="S107" s="1">
        <f t="shared" si="26"/>
        <v>1.1620840000000328E-2</v>
      </c>
      <c r="T107" s="1">
        <f t="shared" si="26"/>
        <v>3.3436283756722843E-37</v>
      </c>
    </row>
    <row r="108" spans="1:20" x14ac:dyDescent="0.3">
      <c r="A108" s="13">
        <v>24.522400000000001</v>
      </c>
      <c r="B108">
        <v>26.9</v>
      </c>
      <c r="C108">
        <v>27.78</v>
      </c>
      <c r="D108">
        <f t="shared" si="23"/>
        <v>1.0235225963083587</v>
      </c>
      <c r="E108">
        <f t="shared" si="23"/>
        <v>0.93283582089552253</v>
      </c>
      <c r="F108">
        <f t="shared" si="23"/>
        <v>0.89992800575953924</v>
      </c>
      <c r="G108">
        <f t="shared" si="24"/>
        <v>-0.18944379020000277</v>
      </c>
      <c r="H108">
        <f t="shared" si="24"/>
        <v>-0.2143999999999992</v>
      </c>
      <c r="I108">
        <f t="shared" si="24"/>
        <v>0</v>
      </c>
      <c r="J108" s="1">
        <f t="shared" si="22"/>
        <v>3.7729372864111148E-2</v>
      </c>
      <c r="K108" s="1">
        <f t="shared" si="22"/>
        <v>4.2879999999999689E-2</v>
      </c>
      <c r="L108" s="1">
        <f t="shared" si="22"/>
        <v>3.0090248161197663E-37</v>
      </c>
      <c r="N108" s="1">
        <f t="shared" si="25"/>
        <v>5.1946897657080535E-2</v>
      </c>
      <c r="O108" s="1">
        <f t="shared" si="25"/>
        <v>1.595604546967941</v>
      </c>
      <c r="P108" s="1">
        <f t="shared" si="25"/>
        <v>2.3669291985730898</v>
      </c>
      <c r="R108" s="1">
        <f t="shared" si="26"/>
        <v>3.6862276416948142E-2</v>
      </c>
      <c r="S108" s="1">
        <f t="shared" si="26"/>
        <v>4.5967359999999659E-2</v>
      </c>
      <c r="T108" s="1">
        <f t="shared" si="26"/>
        <v>3.3436283756722843E-37</v>
      </c>
    </row>
    <row r="109" spans="1:20" x14ac:dyDescent="0.3">
      <c r="A109" s="13">
        <v>24.328499999999998</v>
      </c>
      <c r="B109">
        <v>26.7</v>
      </c>
      <c r="C109">
        <v>27.78</v>
      </c>
      <c r="D109">
        <f t="shared" si="23"/>
        <v>1.0202228574809882</v>
      </c>
      <c r="E109">
        <f t="shared" si="23"/>
        <v>0.93808630393996251</v>
      </c>
      <c r="F109">
        <f t="shared" si="23"/>
        <v>0.89992800575953924</v>
      </c>
      <c r="G109">
        <f t="shared" si="24"/>
        <v>0.34492463820000052</v>
      </c>
      <c r="H109">
        <f t="shared" si="24"/>
        <v>-0.10659999999999772</v>
      </c>
      <c r="I109">
        <f t="shared" si="24"/>
        <v>0</v>
      </c>
      <c r="J109" s="1">
        <f t="shared" si="22"/>
        <v>0.11958972172488257</v>
      </c>
      <c r="K109" s="1">
        <f t="shared" si="22"/>
        <v>1.0659999999999545E-2</v>
      </c>
      <c r="L109" s="1">
        <f t="shared" si="22"/>
        <v>3.0090248161197663E-37</v>
      </c>
      <c r="N109" s="1">
        <f t="shared" si="25"/>
        <v>0.177930948760536</v>
      </c>
      <c r="O109" s="1">
        <f t="shared" si="25"/>
        <v>1.1303355814506939</v>
      </c>
      <c r="P109" s="1">
        <f t="shared" si="25"/>
        <v>2.3669291985730898</v>
      </c>
      <c r="R109" s="1">
        <f t="shared" si="26"/>
        <v>0.11721921426085194</v>
      </c>
      <c r="S109" s="1">
        <f t="shared" si="26"/>
        <v>1.1363559999999514E-2</v>
      </c>
      <c r="T109" s="1">
        <f t="shared" si="26"/>
        <v>3.3436283756722843E-37</v>
      </c>
    </row>
    <row r="110" spans="1:20" x14ac:dyDescent="0.3">
      <c r="A110" s="13">
        <v>24.680399999999999</v>
      </c>
      <c r="B110">
        <v>26.6</v>
      </c>
      <c r="C110">
        <v>27.78</v>
      </c>
      <c r="D110">
        <f t="shared" si="23"/>
        <v>1.0017390189368744</v>
      </c>
      <c r="E110">
        <f t="shared" si="23"/>
        <v>0.94161958568738224</v>
      </c>
      <c r="F110">
        <f t="shared" si="23"/>
        <v>0.89992800575953924</v>
      </c>
      <c r="G110">
        <f t="shared" si="24"/>
        <v>0.55144103360000218</v>
      </c>
      <c r="H110">
        <f t="shared" si="24"/>
        <v>-0.10620000000000152</v>
      </c>
      <c r="I110">
        <f t="shared" si="24"/>
        <v>0</v>
      </c>
      <c r="J110" s="1">
        <f t="shared" si="22"/>
        <v>0.30180340792822163</v>
      </c>
      <c r="K110" s="1">
        <f t="shared" si="22"/>
        <v>1.0620000000000303E-2</v>
      </c>
      <c r="L110" s="1">
        <f t="shared" si="22"/>
        <v>3.0090248161197663E-37</v>
      </c>
      <c r="N110" s="1">
        <f t="shared" si="25"/>
        <v>4.8886135191459233E-3</v>
      </c>
      <c r="O110" s="1">
        <f t="shared" si="25"/>
        <v>0.92770109869207351</v>
      </c>
      <c r="P110" s="1">
        <f t="shared" si="25"/>
        <v>2.3669291985730898</v>
      </c>
      <c r="R110" s="1">
        <f t="shared" si="26"/>
        <v>0.30127947721205822</v>
      </c>
      <c r="S110" s="1">
        <f t="shared" si="26"/>
        <v>1.1278440000000322E-2</v>
      </c>
      <c r="T110" s="1">
        <f t="shared" si="26"/>
        <v>3.3436283756722843E-37</v>
      </c>
    </row>
    <row r="111" spans="1:20" x14ac:dyDescent="0.3">
      <c r="A111" s="13">
        <v>25.232800000000001</v>
      </c>
      <c r="B111">
        <v>26.5</v>
      </c>
      <c r="C111">
        <v>27.78</v>
      </c>
      <c r="D111">
        <f t="shared" si="23"/>
        <v>0.98213882335840408</v>
      </c>
      <c r="E111">
        <f t="shared" si="23"/>
        <v>0.94517958412098302</v>
      </c>
      <c r="F111">
        <f t="shared" si="23"/>
        <v>0.89992800575953924</v>
      </c>
      <c r="G111">
        <f t="shared" si="24"/>
        <v>0.45176912819999976</v>
      </c>
      <c r="H111">
        <f t="shared" si="24"/>
        <v>-0.1058000000000015</v>
      </c>
      <c r="I111">
        <f t="shared" si="24"/>
        <v>0</v>
      </c>
      <c r="J111" s="1">
        <f t="shared" si="22"/>
        <v>0.19819195972728132</v>
      </c>
      <c r="K111" s="1">
        <f t="shared" si="22"/>
        <v>1.0580000000000301E-2</v>
      </c>
      <c r="L111" s="1">
        <f t="shared" si="22"/>
        <v>3.0090248161197663E-37</v>
      </c>
      <c r="N111" s="1">
        <f t="shared" si="25"/>
        <v>0.23278828138120086</v>
      </c>
      <c r="O111" s="1">
        <f t="shared" si="25"/>
        <v>0.74506661593344625</v>
      </c>
      <c r="P111" s="1">
        <f t="shared" si="25"/>
        <v>2.3669291985730898</v>
      </c>
      <c r="R111" s="1">
        <f t="shared" si="26"/>
        <v>0.20179627870688166</v>
      </c>
      <c r="S111" s="1">
        <f t="shared" si="26"/>
        <v>1.1193640000000319E-2</v>
      </c>
      <c r="T111" s="1">
        <f t="shared" si="26"/>
        <v>3.3436283756722843E-37</v>
      </c>
    </row>
    <row r="112" spans="1:20" x14ac:dyDescent="0.3">
      <c r="A112" s="13">
        <v>25.676500000000001</v>
      </c>
      <c r="B112">
        <v>26.4</v>
      </c>
      <c r="C112">
        <v>27.78</v>
      </c>
      <c r="D112">
        <f t="shared" si="23"/>
        <v>0.96469412443396574</v>
      </c>
      <c r="E112">
        <f t="shared" si="23"/>
        <v>0.95057034220532333</v>
      </c>
      <c r="F112">
        <f t="shared" si="23"/>
        <v>0.90122566690699346</v>
      </c>
      <c r="G112">
        <f t="shared" si="24"/>
        <v>0.49435358620000058</v>
      </c>
      <c r="H112">
        <f t="shared" si="24"/>
        <v>-0.21039999999999923</v>
      </c>
      <c r="I112">
        <f t="shared" si="24"/>
        <v>-8.8768000000002054E-2</v>
      </c>
      <c r="J112" s="1">
        <f t="shared" si="22"/>
        <v>0.23332967492537954</v>
      </c>
      <c r="K112" s="1">
        <f t="shared" si="22"/>
        <v>4.2079999999999694E-2</v>
      </c>
      <c r="L112" s="1">
        <f t="shared" si="22"/>
        <v>7.1014400000003275E-3</v>
      </c>
      <c r="N112" s="1">
        <f t="shared" si="25"/>
        <v>0.85781194738118938</v>
      </c>
      <c r="O112" s="1">
        <f t="shared" si="25"/>
        <v>0.58243213317481946</v>
      </c>
      <c r="P112" s="1">
        <f t="shared" si="25"/>
        <v>2.3669291985730898</v>
      </c>
      <c r="R112" s="1">
        <f t="shared" si="26"/>
        <v>0.24186907436829858</v>
      </c>
      <c r="S112" s="1">
        <f t="shared" si="26"/>
        <v>4.4268159999999675E-2</v>
      </c>
      <c r="T112" s="1">
        <f t="shared" si="26"/>
        <v>7.8797578240003639E-3</v>
      </c>
    </row>
    <row r="113" spans="1:20" x14ac:dyDescent="0.3">
      <c r="A113" s="13">
        <v>26.153400000000001</v>
      </c>
      <c r="B113">
        <v>26.2</v>
      </c>
      <c r="C113">
        <v>27.7</v>
      </c>
      <c r="D113">
        <f t="shared" si="23"/>
        <v>0.95664668550622867</v>
      </c>
      <c r="E113">
        <f t="shared" si="23"/>
        <v>0.95785440613026818</v>
      </c>
      <c r="F113">
        <f t="shared" si="23"/>
        <v>0.9041591320072333</v>
      </c>
      <c r="G113">
        <f t="shared" si="24"/>
        <v>-4.2753506200000631E-2</v>
      </c>
      <c r="H113">
        <f t="shared" si="24"/>
        <v>-0.20879999999999926</v>
      </c>
      <c r="I113">
        <f t="shared" si="24"/>
        <v>-0.11059999999999764</v>
      </c>
      <c r="J113" s="1">
        <f t="shared" si="22"/>
        <v>1.9635781975401666E-3</v>
      </c>
      <c r="K113" s="1">
        <f t="shared" si="22"/>
        <v>4.1759999999999707E-2</v>
      </c>
      <c r="L113" s="1">
        <f t="shared" si="22"/>
        <v>1.1059999999999529E-2</v>
      </c>
      <c r="N113" s="1">
        <f t="shared" si="25"/>
        <v>1.9686373569673858</v>
      </c>
      <c r="O113" s="1">
        <f t="shared" si="25"/>
        <v>0.31716316765757169</v>
      </c>
      <c r="P113" s="1">
        <f t="shared" si="25"/>
        <v>2.1271719571937759</v>
      </c>
      <c r="R113" s="1">
        <f t="shared" si="26"/>
        <v>2.052563634296292E-3</v>
      </c>
      <c r="S113" s="1">
        <f t="shared" si="26"/>
        <v>4.3597439999999696E-2</v>
      </c>
      <c r="T113" s="1">
        <f t="shared" si="26"/>
        <v>1.2232359999999479E-2</v>
      </c>
    </row>
    <row r="114" spans="1:20" x14ac:dyDescent="0.3">
      <c r="A114" s="13">
        <v>26.112500000000001</v>
      </c>
      <c r="B114">
        <v>26</v>
      </c>
      <c r="C114">
        <v>27.6</v>
      </c>
      <c r="D114">
        <f t="shared" si="23"/>
        <v>0.95396544355577251</v>
      </c>
      <c r="E114">
        <f t="shared" si="23"/>
        <v>0.96339113680154143</v>
      </c>
      <c r="F114">
        <f t="shared" si="23"/>
        <v>0.90744101633393826</v>
      </c>
      <c r="G114">
        <f t="shared" si="24"/>
        <v>0.1968624767999993</v>
      </c>
      <c r="H114">
        <f t="shared" si="24"/>
        <v>-0.10380000000000147</v>
      </c>
      <c r="I114">
        <f t="shared" si="24"/>
        <v>-0.11020000000000157</v>
      </c>
      <c r="J114" s="1">
        <f t="shared" si="22"/>
        <v>3.6018558178929169E-2</v>
      </c>
      <c r="K114" s="1">
        <f t="shared" si="22"/>
        <v>1.0380000000000295E-2</v>
      </c>
      <c r="L114" s="1">
        <f t="shared" si="22"/>
        <v>1.1020000000000314E-2</v>
      </c>
      <c r="N114" s="1">
        <f t="shared" si="25"/>
        <v>1.855538110139799</v>
      </c>
      <c r="O114" s="1">
        <f t="shared" si="25"/>
        <v>0.1318942021403233</v>
      </c>
      <c r="P114" s="1">
        <f t="shared" si="25"/>
        <v>1.8454754054696467</v>
      </c>
      <c r="R114" s="1">
        <f t="shared" si="26"/>
        <v>3.7756669722411582E-2</v>
      </c>
      <c r="S114" s="1">
        <f t="shared" si="26"/>
        <v>1.0774440000000307E-2</v>
      </c>
      <c r="T114" s="1">
        <f t="shared" si="26"/>
        <v>1.2144040000000347E-2</v>
      </c>
    </row>
    <row r="115" spans="1:20" x14ac:dyDescent="0.3">
      <c r="A115" s="13">
        <v>26.3003</v>
      </c>
      <c r="B115">
        <v>25.9</v>
      </c>
      <c r="C115">
        <v>27.5</v>
      </c>
      <c r="D115">
        <f t="shared" si="23"/>
        <v>0.94605231290869463</v>
      </c>
      <c r="E115">
        <f t="shared" si="23"/>
        <v>0.96711798839458407</v>
      </c>
      <c r="F115">
        <f t="shared" si="23"/>
        <v>0.91074681238615662</v>
      </c>
      <c r="G115">
        <f t="shared" si="24"/>
        <v>0.26489021439999849</v>
      </c>
      <c r="H115">
        <f t="shared" si="24"/>
        <v>-0.1033999999999978</v>
      </c>
      <c r="I115">
        <f t="shared" si="24"/>
        <v>-0.10980000000000156</v>
      </c>
      <c r="J115" s="1">
        <f t="shared" si="22"/>
        <v>6.5108725050908769E-2</v>
      </c>
      <c r="K115" s="1">
        <f t="shared" si="22"/>
        <v>1.033999999999956E-2</v>
      </c>
      <c r="L115" s="1">
        <f t="shared" si="22"/>
        <v>1.0980000000000312E-2</v>
      </c>
      <c r="N115" s="1">
        <f t="shared" si="25"/>
        <v>2.4024422762087574</v>
      </c>
      <c r="O115" s="1">
        <f t="shared" si="25"/>
        <v>6.9259719381697976E-2</v>
      </c>
      <c r="P115" s="1">
        <f t="shared" si="25"/>
        <v>1.5837788537455075</v>
      </c>
      <c r="R115" s="1">
        <f t="shared" si="26"/>
        <v>6.8821484988211792E-2</v>
      </c>
      <c r="S115" s="1">
        <f t="shared" si="26"/>
        <v>1.0691559999999545E-2</v>
      </c>
      <c r="T115" s="1">
        <f t="shared" si="26"/>
        <v>1.2056040000000344E-2</v>
      </c>
    </row>
    <row r="116" spans="1:20" x14ac:dyDescent="0.3">
      <c r="A116" s="13">
        <v>26.550899999999999</v>
      </c>
      <c r="B116">
        <v>25.8</v>
      </c>
      <c r="C116">
        <v>27.4</v>
      </c>
      <c r="D116">
        <f t="shared" si="23"/>
        <v>0.94051434848690052</v>
      </c>
      <c r="E116">
        <f t="shared" si="23"/>
        <v>0.970873786407767</v>
      </c>
      <c r="F116">
        <f t="shared" si="23"/>
        <v>0.91407678244972568</v>
      </c>
      <c r="G116">
        <f t="shared" si="24"/>
        <v>6.4432828800000924E-2</v>
      </c>
      <c r="H116">
        <f t="shared" si="24"/>
        <v>-0.10300000000000147</v>
      </c>
      <c r="I116">
        <f t="shared" si="24"/>
        <v>-0.10939999999999768</v>
      </c>
      <c r="J116" s="1">
        <f t="shared" si="22"/>
        <v>3.6014847633052492E-3</v>
      </c>
      <c r="K116" s="1">
        <f t="shared" si="22"/>
        <v>1.0300000000000293E-2</v>
      </c>
      <c r="L116" s="1">
        <f t="shared" si="22"/>
        <v>1.0939999999999535E-2</v>
      </c>
      <c r="N116" s="1">
        <f t="shared" si="25"/>
        <v>3.2420933035190904</v>
      </c>
      <c r="O116" s="1">
        <f t="shared" si="25"/>
        <v>2.6625236623074366E-2</v>
      </c>
      <c r="P116" s="1">
        <f t="shared" si="25"/>
        <v>1.342082302021369</v>
      </c>
      <c r="R116" s="1">
        <f t="shared" si="26"/>
        <v>3.8292714716147798E-3</v>
      </c>
      <c r="S116" s="1">
        <f t="shared" si="26"/>
        <v>1.0609000000000302E-2</v>
      </c>
      <c r="T116" s="1">
        <f t="shared" si="26"/>
        <v>1.1968359999999493E-2</v>
      </c>
    </row>
    <row r="117" spans="1:20" x14ac:dyDescent="0.3">
      <c r="A117" s="13">
        <v>26.611499999999999</v>
      </c>
      <c r="B117">
        <v>25.7</v>
      </c>
      <c r="C117">
        <v>27.3</v>
      </c>
      <c r="D117">
        <f t="shared" si="23"/>
        <v>0.94129341245218223</v>
      </c>
      <c r="E117">
        <f t="shared" si="23"/>
        <v>0.97465886939571156</v>
      </c>
      <c r="F117">
        <f t="shared" si="23"/>
        <v>0.91743119266055051</v>
      </c>
      <c r="G117">
        <f t="shared" si="24"/>
        <v>-0.11112369279999768</v>
      </c>
      <c r="H117">
        <f t="shared" si="24"/>
        <v>-0.1025999999999978</v>
      </c>
      <c r="I117">
        <f t="shared" si="24"/>
        <v>-0.10900000000000154</v>
      </c>
      <c r="J117" s="1">
        <f t="shared" si="22"/>
        <v>1.2163487378609306E-2</v>
      </c>
      <c r="K117" s="1">
        <f t="shared" si="22"/>
        <v>1.0259999999999561E-2</v>
      </c>
      <c r="L117" s="1">
        <f t="shared" si="22"/>
        <v>1.0900000000000309E-2</v>
      </c>
      <c r="N117" s="1">
        <f t="shared" si="25"/>
        <v>3.463996126691506</v>
      </c>
      <c r="O117" s="1">
        <f t="shared" si="25"/>
        <v>3.9907538644494579E-3</v>
      </c>
      <c r="P117" s="1">
        <f t="shared" si="25"/>
        <v>1.1203857502972385</v>
      </c>
      <c r="R117" s="1">
        <f t="shared" si="26"/>
        <v>1.2922099759438413E-2</v>
      </c>
      <c r="S117" s="1">
        <f t="shared" si="26"/>
        <v>1.0526759999999549E-2</v>
      </c>
      <c r="T117" s="1">
        <f t="shared" si="26"/>
        <v>1.1881000000000336E-2</v>
      </c>
    </row>
    <row r="118" spans="1:20" x14ac:dyDescent="0.3">
      <c r="A118" s="13">
        <v>26.506900000000002</v>
      </c>
      <c r="B118">
        <v>25.6</v>
      </c>
      <c r="C118">
        <v>27.2</v>
      </c>
      <c r="D118">
        <f t="shared" si="23"/>
        <v>0.9424555490840274</v>
      </c>
      <c r="E118">
        <f t="shared" si="23"/>
        <v>0.97847358121330719</v>
      </c>
      <c r="F118">
        <f t="shared" si="23"/>
        <v>0.92081031307550654</v>
      </c>
      <c r="G118">
        <f t="shared" si="24"/>
        <v>4.1487367799997552E-2</v>
      </c>
      <c r="H118">
        <f t="shared" si="24"/>
        <v>-0.10220000000000146</v>
      </c>
      <c r="I118">
        <f t="shared" si="24"/>
        <v>-0.10859999999999767</v>
      </c>
      <c r="J118" s="1">
        <f t="shared" si="22"/>
        <v>1.4287480724581834E-3</v>
      </c>
      <c r="K118" s="1">
        <f t="shared" si="22"/>
        <v>1.022000000000029E-2</v>
      </c>
      <c r="L118" s="1">
        <f t="shared" si="22"/>
        <v>1.0859999999999535E-2</v>
      </c>
      <c r="N118" s="1">
        <f t="shared" si="25"/>
        <v>3.0855781421397923</v>
      </c>
      <c r="O118" s="1">
        <f t="shared" si="25"/>
        <v>1.3562711058248576E-3</v>
      </c>
      <c r="P118" s="1">
        <f t="shared" si="25"/>
        <v>0.91868919857310039</v>
      </c>
      <c r="R118" s="1">
        <f t="shared" si="26"/>
        <v>1.5159845722663352E-3</v>
      </c>
      <c r="S118" s="1">
        <f t="shared" si="26"/>
        <v>1.0444840000000297E-2</v>
      </c>
      <c r="T118" s="1">
        <f t="shared" si="26"/>
        <v>1.1793959999999494E-2</v>
      </c>
    </row>
    <row r="119" spans="1:20" x14ac:dyDescent="0.3">
      <c r="A119" s="13">
        <v>26.545999999999999</v>
      </c>
      <c r="B119">
        <v>25.5</v>
      </c>
      <c r="C119">
        <v>27.1</v>
      </c>
      <c r="D119">
        <f t="shared" si="23"/>
        <v>0.94013237063778587</v>
      </c>
      <c r="E119">
        <f t="shared" si="23"/>
        <v>0.98231827111984282</v>
      </c>
      <c r="F119">
        <f t="shared" si="23"/>
        <v>0.92421441774491675</v>
      </c>
      <c r="G119">
        <f t="shared" si="24"/>
        <v>9.785856000000244E-2</v>
      </c>
      <c r="H119">
        <f t="shared" si="24"/>
        <v>-0.10180000000000144</v>
      </c>
      <c r="I119">
        <f t="shared" si="24"/>
        <v>-0.10820000000000154</v>
      </c>
      <c r="J119" s="1">
        <f t="shared" si="22"/>
        <v>8.5395922763603378E-3</v>
      </c>
      <c r="K119" s="1">
        <f t="shared" si="22"/>
        <v>1.018000000000029E-2</v>
      </c>
      <c r="L119" s="1">
        <f t="shared" si="22"/>
        <v>1.0820000000000307E-2</v>
      </c>
      <c r="N119" s="1">
        <f t="shared" si="25"/>
        <v>3.2244716160018521</v>
      </c>
      <c r="O119" s="1">
        <f t="shared" si="25"/>
        <v>1.8721788347200376E-2</v>
      </c>
      <c r="P119" s="1">
        <f t="shared" si="25"/>
        <v>0.73699264684896892</v>
      </c>
      <c r="R119" s="1">
        <f t="shared" si="26"/>
        <v>9.0833935125189634E-3</v>
      </c>
      <c r="S119" s="1">
        <f t="shared" si="26"/>
        <v>1.0363240000000294E-2</v>
      </c>
      <c r="T119" s="1">
        <f t="shared" si="26"/>
        <v>1.1707240000000334E-2</v>
      </c>
    </row>
    <row r="120" spans="1:20" x14ac:dyDescent="0.3">
      <c r="A120" s="13">
        <v>26.638000000000002</v>
      </c>
      <c r="B120">
        <v>25.4</v>
      </c>
      <c r="C120">
        <v>27</v>
      </c>
      <c r="D120">
        <f t="shared" si="23"/>
        <v>0.94233476631040114</v>
      </c>
      <c r="E120">
        <f t="shared" si="23"/>
        <v>0.98619329388560151</v>
      </c>
      <c r="F120">
        <f t="shared" si="23"/>
        <v>0.927643784786642</v>
      </c>
      <c r="G120">
        <f t="shared" si="24"/>
        <v>-0.22953626220000045</v>
      </c>
      <c r="H120">
        <f t="shared" si="24"/>
        <v>-0.10139999999999784</v>
      </c>
      <c r="I120">
        <f t="shared" si="24"/>
        <v>-0.10780000000000152</v>
      </c>
      <c r="J120" s="1">
        <f t="shared" si="22"/>
        <v>5.0758703933387932E-2</v>
      </c>
      <c r="K120" s="1">
        <f t="shared" si="22"/>
        <v>1.0139999999999568E-2</v>
      </c>
      <c r="L120" s="1">
        <f t="shared" si="22"/>
        <v>1.0780000000000305E-2</v>
      </c>
      <c r="N120" s="1">
        <f t="shared" si="25"/>
        <v>3.5633409897949617</v>
      </c>
      <c r="O120" s="1">
        <f t="shared" si="25"/>
        <v>5.6087305588576462E-2</v>
      </c>
      <c r="P120" s="1">
        <f t="shared" si="25"/>
        <v>0.57529609512483126</v>
      </c>
      <c r="R120" s="1">
        <f t="shared" si="26"/>
        <v>5.3864832061887684E-2</v>
      </c>
      <c r="S120" s="1">
        <f t="shared" si="26"/>
        <v>1.0281959999999563E-2</v>
      </c>
      <c r="T120" s="1">
        <f t="shared" si="26"/>
        <v>1.1620840000000328E-2</v>
      </c>
    </row>
    <row r="121" spans="1:20" x14ac:dyDescent="0.3">
      <c r="A121" s="13">
        <v>26.421700000000001</v>
      </c>
      <c r="B121">
        <v>25.3</v>
      </c>
      <c r="C121">
        <v>26.9</v>
      </c>
      <c r="D121">
        <f t="shared" si="23"/>
        <v>0.94160185307244681</v>
      </c>
      <c r="E121">
        <f t="shared" si="23"/>
        <v>0.99009900990099009</v>
      </c>
      <c r="F121">
        <f t="shared" si="23"/>
        <v>0.93109869646182486</v>
      </c>
      <c r="G121">
        <f t="shared" si="24"/>
        <v>0.27357635200000008</v>
      </c>
      <c r="H121">
        <f t="shared" si="24"/>
        <v>-0.10100000000000144</v>
      </c>
      <c r="I121">
        <f t="shared" si="24"/>
        <v>-0.10739999999999772</v>
      </c>
      <c r="J121" s="1">
        <f t="shared" si="22"/>
        <v>6.9164752521773482E-2</v>
      </c>
      <c r="K121" s="1">
        <f t="shared" si="22"/>
        <v>1.0100000000000288E-2</v>
      </c>
      <c r="L121" s="1">
        <f t="shared" si="22"/>
        <v>1.0739999999999543E-2</v>
      </c>
      <c r="N121" s="1">
        <f t="shared" si="25"/>
        <v>2.7935157151053103</v>
      </c>
      <c r="O121" s="1">
        <f t="shared" si="25"/>
        <v>0.11345282282995073</v>
      </c>
      <c r="P121" s="1">
        <f t="shared" si="25"/>
        <v>0.43359954340069407</v>
      </c>
      <c r="R121" s="1">
        <f t="shared" si="26"/>
        <v>7.3454350473173877E-2</v>
      </c>
      <c r="S121" s="1">
        <f t="shared" si="26"/>
        <v>1.020100000000029E-2</v>
      </c>
      <c r="T121" s="1">
        <f t="shared" si="26"/>
        <v>1.1534759999999511E-2</v>
      </c>
    </row>
    <row r="122" spans="1:20" x14ac:dyDescent="0.3">
      <c r="A122" s="13">
        <v>26.679300000000001</v>
      </c>
      <c r="B122">
        <v>25.2</v>
      </c>
      <c r="C122">
        <v>26.8</v>
      </c>
      <c r="D122">
        <f t="shared" si="23"/>
        <v>0.93283582089552242</v>
      </c>
      <c r="E122">
        <f t="shared" si="23"/>
        <v>0.99403578528827041</v>
      </c>
      <c r="F122">
        <f t="shared" si="23"/>
        <v>0.93457943925233644</v>
      </c>
      <c r="G122">
        <f t="shared" si="24"/>
        <v>0.25878079999999865</v>
      </c>
      <c r="H122">
        <f t="shared" si="24"/>
        <v>-0.10059999999999786</v>
      </c>
      <c r="I122">
        <f t="shared" si="24"/>
        <v>-0.10700000000000152</v>
      </c>
      <c r="J122" s="1">
        <f t="shared" si="22"/>
        <v>6.1243788056971081E-2</v>
      </c>
      <c r="K122" s="1">
        <f t="shared" si="22"/>
        <v>1.0059999999999571E-2</v>
      </c>
      <c r="L122" s="1">
        <f t="shared" si="22"/>
        <v>1.0700000000000305E-2</v>
      </c>
      <c r="N122" s="1">
        <f t="shared" si="25"/>
        <v>3.7209691617259937</v>
      </c>
      <c r="O122" s="1">
        <f t="shared" si="25"/>
        <v>0.19081834007132725</v>
      </c>
      <c r="P122" s="1">
        <f t="shared" si="25"/>
        <v>0.31190299167656149</v>
      </c>
      <c r="R122" s="1">
        <f t="shared" si="26"/>
        <v>6.5653340797072995E-2</v>
      </c>
      <c r="S122" s="1">
        <f t="shared" si="26"/>
        <v>1.0120359999999568E-2</v>
      </c>
      <c r="T122" s="1">
        <f t="shared" si="26"/>
        <v>1.1449000000000327E-2</v>
      </c>
    </row>
    <row r="123" spans="1:20" x14ac:dyDescent="0.3">
      <c r="A123" s="13">
        <v>26.9207</v>
      </c>
      <c r="B123">
        <v>25.1</v>
      </c>
      <c r="C123">
        <v>26.7</v>
      </c>
      <c r="D123">
        <f t="shared" si="23"/>
        <v>0.93373297104494046</v>
      </c>
      <c r="E123">
        <f t="shared" si="23"/>
        <v>0.99800399201596801</v>
      </c>
      <c r="F123">
        <f t="shared" si="23"/>
        <v>0.93808630393996251</v>
      </c>
      <c r="G123">
        <f t="shared" si="24"/>
        <v>-0.31368711299999952</v>
      </c>
      <c r="H123">
        <f t="shared" si="24"/>
        <v>-0.10020000000000143</v>
      </c>
      <c r="I123">
        <f t="shared" si="24"/>
        <v>-0.10659999999999772</v>
      </c>
      <c r="J123" s="1">
        <f t="shared" si="22"/>
        <v>9.3379833504018489E-2</v>
      </c>
      <c r="K123" s="1">
        <f t="shared" si="22"/>
        <v>1.0020000000000286E-2</v>
      </c>
      <c r="L123" s="1">
        <f t="shared" si="22"/>
        <v>1.0659999999999545E-2</v>
      </c>
      <c r="N123" s="1">
        <f t="shared" si="25"/>
        <v>4.7105553316570168</v>
      </c>
      <c r="O123" s="1">
        <f t="shared" si="25"/>
        <v>0.28818385731270052</v>
      </c>
      <c r="P123" s="1">
        <f t="shared" si="25"/>
        <v>0.21020643995242475</v>
      </c>
      <c r="R123" s="1">
        <f t="shared" si="26"/>
        <v>0.10000700028779869</v>
      </c>
      <c r="S123" s="1">
        <f t="shared" si="26"/>
        <v>1.0040040000000286E-2</v>
      </c>
      <c r="T123" s="1">
        <f t="shared" si="26"/>
        <v>1.1363559999999514E-2</v>
      </c>
    </row>
    <row r="124" spans="1:20" x14ac:dyDescent="0.3">
      <c r="A124" s="13">
        <v>26.627800000000001</v>
      </c>
      <c r="B124">
        <v>25</v>
      </c>
      <c r="C124">
        <v>26.6</v>
      </c>
      <c r="D124">
        <f t="shared" si="23"/>
        <v>0.94653586803018308</v>
      </c>
      <c r="E124">
        <f t="shared" si="23"/>
        <v>1</v>
      </c>
      <c r="F124">
        <f t="shared" si="23"/>
        <v>0.94161958568738224</v>
      </c>
      <c r="G124">
        <f t="shared" si="24"/>
        <v>-0.45576719760000001</v>
      </c>
      <c r="H124">
        <f t="shared" si="24"/>
        <v>0</v>
      </c>
      <c r="I124">
        <f t="shared" si="24"/>
        <v>-0.10620000000000152</v>
      </c>
      <c r="J124" s="1">
        <f t="shared" si="22"/>
        <v>0.198825757300473</v>
      </c>
      <c r="K124" s="1">
        <f t="shared" si="22"/>
        <v>9.2878565990896802E-37</v>
      </c>
      <c r="L124" s="1">
        <f t="shared" si="22"/>
        <v>1.0620000000000303E-2</v>
      </c>
      <c r="N124" s="1">
        <f t="shared" si="25"/>
        <v>3.5249363296570269</v>
      </c>
      <c r="O124" s="1">
        <f t="shared" si="25"/>
        <v>0.40554937455407747</v>
      </c>
      <c r="P124" s="1">
        <f t="shared" si="25"/>
        <v>0.12850988822829115</v>
      </c>
      <c r="R124" s="1">
        <f t="shared" si="26"/>
        <v>0.21005623137583293</v>
      </c>
      <c r="S124" s="1">
        <f t="shared" si="26"/>
        <v>9.2878565990896802E-37</v>
      </c>
      <c r="T124" s="1">
        <f t="shared" si="26"/>
        <v>1.1278440000000322E-2</v>
      </c>
    </row>
    <row r="125" spans="1:20" x14ac:dyDescent="0.3">
      <c r="A125" s="13">
        <v>26.196400000000001</v>
      </c>
      <c r="B125">
        <v>25</v>
      </c>
      <c r="C125">
        <v>26.5</v>
      </c>
      <c r="D125">
        <f t="shared" si="23"/>
        <v>0.96258064019313216</v>
      </c>
      <c r="E125">
        <f t="shared" si="23"/>
        <v>1</v>
      </c>
      <c r="F125">
        <f t="shared" si="23"/>
        <v>0.94517958412098302</v>
      </c>
      <c r="G125">
        <f t="shared" si="24"/>
        <v>-0.46655831340000142</v>
      </c>
      <c r="H125">
        <f t="shared" si="24"/>
        <v>0</v>
      </c>
      <c r="I125">
        <f t="shared" si="24"/>
        <v>-0.1058000000000015</v>
      </c>
      <c r="J125" s="1">
        <f t="shared" si="22"/>
        <v>0.21182956220804983</v>
      </c>
      <c r="K125" s="1">
        <f t="shared" si="22"/>
        <v>9.2878565990896802E-37</v>
      </c>
      <c r="L125" s="1">
        <f t="shared" si="22"/>
        <v>1.0580000000000301E-2</v>
      </c>
      <c r="N125" s="1">
        <f t="shared" si="25"/>
        <v>2.0911513555880723</v>
      </c>
      <c r="O125" s="1">
        <f t="shared" si="25"/>
        <v>0.40554937455407747</v>
      </c>
      <c r="P125" s="1">
        <f t="shared" si="25"/>
        <v>6.6813336504154844E-2</v>
      </c>
      <c r="R125" s="1">
        <f t="shared" si="26"/>
        <v>0.22006422460932556</v>
      </c>
      <c r="S125" s="1">
        <f t="shared" si="26"/>
        <v>9.2878565990896802E-37</v>
      </c>
      <c r="T125" s="1">
        <f t="shared" si="26"/>
        <v>1.1193640000000319E-2</v>
      </c>
    </row>
    <row r="126" spans="1:20" x14ac:dyDescent="0.3">
      <c r="A126" s="13">
        <v>25.747299999999999</v>
      </c>
      <c r="B126">
        <v>25</v>
      </c>
      <c r="C126">
        <v>26.4</v>
      </c>
      <c r="D126">
        <f t="shared" si="23"/>
        <v>0.98194015663909373</v>
      </c>
      <c r="E126">
        <f t="shared" si="23"/>
        <v>1</v>
      </c>
      <c r="F126">
        <f t="shared" si="23"/>
        <v>0.94876660341555974</v>
      </c>
      <c r="G126">
        <f t="shared" si="24"/>
        <v>-0.5855753999999993</v>
      </c>
      <c r="H126">
        <f t="shared" si="24"/>
        <v>0</v>
      </c>
      <c r="I126">
        <f t="shared" si="24"/>
        <v>-0.10539999999999776</v>
      </c>
      <c r="J126" s="1">
        <f t="shared" si="22"/>
        <v>0.33964672812611585</v>
      </c>
      <c r="K126" s="1">
        <f t="shared" si="22"/>
        <v>9.2878565990896802E-37</v>
      </c>
      <c r="L126" s="1">
        <f t="shared" si="22"/>
        <v>1.0539999999999551E-2</v>
      </c>
      <c r="N126" s="1">
        <f t="shared" si="25"/>
        <v>0.99397187069152926</v>
      </c>
      <c r="O126" s="1">
        <f t="shared" si="25"/>
        <v>0.40554937455407747</v>
      </c>
      <c r="P126" s="1">
        <f t="shared" si="25"/>
        <v>2.5116784780019122E-2</v>
      </c>
      <c r="R126" s="1">
        <f t="shared" si="26"/>
        <v>0.34589351074981139</v>
      </c>
      <c r="S126" s="1">
        <f t="shared" si="26"/>
        <v>9.2878565990896802E-37</v>
      </c>
      <c r="T126" s="1">
        <f t="shared" si="26"/>
        <v>1.1109159999999528E-2</v>
      </c>
    </row>
    <row r="127" spans="1:20" x14ac:dyDescent="0.3">
      <c r="A127" s="13">
        <v>25.1723</v>
      </c>
      <c r="B127">
        <v>25</v>
      </c>
      <c r="C127">
        <v>26.3</v>
      </c>
      <c r="D127">
        <f t="shared" si="23"/>
        <v>0.99939636459578418</v>
      </c>
      <c r="E127">
        <f t="shared" si="23"/>
        <v>1</v>
      </c>
      <c r="F127">
        <f t="shared" si="23"/>
        <v>0.95238095238095233</v>
      </c>
      <c r="G127">
        <f t="shared" si="24"/>
        <v>-0.31458989759999911</v>
      </c>
      <c r="H127">
        <f t="shared" si="24"/>
        <v>0</v>
      </c>
      <c r="I127">
        <f t="shared" si="24"/>
        <v>-0.10500000000000149</v>
      </c>
      <c r="J127" s="1">
        <f t="shared" si="22"/>
        <v>0.10051809347833722</v>
      </c>
      <c r="K127" s="1">
        <f t="shared" si="22"/>
        <v>9.2878565990896802E-37</v>
      </c>
      <c r="L127" s="1">
        <f t="shared" si="22"/>
        <v>1.0500000000000299E-2</v>
      </c>
      <c r="N127" s="1">
        <f t="shared" si="25"/>
        <v>0.1780682844846497</v>
      </c>
      <c r="O127" s="1">
        <f t="shared" si="25"/>
        <v>0.40554937455407747</v>
      </c>
      <c r="P127" s="1">
        <f t="shared" si="25"/>
        <v>3.4202330558843804E-3</v>
      </c>
      <c r="R127" s="1">
        <f t="shared" si="26"/>
        <v>0.10057880640679813</v>
      </c>
      <c r="S127" s="1">
        <f t="shared" si="26"/>
        <v>9.2878565990896802E-37</v>
      </c>
      <c r="T127" s="1">
        <f t="shared" si="26"/>
        <v>1.1025000000000314E-2</v>
      </c>
    </row>
    <row r="128" spans="1:20" x14ac:dyDescent="0.3">
      <c r="A128" s="13">
        <v>24.857900000000001</v>
      </c>
      <c r="B128">
        <v>25</v>
      </c>
      <c r="C128">
        <v>26.2</v>
      </c>
      <c r="D128">
        <f t="shared" si="23"/>
        <v>1.0038568178943501</v>
      </c>
      <c r="E128">
        <f t="shared" si="23"/>
        <v>1</v>
      </c>
      <c r="F128">
        <f t="shared" si="23"/>
        <v>0.95785440613026818</v>
      </c>
      <c r="G128">
        <f t="shared" si="24"/>
        <v>9.1746151799998524E-2</v>
      </c>
      <c r="H128">
        <f t="shared" si="24"/>
        <v>0</v>
      </c>
      <c r="I128">
        <f t="shared" si="24"/>
        <v>-0.20879999999999926</v>
      </c>
      <c r="J128" s="1">
        <f t="shared" si="22"/>
        <v>7.9863299206938132E-3</v>
      </c>
      <c r="K128" s="1">
        <f t="shared" si="22"/>
        <v>9.2878565990896802E-37</v>
      </c>
      <c r="L128" s="1">
        <f t="shared" si="22"/>
        <v>4.1759999999999707E-2</v>
      </c>
      <c r="N128" s="1">
        <f t="shared" si="25"/>
        <v>1.157375317431357E-2</v>
      </c>
      <c r="O128" s="1">
        <f t="shared" si="25"/>
        <v>0.40554937455407747</v>
      </c>
      <c r="P128" s="1">
        <f t="shared" si="25"/>
        <v>1.7236813317490806E-3</v>
      </c>
      <c r="R128" s="1">
        <f t="shared" si="26"/>
        <v>7.9556464411385079E-3</v>
      </c>
      <c r="S128" s="1">
        <f t="shared" si="26"/>
        <v>9.2878565990896802E-37</v>
      </c>
      <c r="T128" s="1">
        <f t="shared" si="26"/>
        <v>4.3597439999999696E-2</v>
      </c>
    </row>
    <row r="129" spans="1:20" x14ac:dyDescent="0.3">
      <c r="A129" s="13">
        <v>24.95</v>
      </c>
      <c r="B129">
        <v>25</v>
      </c>
      <c r="C129">
        <v>26</v>
      </c>
      <c r="D129">
        <f t="shared" si="23"/>
        <v>1.0013879236621959</v>
      </c>
      <c r="E129">
        <f t="shared" si="23"/>
        <v>1</v>
      </c>
      <c r="F129">
        <f t="shared" si="23"/>
        <v>0.96525096525096532</v>
      </c>
      <c r="G129">
        <f t="shared" si="24"/>
        <v>3.0657449799999504E-2</v>
      </c>
      <c r="H129">
        <f t="shared" si="24"/>
        <v>0</v>
      </c>
      <c r="I129">
        <f t="shared" si="24"/>
        <v>-0.20719999999999925</v>
      </c>
      <c r="J129" s="1">
        <f t="shared" si="22"/>
        <v>7.9102834260911289E-4</v>
      </c>
      <c r="K129" s="1">
        <f t="shared" si="22"/>
        <v>9.2878565990896802E-37</v>
      </c>
      <c r="L129" s="1">
        <f t="shared" si="22"/>
        <v>4.1439999999999699E-2</v>
      </c>
      <c r="N129" s="1">
        <f t="shared" si="25"/>
        <v>3.9872653243276164E-2</v>
      </c>
      <c r="O129" s="1">
        <f t="shared" si="25"/>
        <v>0.40554937455407747</v>
      </c>
      <c r="P129" s="1">
        <f t="shared" si="25"/>
        <v>5.8330577883478472E-2</v>
      </c>
      <c r="R129" s="1">
        <f t="shared" si="26"/>
        <v>7.8993197732625661E-4</v>
      </c>
      <c r="S129" s="1">
        <f t="shared" si="26"/>
        <v>9.2878565990896802E-37</v>
      </c>
      <c r="T129" s="1">
        <f t="shared" si="26"/>
        <v>4.2931839999999687E-2</v>
      </c>
    </row>
    <row r="130" spans="1:20" x14ac:dyDescent="0.3">
      <c r="A130" s="13">
        <v>24.980699999999999</v>
      </c>
      <c r="B130">
        <v>25</v>
      </c>
      <c r="C130">
        <v>25.8</v>
      </c>
      <c r="D130">
        <f t="shared" si="23"/>
        <v>1.002683180190189</v>
      </c>
      <c r="E130">
        <f t="shared" si="23"/>
        <v>1</v>
      </c>
      <c r="F130">
        <f t="shared" si="23"/>
        <v>0.97276264591439676</v>
      </c>
      <c r="G130">
        <f t="shared" si="24"/>
        <v>-9.4945244799998399E-2</v>
      </c>
      <c r="H130">
        <f t="shared" si="24"/>
        <v>0</v>
      </c>
      <c r="I130">
        <f t="shared" si="24"/>
        <v>-0.20559999999999928</v>
      </c>
      <c r="J130" s="1">
        <f t="shared" si="22"/>
        <v>9.5311637832384884E-3</v>
      </c>
      <c r="K130" s="1">
        <f t="shared" si="22"/>
        <v>9.2878565990896802E-37</v>
      </c>
      <c r="L130" s="1">
        <f t="shared" si="22"/>
        <v>4.1119999999999705E-2</v>
      </c>
      <c r="N130" s="1">
        <f t="shared" si="25"/>
        <v>5.3075579932930245E-2</v>
      </c>
      <c r="O130" s="1">
        <f t="shared" si="25"/>
        <v>0.40554937455407747</v>
      </c>
      <c r="P130" s="1">
        <f t="shared" si="25"/>
        <v>0.19493747443520729</v>
      </c>
      <c r="R130" s="1">
        <f t="shared" si="26"/>
        <v>9.5056583889545423E-3</v>
      </c>
      <c r="S130" s="1">
        <f t="shared" si="26"/>
        <v>9.2878565990896802E-37</v>
      </c>
      <c r="T130" s="1">
        <f t="shared" si="26"/>
        <v>4.2271359999999703E-2</v>
      </c>
    </row>
    <row r="131" spans="1:20" x14ac:dyDescent="0.3">
      <c r="A131" s="13">
        <v>24.8855</v>
      </c>
      <c r="B131">
        <v>25</v>
      </c>
      <c r="C131">
        <v>25.6</v>
      </c>
      <c r="D131">
        <f t="shared" si="23"/>
        <v>1.0073536818777071</v>
      </c>
      <c r="E131">
        <f t="shared" si="23"/>
        <v>1</v>
      </c>
      <c r="F131">
        <f t="shared" si="23"/>
        <v>0.98039215686274506</v>
      </c>
      <c r="G131">
        <f t="shared" si="24"/>
        <v>-0.13500719999999924</v>
      </c>
      <c r="H131">
        <f t="shared" si="24"/>
        <v>0</v>
      </c>
      <c r="I131">
        <f t="shared" si="24"/>
        <v>-0.2040000000000029</v>
      </c>
      <c r="J131" s="1">
        <f t="shared" si="22"/>
        <v>1.9061606543229061E-2</v>
      </c>
      <c r="K131" s="1">
        <f t="shared" si="22"/>
        <v>9.2878565990896802E-37</v>
      </c>
      <c r="L131" s="1">
        <f t="shared" si="22"/>
        <v>4.0800000000001162E-2</v>
      </c>
      <c r="N131" s="1">
        <f t="shared" si="25"/>
        <v>1.8274005312243803E-2</v>
      </c>
      <c r="O131" s="1">
        <f t="shared" si="25"/>
        <v>0.40554937455407747</v>
      </c>
      <c r="P131" s="1">
        <f t="shared" si="25"/>
        <v>0.41154437098693553</v>
      </c>
      <c r="R131" s="1">
        <f t="shared" si="26"/>
        <v>1.8922456815463493E-2</v>
      </c>
      <c r="S131" s="1">
        <f t="shared" si="26"/>
        <v>9.2878565990896802E-37</v>
      </c>
      <c r="T131" s="1">
        <f t="shared" si="26"/>
        <v>4.1616000000001187E-2</v>
      </c>
    </row>
    <row r="132" spans="1:20" x14ac:dyDescent="0.3">
      <c r="A132" s="13">
        <v>24.749500000000001</v>
      </c>
      <c r="B132">
        <v>25</v>
      </c>
      <c r="C132">
        <v>25.4</v>
      </c>
      <c r="D132">
        <f t="shared" si="23"/>
        <v>1.0061070699143804</v>
      </c>
      <c r="E132">
        <f t="shared" si="23"/>
        <v>1</v>
      </c>
      <c r="F132">
        <f t="shared" si="23"/>
        <v>0.98619329388560151</v>
      </c>
      <c r="G132">
        <f t="shared" si="24"/>
        <v>0.196301174999998</v>
      </c>
      <c r="H132">
        <f t="shared" si="24"/>
        <v>0</v>
      </c>
      <c r="I132">
        <f t="shared" si="24"/>
        <v>-0.10139999999999784</v>
      </c>
      <c r="J132" s="1">
        <f t="shared" si="22"/>
        <v>3.7768103214937288E-2</v>
      </c>
      <c r="K132" s="1">
        <f t="shared" si="22"/>
        <v>9.2878565990896802E-37</v>
      </c>
      <c r="L132" s="1">
        <f t="shared" si="22"/>
        <v>1.0139999999999568E-2</v>
      </c>
      <c r="N132" s="1">
        <f t="shared" si="25"/>
        <v>6.7013983355157284E-7</v>
      </c>
      <c r="O132" s="1">
        <f t="shared" si="25"/>
        <v>0.40554937455407747</v>
      </c>
      <c r="P132" s="1">
        <f t="shared" si="25"/>
        <v>0.70815126753866919</v>
      </c>
      <c r="R132" s="1">
        <f t="shared" si="26"/>
        <v>3.7538850828422614E-2</v>
      </c>
      <c r="S132" s="1">
        <f t="shared" si="26"/>
        <v>9.2878565990896802E-37</v>
      </c>
      <c r="T132" s="1">
        <f t="shared" si="26"/>
        <v>1.0281959999999563E-2</v>
      </c>
    </row>
    <row r="133" spans="1:20" x14ac:dyDescent="0.3">
      <c r="A133" s="13">
        <v>24.946999999999999</v>
      </c>
      <c r="B133">
        <v>25</v>
      </c>
      <c r="C133">
        <v>25.3</v>
      </c>
      <c r="D133">
        <f t="shared" si="23"/>
        <v>1.0043185698503565</v>
      </c>
      <c r="E133">
        <f t="shared" si="23"/>
        <v>1</v>
      </c>
      <c r="F133">
        <f t="shared" si="23"/>
        <v>0.99009900990099009</v>
      </c>
      <c r="G133">
        <f t="shared" si="24"/>
        <v>-0.10853129999999822</v>
      </c>
      <c r="H133">
        <f t="shared" si="24"/>
        <v>0</v>
      </c>
      <c r="I133">
        <f t="shared" si="24"/>
        <v>-0.10100000000000144</v>
      </c>
      <c r="J133" s="1">
        <f t="shared" si="22"/>
        <v>1.239272633326058E-2</v>
      </c>
      <c r="K133" s="1">
        <f t="shared" si="22"/>
        <v>9.2878565990896802E-37</v>
      </c>
      <c r="L133" s="1">
        <f t="shared" si="22"/>
        <v>1.0100000000000288E-2</v>
      </c>
      <c r="N133" s="1">
        <f t="shared" si="25"/>
        <v>3.8683564967414139E-2</v>
      </c>
      <c r="O133" s="1">
        <f t="shared" si="25"/>
        <v>0.40554937455407747</v>
      </c>
      <c r="P133" s="1">
        <f t="shared" si="25"/>
        <v>0.88645471581453017</v>
      </c>
      <c r="R133" s="1">
        <f t="shared" si="26"/>
        <v>1.233943761002756E-2</v>
      </c>
      <c r="S133" s="1">
        <f t="shared" si="26"/>
        <v>9.2878565990896802E-37</v>
      </c>
      <c r="T133" s="1">
        <f t="shared" si="26"/>
        <v>1.020100000000029E-2</v>
      </c>
    </row>
    <row r="134" spans="1:20" x14ac:dyDescent="0.3">
      <c r="A134" s="13">
        <v>24.838000000000001</v>
      </c>
      <c r="B134">
        <v>25</v>
      </c>
      <c r="C134">
        <v>25.2</v>
      </c>
      <c r="D134">
        <f t="shared" si="23"/>
        <v>1.0107769033434477</v>
      </c>
      <c r="E134">
        <f t="shared" si="23"/>
        <v>1</v>
      </c>
      <c r="F134">
        <f t="shared" si="23"/>
        <v>0.99403578528827041</v>
      </c>
      <c r="G134">
        <f t="shared" si="24"/>
        <v>-0.20687057579999943</v>
      </c>
      <c r="H134">
        <f t="shared" si="24"/>
        <v>0</v>
      </c>
      <c r="I134">
        <f t="shared" si="24"/>
        <v>-0.10059999999999786</v>
      </c>
      <c r="J134" s="1">
        <f t="shared" si="22"/>
        <v>4.4330348679317073E-2</v>
      </c>
      <c r="K134" s="1">
        <f t="shared" si="22"/>
        <v>9.2878565990896802E-37</v>
      </c>
      <c r="L134" s="1">
        <f t="shared" si="22"/>
        <v>1.0059999999999571E-2</v>
      </c>
      <c r="N134" s="1">
        <f t="shared" si="25"/>
        <v>7.6880242777623824E-3</v>
      </c>
      <c r="O134" s="1">
        <f t="shared" si="25"/>
        <v>0.40554937455407747</v>
      </c>
      <c r="P134" s="1">
        <f t="shared" si="25"/>
        <v>1.0847581640903978</v>
      </c>
      <c r="R134" s="1">
        <f t="shared" si="26"/>
        <v>4.3857698501698197E-2</v>
      </c>
      <c r="S134" s="1">
        <f t="shared" si="26"/>
        <v>9.2878565990896802E-37</v>
      </c>
      <c r="T134" s="1">
        <f t="shared" si="26"/>
        <v>1.0120359999999568E-2</v>
      </c>
    </row>
    <row r="135" spans="1:20" x14ac:dyDescent="0.3">
      <c r="A135" s="13">
        <v>24.628900000000002</v>
      </c>
      <c r="B135">
        <v>25</v>
      </c>
      <c r="C135">
        <v>25.1</v>
      </c>
      <c r="D135">
        <f t="shared" si="23"/>
        <v>1.0201957959771639</v>
      </c>
      <c r="E135">
        <f t="shared" si="23"/>
        <v>1</v>
      </c>
      <c r="F135">
        <f t="shared" si="23"/>
        <v>0.99800399201596801</v>
      </c>
      <c r="G135">
        <f t="shared" si="24"/>
        <v>-0.24269851040000201</v>
      </c>
      <c r="H135">
        <f t="shared" si="24"/>
        <v>0</v>
      </c>
      <c r="I135">
        <f t="shared" si="24"/>
        <v>-0.10020000000000143</v>
      </c>
      <c r="J135" s="1">
        <f t="shared" si="22"/>
        <v>6.1362406319888152E-2</v>
      </c>
      <c r="K135" s="1">
        <f t="shared" si="22"/>
        <v>9.2878565990896802E-37</v>
      </c>
      <c r="L135" s="1">
        <f t="shared" si="22"/>
        <v>1.0020000000000286E-2</v>
      </c>
      <c r="N135" s="1">
        <f t="shared" si="25"/>
        <v>1.4742481450181236E-2</v>
      </c>
      <c r="O135" s="1">
        <f t="shared" si="25"/>
        <v>0.40554937455407747</v>
      </c>
      <c r="P135" s="1">
        <f t="shared" si="25"/>
        <v>1.3030616123662577</v>
      </c>
      <c r="R135" s="1">
        <f t="shared" si="26"/>
        <v>6.014767612437965E-2</v>
      </c>
      <c r="S135" s="1">
        <f t="shared" si="26"/>
        <v>9.2878565990896802E-37</v>
      </c>
      <c r="T135" s="1">
        <f t="shared" si="26"/>
        <v>1.0040040000000286E-2</v>
      </c>
    </row>
    <row r="136" spans="1:20" x14ac:dyDescent="0.3">
      <c r="A136" s="13">
        <v>24.3813</v>
      </c>
      <c r="B136">
        <v>25</v>
      </c>
      <c r="C136">
        <v>25</v>
      </c>
      <c r="D136">
        <f t="shared" si="23"/>
        <v>1.0373874434623844</v>
      </c>
      <c r="E136">
        <f t="shared" si="23"/>
        <v>1</v>
      </c>
      <c r="F136">
        <f t="shared" si="23"/>
        <v>1</v>
      </c>
      <c r="G136">
        <f t="shared" si="24"/>
        <v>-0.54425181599999861</v>
      </c>
      <c r="H136">
        <f t="shared" si="24"/>
        <v>0</v>
      </c>
      <c r="I136">
        <f t="shared" si="24"/>
        <v>0</v>
      </c>
      <c r="J136" s="1">
        <f t="shared" si="22"/>
        <v>0.31017273367059911</v>
      </c>
      <c r="K136" s="1">
        <f t="shared" si="22"/>
        <v>9.2878565990896802E-37</v>
      </c>
      <c r="L136" s="1">
        <f t="shared" si="22"/>
        <v>3.3436283756722843E-37</v>
      </c>
      <c r="N136" s="1">
        <f t="shared" si="25"/>
        <v>0.13617474241570585</v>
      </c>
      <c r="O136" s="1">
        <f t="shared" si="25"/>
        <v>0.40554937455407747</v>
      </c>
      <c r="P136" s="1">
        <f t="shared" si="25"/>
        <v>1.5413650606421256</v>
      </c>
      <c r="R136" s="1">
        <f t="shared" si="26"/>
        <v>0.29899410834911067</v>
      </c>
      <c r="S136" s="1">
        <f t="shared" si="26"/>
        <v>9.2878565990896802E-37</v>
      </c>
      <c r="T136" s="1">
        <f t="shared" si="26"/>
        <v>3.3436283756722843E-37</v>
      </c>
    </row>
    <row r="137" spans="1:20" x14ac:dyDescent="0.3">
      <c r="A137" s="13">
        <v>23.816700000000001</v>
      </c>
      <c r="B137">
        <v>25</v>
      </c>
      <c r="C137">
        <v>25</v>
      </c>
      <c r="D137">
        <f t="shared" si="23"/>
        <v>1.0605083652899854</v>
      </c>
      <c r="E137">
        <f t="shared" si="23"/>
        <v>1</v>
      </c>
      <c r="F137">
        <f t="shared" si="23"/>
        <v>1</v>
      </c>
      <c r="G137">
        <f t="shared" si="24"/>
        <v>-0.45845937280000021</v>
      </c>
      <c r="H137">
        <f t="shared" si="24"/>
        <v>0</v>
      </c>
      <c r="I137">
        <f t="shared" si="24"/>
        <v>0</v>
      </c>
      <c r="J137" s="1">
        <f t="shared" si="22"/>
        <v>0.22539114606718763</v>
      </c>
      <c r="K137" s="1">
        <f t="shared" si="22"/>
        <v>9.2878565990896802E-37</v>
      </c>
      <c r="L137" s="1">
        <f t="shared" si="22"/>
        <v>3.3436283756722843E-37</v>
      </c>
      <c r="N137" s="1">
        <f t="shared" si="25"/>
        <v>0.87164372889847763</v>
      </c>
      <c r="O137" s="1">
        <f t="shared" si="25"/>
        <v>0.40554937455407747</v>
      </c>
      <c r="P137" s="1">
        <f t="shared" si="25"/>
        <v>1.5413650606421256</v>
      </c>
      <c r="R137" s="1">
        <f t="shared" si="26"/>
        <v>0.21253122883717818</v>
      </c>
      <c r="S137" s="1">
        <f t="shared" si="26"/>
        <v>9.2878565990896802E-37</v>
      </c>
      <c r="T137" s="1">
        <f t="shared" si="26"/>
        <v>3.3436283756722843E-37</v>
      </c>
    </row>
    <row r="138" spans="1:20" x14ac:dyDescent="0.3">
      <c r="A138" s="13">
        <v>23.330500000000001</v>
      </c>
      <c r="B138">
        <v>25</v>
      </c>
      <c r="C138">
        <v>25</v>
      </c>
      <c r="D138">
        <f t="shared" si="23"/>
        <v>1.0740238734026579</v>
      </c>
      <c r="E138">
        <f t="shared" si="23"/>
        <v>1</v>
      </c>
      <c r="F138">
        <f t="shared" si="23"/>
        <v>1</v>
      </c>
      <c r="G138">
        <f t="shared" si="24"/>
        <v>-9.9718453799999149E-2</v>
      </c>
      <c r="H138">
        <f t="shared" si="24"/>
        <v>0</v>
      </c>
      <c r="I138">
        <f t="shared" si="24"/>
        <v>0</v>
      </c>
      <c r="J138" s="1">
        <f t="shared" si="22"/>
        <v>1.1233418365332948E-2</v>
      </c>
      <c r="K138" s="1">
        <f t="shared" si="22"/>
        <v>9.2878565990896802E-37</v>
      </c>
      <c r="L138" s="1">
        <f t="shared" si="22"/>
        <v>3.3436283756722843E-37</v>
      </c>
      <c r="N138" s="1">
        <f t="shared" si="25"/>
        <v>2.0158849156571113</v>
      </c>
      <c r="O138" s="1">
        <f t="shared" si="25"/>
        <v>0.40554937455407747</v>
      </c>
      <c r="P138" s="1">
        <f t="shared" si="25"/>
        <v>1.5413650606421256</v>
      </c>
      <c r="R138" s="1">
        <f t="shared" si="26"/>
        <v>1.0459188704757471E-2</v>
      </c>
      <c r="S138" s="1">
        <f t="shared" si="26"/>
        <v>9.2878565990896802E-37</v>
      </c>
      <c r="T138" s="1">
        <f t="shared" si="26"/>
        <v>3.3436283756722843E-37</v>
      </c>
    </row>
    <row r="139" spans="1:20" x14ac:dyDescent="0.3">
      <c r="A139" s="13">
        <v>23.223400000000002</v>
      </c>
      <c r="B139">
        <v>25</v>
      </c>
      <c r="C139">
        <v>25</v>
      </c>
      <c r="D139">
        <f t="shared" si="23"/>
        <v>1.0672586394586863</v>
      </c>
      <c r="E139">
        <f t="shared" si="23"/>
        <v>1</v>
      </c>
      <c r="F139">
        <f t="shared" si="23"/>
        <v>1</v>
      </c>
      <c r="G139">
        <f t="shared" si="24"/>
        <v>0.37685335599999725</v>
      </c>
      <c r="H139">
        <f t="shared" si="24"/>
        <v>0</v>
      </c>
      <c r="I139">
        <f t="shared" si="24"/>
        <v>0</v>
      </c>
      <c r="J139" s="1">
        <f t="shared" si="22"/>
        <v>0.14952476443095938</v>
      </c>
      <c r="K139" s="1">
        <f t="shared" si="22"/>
        <v>9.2878565990896802E-37</v>
      </c>
      <c r="L139" s="1">
        <f t="shared" si="22"/>
        <v>3.3436283756722843E-37</v>
      </c>
      <c r="N139" s="1">
        <f t="shared" si="25"/>
        <v>2.3314804742088353</v>
      </c>
      <c r="O139" s="1">
        <f t="shared" si="25"/>
        <v>0.40554937455407747</v>
      </c>
      <c r="P139" s="1">
        <f t="shared" si="25"/>
        <v>1.5413650606421256</v>
      </c>
      <c r="R139" s="1">
        <f t="shared" si="26"/>
        <v>0.14010171377652034</v>
      </c>
      <c r="S139" s="1">
        <f t="shared" si="26"/>
        <v>9.2878565990896802E-37</v>
      </c>
      <c r="T139" s="1">
        <f t="shared" si="26"/>
        <v>3.3436283756722843E-37</v>
      </c>
    </row>
    <row r="140" spans="1:20" x14ac:dyDescent="0.3">
      <c r="A140" s="13">
        <v>23.625599999999999</v>
      </c>
      <c r="B140">
        <v>25</v>
      </c>
      <c r="C140">
        <v>25</v>
      </c>
      <c r="D140">
        <f t="shared" si="23"/>
        <v>1.0459113234543522</v>
      </c>
      <c r="E140">
        <f t="shared" si="23"/>
        <v>0.99800399201596801</v>
      </c>
      <c r="F140">
        <f t="shared" si="23"/>
        <v>1</v>
      </c>
      <c r="G140">
        <f t="shared" si="24"/>
        <v>0.52968161600000196</v>
      </c>
      <c r="H140">
        <f t="shared" si="24"/>
        <v>0.10020000000000143</v>
      </c>
      <c r="I140">
        <f t="shared" si="24"/>
        <v>0</v>
      </c>
      <c r="J140" s="1">
        <f t="shared" si="22"/>
        <v>0.29062311834188342</v>
      </c>
      <c r="K140" s="1">
        <f t="shared" si="22"/>
        <v>1.0020000000000286E-2</v>
      </c>
      <c r="L140" s="1">
        <f t="shared" si="22"/>
        <v>3.3436283756722843E-37</v>
      </c>
      <c r="N140" s="1">
        <f t="shared" si="25"/>
        <v>1.2649919757260737</v>
      </c>
      <c r="O140" s="1">
        <f t="shared" si="25"/>
        <v>0.40554937455407747</v>
      </c>
      <c r="P140" s="1">
        <f t="shared" si="25"/>
        <v>1.5413650606421256</v>
      </c>
      <c r="R140" s="1">
        <f t="shared" si="26"/>
        <v>0.27786592593914811</v>
      </c>
      <c r="S140" s="1">
        <f t="shared" si="26"/>
        <v>1.0040040000000286E-2</v>
      </c>
      <c r="T140" s="1">
        <f t="shared" si="26"/>
        <v>3.3436283756722843E-37</v>
      </c>
    </row>
    <row r="141" spans="1:20" x14ac:dyDescent="0.3">
      <c r="A141" s="13">
        <v>24.179600000000001</v>
      </c>
      <c r="B141">
        <v>25.1</v>
      </c>
      <c r="C141">
        <v>25</v>
      </c>
      <c r="D141">
        <f t="shared" si="23"/>
        <v>1.0308598195582972</v>
      </c>
      <c r="E141">
        <f t="shared" si="23"/>
        <v>0.99403578528827041</v>
      </c>
      <c r="F141">
        <f t="shared" si="23"/>
        <v>1</v>
      </c>
      <c r="G141">
        <f t="shared" si="24"/>
        <v>0.1396892159999984</v>
      </c>
      <c r="H141">
        <f t="shared" si="24"/>
        <v>0.10059999999999786</v>
      </c>
      <c r="I141">
        <f t="shared" si="24"/>
        <v>0</v>
      </c>
      <c r="J141" s="1">
        <f t="shared" si="22"/>
        <v>1.9387063602304425E-2</v>
      </c>
      <c r="K141" s="1">
        <f t="shared" si="22"/>
        <v>1.0059999999999571E-2</v>
      </c>
      <c r="L141" s="1">
        <f t="shared" si="22"/>
        <v>3.3436283756722843E-37</v>
      </c>
      <c r="N141" s="1">
        <f t="shared" si="25"/>
        <v>0.32571974400191706</v>
      </c>
      <c r="O141" s="1">
        <f t="shared" si="25"/>
        <v>0.28818385731270052</v>
      </c>
      <c r="P141" s="1">
        <f t="shared" si="25"/>
        <v>1.5413650606421256</v>
      </c>
      <c r="R141" s="1">
        <f t="shared" si="26"/>
        <v>1.8806692466305838E-2</v>
      </c>
      <c r="S141" s="1">
        <f t="shared" si="26"/>
        <v>1.0120359999999568E-2</v>
      </c>
      <c r="T141" s="1">
        <f t="shared" si="26"/>
        <v>3.3436283756722843E-37</v>
      </c>
    </row>
    <row r="142" spans="1:20" x14ac:dyDescent="0.3">
      <c r="A142" s="13">
        <v>24.323599999999999</v>
      </c>
      <c r="B142">
        <v>25.2</v>
      </c>
      <c r="C142">
        <v>25</v>
      </c>
      <c r="D142">
        <f t="shared" si="23"/>
        <v>1.0266139397747198</v>
      </c>
      <c r="E142">
        <f t="shared" si="23"/>
        <v>0.99206349206349209</v>
      </c>
      <c r="F142">
        <f t="shared" si="23"/>
        <v>1</v>
      </c>
      <c r="G142">
        <f t="shared" si="24"/>
        <v>5.5132701599999549E-2</v>
      </c>
      <c r="H142">
        <f t="shared" si="24"/>
        <v>0</v>
      </c>
      <c r="I142">
        <f t="shared" si="24"/>
        <v>0</v>
      </c>
      <c r="J142" s="1">
        <f t="shared" si="22"/>
        <v>2.8383406372470294E-3</v>
      </c>
      <c r="K142" s="1">
        <f t="shared" si="22"/>
        <v>9.214143451477858E-37</v>
      </c>
      <c r="L142" s="1">
        <f t="shared" si="22"/>
        <v>3.3436283756722843E-37</v>
      </c>
      <c r="N142" s="1">
        <f t="shared" si="25"/>
        <v>0.18208878124329411</v>
      </c>
      <c r="O142" s="1">
        <f t="shared" si="25"/>
        <v>0.19081834007132725</v>
      </c>
      <c r="P142" s="1">
        <f t="shared" si="25"/>
        <v>1.5413650606421256</v>
      </c>
      <c r="R142" s="1">
        <f t="shared" si="26"/>
        <v>2.7647594945670374E-3</v>
      </c>
      <c r="S142" s="1">
        <f t="shared" si="26"/>
        <v>9.2878565990896802E-37</v>
      </c>
      <c r="T142" s="1">
        <f t="shared" si="26"/>
        <v>3.3436283756722843E-37</v>
      </c>
    </row>
    <row r="143" spans="1:20" x14ac:dyDescent="0.3">
      <c r="A143" s="13">
        <v>24.380199999999999</v>
      </c>
      <c r="B143">
        <v>25.2</v>
      </c>
      <c r="C143">
        <v>25</v>
      </c>
      <c r="D143">
        <f t="shared" si="23"/>
        <v>1.025119528937074</v>
      </c>
      <c r="E143">
        <f t="shared" si="23"/>
        <v>0.99206349206349209</v>
      </c>
      <c r="F143">
        <f t="shared" si="23"/>
        <v>1</v>
      </c>
      <c r="G143">
        <f t="shared" si="24"/>
        <v>1.4047142400001919E-2</v>
      </c>
      <c r="H143">
        <f t="shared" si="24"/>
        <v>0</v>
      </c>
      <c r="I143">
        <f t="shared" si="24"/>
        <v>0</v>
      </c>
      <c r="J143" s="1">
        <f t="shared" si="22"/>
        <v>1.3546412021772639E-4</v>
      </c>
      <c r="K143" s="1">
        <f t="shared" si="22"/>
        <v>9.214143451477858E-37</v>
      </c>
      <c r="L143" s="1">
        <f t="shared" si="22"/>
        <v>3.3436283756722843E-37</v>
      </c>
      <c r="N143" s="1">
        <f t="shared" si="25"/>
        <v>0.13698779338122385</v>
      </c>
      <c r="O143" s="1">
        <f t="shared" si="25"/>
        <v>0.19081834007132725</v>
      </c>
      <c r="P143" s="1">
        <f t="shared" si="25"/>
        <v>1.5413650606421256</v>
      </c>
      <c r="R143" s="1">
        <f t="shared" si="26"/>
        <v>1.3214470741591122E-4</v>
      </c>
      <c r="S143" s="1">
        <f t="shared" si="26"/>
        <v>9.2878565990896802E-37</v>
      </c>
      <c r="T143" s="1">
        <f t="shared" si="26"/>
        <v>3.3436283756722843E-37</v>
      </c>
    </row>
    <row r="144" spans="1:20" x14ac:dyDescent="0.3">
      <c r="A144" s="13">
        <v>24.394600000000001</v>
      </c>
      <c r="B144">
        <v>25.2</v>
      </c>
      <c r="C144">
        <v>25</v>
      </c>
      <c r="D144">
        <f t="shared" si="23"/>
        <v>1.0396934152057242</v>
      </c>
      <c r="E144">
        <f t="shared" si="23"/>
        <v>0.99206349206349209</v>
      </c>
      <c r="F144">
        <f t="shared" si="23"/>
        <v>1</v>
      </c>
      <c r="G144">
        <f t="shared" si="24"/>
        <v>-0.67144793820000015</v>
      </c>
      <c r="H144">
        <f t="shared" si="24"/>
        <v>0</v>
      </c>
      <c r="I144">
        <f t="shared" si="24"/>
        <v>0</v>
      </c>
      <c r="J144" s="1">
        <f t="shared" ref="J144:L159" si="27">(G144-G$12)^2*D144</f>
        <v>0.47230728860300164</v>
      </c>
      <c r="K144" s="1">
        <f t="shared" si="27"/>
        <v>9.214143451477858E-37</v>
      </c>
      <c r="L144" s="1">
        <f t="shared" si="27"/>
        <v>3.3436283756722843E-37</v>
      </c>
      <c r="N144" s="1">
        <f t="shared" si="25"/>
        <v>0.12653573710535995</v>
      </c>
      <c r="O144" s="1">
        <f t="shared" si="25"/>
        <v>0.19081834007132725</v>
      </c>
      <c r="P144" s="1">
        <f t="shared" si="25"/>
        <v>1.5413650606421256</v>
      </c>
      <c r="R144" s="1">
        <f t="shared" si="26"/>
        <v>0.45427554093871619</v>
      </c>
      <c r="S144" s="1">
        <f t="shared" si="26"/>
        <v>9.2878565990896802E-37</v>
      </c>
      <c r="T144" s="1">
        <f t="shared" si="26"/>
        <v>3.3436283756722843E-37</v>
      </c>
    </row>
    <row r="145" spans="1:20" x14ac:dyDescent="0.3">
      <c r="A145" s="13">
        <v>23.6965</v>
      </c>
      <c r="B145">
        <v>25.2</v>
      </c>
      <c r="C145">
        <v>25</v>
      </c>
      <c r="D145">
        <f t="shared" ref="D145:F159" si="28">50/(A145+A146)</f>
        <v>1.0637415193207371</v>
      </c>
      <c r="E145">
        <f t="shared" si="28"/>
        <v>0.99206349206349209</v>
      </c>
      <c r="F145">
        <f t="shared" si="28"/>
        <v>1</v>
      </c>
      <c r="G145">
        <f t="shared" ref="G145:I159" si="29">(A146-A145)/D145</f>
        <v>-0.36578434979999919</v>
      </c>
      <c r="H145">
        <f t="shared" si="29"/>
        <v>0</v>
      </c>
      <c r="I145">
        <f t="shared" si="29"/>
        <v>0</v>
      </c>
      <c r="J145" s="1">
        <f t="shared" si="27"/>
        <v>0.14431936630423228</v>
      </c>
      <c r="K145" s="1">
        <f t="shared" si="27"/>
        <v>9.214143451477858E-37</v>
      </c>
      <c r="L145" s="1">
        <f t="shared" si="27"/>
        <v>3.3436283756722843E-37</v>
      </c>
      <c r="N145" s="1">
        <f t="shared" ref="N145:P160" si="30">(A145-A$12)^2</f>
        <v>1.1105336853122749</v>
      </c>
      <c r="O145" s="1">
        <f t="shared" si="30"/>
        <v>0.19081834007132725</v>
      </c>
      <c r="P145" s="1">
        <f t="shared" si="30"/>
        <v>1.5413650606421256</v>
      </c>
      <c r="R145" s="1">
        <f t="shared" ref="R145:T160" si="31">(G145-G$12)^2</f>
        <v>0.13567146123655008</v>
      </c>
      <c r="S145" s="1">
        <f t="shared" si="31"/>
        <v>9.2878565990896802E-37</v>
      </c>
      <c r="T145" s="1">
        <f t="shared" si="31"/>
        <v>3.3436283756722843E-37</v>
      </c>
    </row>
    <row r="146" spans="1:20" x14ac:dyDescent="0.3">
      <c r="A146" s="13">
        <v>23.307400000000001</v>
      </c>
      <c r="B146">
        <v>25.2</v>
      </c>
      <c r="C146">
        <v>25</v>
      </c>
      <c r="D146">
        <f t="shared" si="28"/>
        <v>1.0755070477976842</v>
      </c>
      <c r="E146">
        <f t="shared" si="28"/>
        <v>0.99206349206349209</v>
      </c>
      <c r="F146">
        <f t="shared" si="28"/>
        <v>1</v>
      </c>
      <c r="G146">
        <f t="shared" si="29"/>
        <v>-0.11631722939999978</v>
      </c>
      <c r="H146">
        <f t="shared" si="29"/>
        <v>0</v>
      </c>
      <c r="I146">
        <f t="shared" si="29"/>
        <v>0</v>
      </c>
      <c r="J146" s="1">
        <f t="shared" si="27"/>
        <v>1.5196728983658838E-2</v>
      </c>
      <c r="K146" s="1">
        <f t="shared" si="27"/>
        <v>9.214143451477858E-37</v>
      </c>
      <c r="L146" s="1">
        <f t="shared" si="27"/>
        <v>3.3436283756722843E-37</v>
      </c>
      <c r="N146" s="1">
        <f t="shared" si="30"/>
        <v>2.082014145932972</v>
      </c>
      <c r="O146" s="1">
        <f t="shared" si="30"/>
        <v>0.19081834007132725</v>
      </c>
      <c r="P146" s="1">
        <f t="shared" si="30"/>
        <v>1.5413650606421256</v>
      </c>
      <c r="R146" s="1">
        <f t="shared" si="31"/>
        <v>1.4129827428632086E-2</v>
      </c>
      <c r="S146" s="1">
        <f t="shared" si="31"/>
        <v>9.2878565990896802E-37</v>
      </c>
      <c r="T146" s="1">
        <f t="shared" si="31"/>
        <v>3.3436283756722843E-37</v>
      </c>
    </row>
    <row r="147" spans="1:20" x14ac:dyDescent="0.3">
      <c r="A147" s="13">
        <v>23.182300000000001</v>
      </c>
      <c r="B147">
        <v>25.2</v>
      </c>
      <c r="C147">
        <v>25</v>
      </c>
      <c r="D147">
        <f t="shared" si="28"/>
        <v>1.0710628799595567</v>
      </c>
      <c r="E147">
        <f t="shared" si="28"/>
        <v>0.99206349206349209</v>
      </c>
      <c r="F147">
        <f t="shared" si="28"/>
        <v>1</v>
      </c>
      <c r="G147">
        <f t="shared" si="29"/>
        <v>0.29690133599999796</v>
      </c>
      <c r="H147">
        <f t="shared" si="29"/>
        <v>0</v>
      </c>
      <c r="I147">
        <f t="shared" si="29"/>
        <v>0</v>
      </c>
      <c r="J147" s="1">
        <f t="shared" si="27"/>
        <v>9.2798704124740491E-2</v>
      </c>
      <c r="K147" s="1">
        <f t="shared" si="27"/>
        <v>9.214143451477858E-37</v>
      </c>
      <c r="L147" s="1">
        <f t="shared" si="27"/>
        <v>3.3436283756722843E-37</v>
      </c>
      <c r="N147" s="1">
        <f t="shared" si="30"/>
        <v>2.458682394829526</v>
      </c>
      <c r="O147" s="1">
        <f t="shared" si="30"/>
        <v>0.19081834007132725</v>
      </c>
      <c r="P147" s="1">
        <f t="shared" si="30"/>
        <v>1.5413650606421256</v>
      </c>
      <c r="R147" s="1">
        <f t="shared" si="31"/>
        <v>8.6641695703472202E-2</v>
      </c>
      <c r="S147" s="1">
        <f t="shared" si="31"/>
        <v>9.2878565990896802E-37</v>
      </c>
      <c r="T147" s="1">
        <f t="shared" si="31"/>
        <v>3.3436283756722843E-37</v>
      </c>
    </row>
    <row r="148" spans="1:20" x14ac:dyDescent="0.3">
      <c r="A148" s="13">
        <v>23.500299999999999</v>
      </c>
      <c r="B148">
        <v>25.2</v>
      </c>
      <c r="C148">
        <v>25</v>
      </c>
      <c r="D148">
        <f t="shared" si="28"/>
        <v>1.0664164142814487</v>
      </c>
      <c r="E148">
        <f t="shared" si="28"/>
        <v>0.99206349206349209</v>
      </c>
      <c r="F148">
        <f t="shared" si="28"/>
        <v>1</v>
      </c>
      <c r="G148">
        <f t="shared" si="29"/>
        <v>-0.10746271199999939</v>
      </c>
      <c r="H148">
        <f t="shared" si="29"/>
        <v>0</v>
      </c>
      <c r="I148">
        <f t="shared" si="29"/>
        <v>0</v>
      </c>
      <c r="J148" s="1">
        <f t="shared" si="27"/>
        <v>1.2907025042996392E-2</v>
      </c>
      <c r="K148" s="1">
        <f t="shared" si="27"/>
        <v>9.214143451477858E-37</v>
      </c>
      <c r="L148" s="1">
        <f t="shared" si="27"/>
        <v>3.3436283756722843E-37</v>
      </c>
      <c r="N148" s="1">
        <f t="shared" si="30"/>
        <v>1.5625465520709032</v>
      </c>
      <c r="O148" s="1">
        <f t="shared" si="30"/>
        <v>0.19081834007132725</v>
      </c>
      <c r="P148" s="1">
        <f t="shared" si="30"/>
        <v>1.5413650606421256</v>
      </c>
      <c r="R148" s="1">
        <f t="shared" si="31"/>
        <v>1.2103175523318575E-2</v>
      </c>
      <c r="S148" s="1">
        <f t="shared" si="31"/>
        <v>9.2878565990896802E-37</v>
      </c>
      <c r="T148" s="1">
        <f t="shared" si="31"/>
        <v>3.3436283756722843E-37</v>
      </c>
    </row>
    <row r="149" spans="1:20" x14ac:dyDescent="0.3">
      <c r="A149" s="13">
        <v>23.3857</v>
      </c>
      <c r="B149">
        <v>25.2</v>
      </c>
      <c r="C149">
        <v>25</v>
      </c>
      <c r="D149">
        <f t="shared" si="28"/>
        <v>1.0665847529576395</v>
      </c>
      <c r="E149">
        <f t="shared" si="28"/>
        <v>0.99206349206349209</v>
      </c>
      <c r="F149">
        <f t="shared" si="28"/>
        <v>1</v>
      </c>
      <c r="G149">
        <f t="shared" si="29"/>
        <v>0.10050771839999892</v>
      </c>
      <c r="H149">
        <f t="shared" si="29"/>
        <v>0</v>
      </c>
      <c r="I149">
        <f t="shared" si="29"/>
        <v>0</v>
      </c>
      <c r="J149" s="1">
        <f t="shared" si="27"/>
        <v>1.0234283209876781E-2</v>
      </c>
      <c r="K149" s="1">
        <f t="shared" si="27"/>
        <v>9.214143451477858E-37</v>
      </c>
      <c r="L149" s="1">
        <f t="shared" si="27"/>
        <v>3.3436283756722843E-37</v>
      </c>
      <c r="N149" s="1">
        <f t="shared" si="30"/>
        <v>1.8621839799329738</v>
      </c>
      <c r="O149" s="1">
        <f t="shared" si="30"/>
        <v>0.19081834007132725</v>
      </c>
      <c r="P149" s="1">
        <f t="shared" si="30"/>
        <v>1.5413650606421256</v>
      </c>
      <c r="R149" s="1">
        <f t="shared" si="31"/>
        <v>9.5953773776505935E-3</v>
      </c>
      <c r="S149" s="1">
        <f t="shared" si="31"/>
        <v>9.2878565990896802E-37</v>
      </c>
      <c r="T149" s="1">
        <f t="shared" si="31"/>
        <v>3.3436283756722843E-37</v>
      </c>
    </row>
    <row r="150" spans="1:20" x14ac:dyDescent="0.3">
      <c r="A150" s="13">
        <v>23.492899999999999</v>
      </c>
      <c r="B150">
        <v>25.2</v>
      </c>
      <c r="C150">
        <v>25</v>
      </c>
      <c r="D150">
        <f t="shared" si="28"/>
        <v>1.060045200327342</v>
      </c>
      <c r="E150">
        <f t="shared" si="28"/>
        <v>0.99206349206349209</v>
      </c>
      <c r="F150">
        <f t="shared" si="28"/>
        <v>1</v>
      </c>
      <c r="G150">
        <f t="shared" si="29"/>
        <v>0.17169079200000203</v>
      </c>
      <c r="H150">
        <f t="shared" si="29"/>
        <v>0</v>
      </c>
      <c r="I150">
        <f t="shared" si="29"/>
        <v>0</v>
      </c>
      <c r="J150" s="1">
        <f t="shared" si="27"/>
        <v>3.0325799861530743E-2</v>
      </c>
      <c r="K150" s="1">
        <f t="shared" si="27"/>
        <v>9.214143451477858E-37</v>
      </c>
      <c r="L150" s="1">
        <f t="shared" si="27"/>
        <v>3.3436283756722843E-37</v>
      </c>
      <c r="N150" s="1">
        <f t="shared" si="30"/>
        <v>1.5811015876571117</v>
      </c>
      <c r="O150" s="1">
        <f t="shared" si="30"/>
        <v>0.19081834007132725</v>
      </c>
      <c r="P150" s="1">
        <f t="shared" si="30"/>
        <v>1.5413650606421256</v>
      </c>
      <c r="R150" s="1">
        <f t="shared" si="31"/>
        <v>2.8608025254174194E-2</v>
      </c>
      <c r="S150" s="1">
        <f t="shared" si="31"/>
        <v>9.2878565990896802E-37</v>
      </c>
      <c r="T150" s="1">
        <f t="shared" si="31"/>
        <v>3.3436283756722843E-37</v>
      </c>
    </row>
    <row r="151" spans="1:20" x14ac:dyDescent="0.3">
      <c r="A151" s="13">
        <v>23.674900000000001</v>
      </c>
      <c r="B151">
        <v>25.2</v>
      </c>
      <c r="C151">
        <v>25</v>
      </c>
      <c r="D151">
        <f t="shared" si="28"/>
        <v>1.0595734581087037</v>
      </c>
      <c r="E151">
        <f t="shared" si="28"/>
        <v>0.99206349206349209</v>
      </c>
      <c r="F151">
        <f t="shared" si="28"/>
        <v>1</v>
      </c>
      <c r="G151">
        <f t="shared" si="29"/>
        <v>-0.15194793600000128</v>
      </c>
      <c r="H151">
        <f t="shared" si="29"/>
        <v>0</v>
      </c>
      <c r="I151">
        <f t="shared" si="29"/>
        <v>0</v>
      </c>
      <c r="J151" s="1">
        <f t="shared" si="27"/>
        <v>2.5292171119384126E-2</v>
      </c>
      <c r="K151" s="1">
        <f t="shared" si="27"/>
        <v>9.214143451477858E-37</v>
      </c>
      <c r="L151" s="1">
        <f t="shared" si="27"/>
        <v>3.3436283756722843E-37</v>
      </c>
      <c r="N151" s="1">
        <f t="shared" si="30"/>
        <v>1.1565252097260672</v>
      </c>
      <c r="O151" s="1">
        <f t="shared" si="30"/>
        <v>0.19081834007132725</v>
      </c>
      <c r="P151" s="1">
        <f t="shared" si="30"/>
        <v>1.5413650606421256</v>
      </c>
      <c r="R151" s="1">
        <f t="shared" si="31"/>
        <v>2.3870144090367872E-2</v>
      </c>
      <c r="S151" s="1">
        <f t="shared" si="31"/>
        <v>9.2878565990896802E-37</v>
      </c>
      <c r="T151" s="1">
        <f t="shared" si="31"/>
        <v>3.3436283756722843E-37</v>
      </c>
    </row>
    <row r="152" spans="1:20" x14ac:dyDescent="0.3">
      <c r="A152" s="13">
        <v>23.5139</v>
      </c>
      <c r="B152">
        <v>25.2</v>
      </c>
      <c r="C152">
        <v>25</v>
      </c>
      <c r="D152">
        <f t="shared" si="28"/>
        <v>1.0656572760947498</v>
      </c>
      <c r="E152">
        <f t="shared" si="28"/>
        <v>0.99206349206349209</v>
      </c>
      <c r="F152">
        <f t="shared" si="28"/>
        <v>1</v>
      </c>
      <c r="G152">
        <f t="shared" si="29"/>
        <v>-0.10172125919999962</v>
      </c>
      <c r="H152">
        <f t="shared" si="29"/>
        <v>0</v>
      </c>
      <c r="I152">
        <f t="shared" si="29"/>
        <v>0</v>
      </c>
      <c r="J152" s="1">
        <f t="shared" si="27"/>
        <v>1.1586736458614142E-2</v>
      </c>
      <c r="K152" s="1">
        <f t="shared" si="27"/>
        <v>9.214143451477858E-37</v>
      </c>
      <c r="L152" s="1">
        <f t="shared" si="27"/>
        <v>3.3436283756722843E-37</v>
      </c>
      <c r="N152" s="1">
        <f t="shared" si="30"/>
        <v>1.5287310055881436</v>
      </c>
      <c r="O152" s="1">
        <f t="shared" si="30"/>
        <v>0.19081834007132725</v>
      </c>
      <c r="P152" s="1">
        <f t="shared" si="30"/>
        <v>1.5413650606421256</v>
      </c>
      <c r="R152" s="1">
        <f t="shared" si="31"/>
        <v>1.0872854451926007E-2</v>
      </c>
      <c r="S152" s="1">
        <f t="shared" si="31"/>
        <v>9.2878565990896802E-37</v>
      </c>
      <c r="T152" s="1">
        <f t="shared" si="31"/>
        <v>3.3436283756722843E-37</v>
      </c>
    </row>
    <row r="153" spans="1:20" x14ac:dyDescent="0.3">
      <c r="A153" s="13">
        <v>23.4055</v>
      </c>
      <c r="B153">
        <v>25.2</v>
      </c>
      <c r="C153">
        <v>25</v>
      </c>
      <c r="D153">
        <f t="shared" si="28"/>
        <v>1.0585931297305879</v>
      </c>
      <c r="E153">
        <f t="shared" si="28"/>
        <v>0.99206349206349209</v>
      </c>
      <c r="F153">
        <f t="shared" si="28"/>
        <v>1</v>
      </c>
      <c r="G153">
        <f t="shared" si="29"/>
        <v>0.39816997500000173</v>
      </c>
      <c r="H153">
        <f t="shared" si="29"/>
        <v>0</v>
      </c>
      <c r="I153">
        <f t="shared" si="29"/>
        <v>0</v>
      </c>
      <c r="J153" s="1">
        <f t="shared" si="27"/>
        <v>0.16568443624644125</v>
      </c>
      <c r="K153" s="1">
        <f t="shared" si="27"/>
        <v>9.214143451477858E-37</v>
      </c>
      <c r="L153" s="1">
        <f t="shared" si="27"/>
        <v>3.3436283756722843E-37</v>
      </c>
      <c r="N153" s="1">
        <f t="shared" si="30"/>
        <v>1.8085371225536628</v>
      </c>
      <c r="O153" s="1">
        <f t="shared" si="30"/>
        <v>0.19081834007132725</v>
      </c>
      <c r="P153" s="1">
        <f t="shared" si="30"/>
        <v>1.5413650606421256</v>
      </c>
      <c r="R153" s="1">
        <f t="shared" si="31"/>
        <v>0.15651380270020074</v>
      </c>
      <c r="S153" s="1">
        <f t="shared" si="31"/>
        <v>9.2878565990896802E-37</v>
      </c>
      <c r="T153" s="1">
        <f t="shared" si="31"/>
        <v>3.3436283756722843E-37</v>
      </c>
    </row>
    <row r="154" spans="1:20" x14ac:dyDescent="0.3">
      <c r="A154" s="13">
        <v>23.827000000000002</v>
      </c>
      <c r="B154">
        <v>25.2</v>
      </c>
      <c r="C154">
        <v>25</v>
      </c>
      <c r="D154">
        <f t="shared" si="28"/>
        <v>1.0371141676017979</v>
      </c>
      <c r="E154">
        <f t="shared" si="28"/>
        <v>0.99206349206349209</v>
      </c>
      <c r="F154">
        <f t="shared" si="28"/>
        <v>1</v>
      </c>
      <c r="G154">
        <f t="shared" si="29"/>
        <v>0.53677793379999938</v>
      </c>
      <c r="H154">
        <f t="shared" si="29"/>
        <v>0</v>
      </c>
      <c r="I154">
        <f t="shared" si="29"/>
        <v>0</v>
      </c>
      <c r="J154" s="1">
        <f t="shared" si="27"/>
        <v>0.29598994224883385</v>
      </c>
      <c r="K154" s="1">
        <f t="shared" si="27"/>
        <v>9.214143451477858E-37</v>
      </c>
      <c r="L154" s="1">
        <f t="shared" si="27"/>
        <v>3.3436283756722843E-37</v>
      </c>
      <c r="N154" s="1">
        <f t="shared" si="30"/>
        <v>0.85251727531226895</v>
      </c>
      <c r="O154" s="1">
        <f t="shared" si="30"/>
        <v>0.19081834007132725</v>
      </c>
      <c r="P154" s="1">
        <f t="shared" si="30"/>
        <v>1.5413650606421256</v>
      </c>
      <c r="R154" s="1">
        <f t="shared" si="31"/>
        <v>0.28539764617551711</v>
      </c>
      <c r="S154" s="1">
        <f t="shared" si="31"/>
        <v>9.2878565990896802E-37</v>
      </c>
      <c r="T154" s="1">
        <f t="shared" si="31"/>
        <v>3.3436283756722843E-37</v>
      </c>
    </row>
    <row r="155" spans="1:20" x14ac:dyDescent="0.3">
      <c r="A155" s="13">
        <v>24.383700000000001</v>
      </c>
      <c r="B155">
        <v>25.2</v>
      </c>
      <c r="C155">
        <v>25</v>
      </c>
      <c r="D155">
        <f t="shared" si="28"/>
        <v>1.0125556905629809</v>
      </c>
      <c r="E155">
        <f t="shared" si="28"/>
        <v>0.99206349206349209</v>
      </c>
      <c r="F155">
        <f t="shared" si="28"/>
        <v>1</v>
      </c>
      <c r="G155">
        <f t="shared" si="29"/>
        <v>0.60500376000000056</v>
      </c>
      <c r="H155">
        <f t="shared" si="29"/>
        <v>0</v>
      </c>
      <c r="I155">
        <f t="shared" si="29"/>
        <v>0</v>
      </c>
      <c r="J155" s="1">
        <f t="shared" si="27"/>
        <v>0.367505527535472</v>
      </c>
      <c r="K155" s="1">
        <f t="shared" si="27"/>
        <v>9.214143451477858E-37</v>
      </c>
      <c r="L155" s="1">
        <f t="shared" si="27"/>
        <v>3.3436283756722843E-37</v>
      </c>
      <c r="N155" s="1">
        <f t="shared" si="30"/>
        <v>0.13440921303639433</v>
      </c>
      <c r="O155" s="1">
        <f t="shared" si="30"/>
        <v>0.19081834007132725</v>
      </c>
      <c r="P155" s="1">
        <f t="shared" si="30"/>
        <v>1.5413650606421256</v>
      </c>
      <c r="R155" s="1">
        <f t="shared" si="31"/>
        <v>0.36294845899403216</v>
      </c>
      <c r="S155" s="1">
        <f t="shared" si="31"/>
        <v>9.2878565990896802E-37</v>
      </c>
      <c r="T155" s="1">
        <f t="shared" si="31"/>
        <v>3.3436283756722843E-37</v>
      </c>
    </row>
    <row r="156" spans="1:20" x14ac:dyDescent="0.3">
      <c r="A156" s="13">
        <v>24.996300000000002</v>
      </c>
      <c r="B156">
        <v>25.2</v>
      </c>
      <c r="C156">
        <v>25</v>
      </c>
      <c r="D156">
        <f t="shared" si="28"/>
        <v>0.98877346606628336</v>
      </c>
      <c r="E156">
        <f t="shared" si="28"/>
        <v>0.99206349206349209</v>
      </c>
      <c r="F156">
        <f t="shared" si="28"/>
        <v>1</v>
      </c>
      <c r="G156">
        <f t="shared" si="29"/>
        <v>0.58162968539999904</v>
      </c>
      <c r="H156">
        <f t="shared" si="29"/>
        <v>0</v>
      </c>
      <c r="I156">
        <f t="shared" si="29"/>
        <v>0</v>
      </c>
      <c r="J156" s="1">
        <f t="shared" si="27"/>
        <v>0.33156668047400567</v>
      </c>
      <c r="K156" s="1">
        <f t="shared" si="27"/>
        <v>9.214143451477858E-37</v>
      </c>
      <c r="L156" s="1">
        <f t="shared" si="27"/>
        <v>3.3436283756722843E-37</v>
      </c>
      <c r="N156" s="1">
        <f t="shared" si="30"/>
        <v>6.0506838967413885E-2</v>
      </c>
      <c r="O156" s="1">
        <f t="shared" si="30"/>
        <v>0.19081834007132725</v>
      </c>
      <c r="P156" s="1">
        <f t="shared" si="30"/>
        <v>1.5413650606421256</v>
      </c>
      <c r="R156" s="1">
        <f t="shared" si="31"/>
        <v>0.33533128856410754</v>
      </c>
      <c r="S156" s="1">
        <f t="shared" si="31"/>
        <v>9.2878565990896802E-37</v>
      </c>
      <c r="T156" s="1">
        <f t="shared" si="31"/>
        <v>3.3436283756722843E-37</v>
      </c>
    </row>
    <row r="157" spans="1:20" x14ac:dyDescent="0.3">
      <c r="A157" s="13">
        <v>25.571400000000001</v>
      </c>
      <c r="B157">
        <v>25.2</v>
      </c>
      <c r="C157">
        <v>25</v>
      </c>
      <c r="D157">
        <f t="shared" si="28"/>
        <v>0.96755404273105683</v>
      </c>
      <c r="E157">
        <f t="shared" si="28"/>
        <v>0.99206349206349209</v>
      </c>
      <c r="F157">
        <f t="shared" si="28"/>
        <v>1</v>
      </c>
      <c r="G157">
        <f t="shared" si="29"/>
        <v>0.55180380259999906</v>
      </c>
      <c r="H157">
        <f t="shared" si="29"/>
        <v>0</v>
      </c>
      <c r="I157">
        <f t="shared" si="29"/>
        <v>0</v>
      </c>
      <c r="J157" s="1">
        <f t="shared" si="27"/>
        <v>0.29188962227397069</v>
      </c>
      <c r="K157" s="1">
        <f t="shared" si="27"/>
        <v>9.214143451477858E-37</v>
      </c>
      <c r="L157" s="1">
        <f t="shared" si="27"/>
        <v>3.3436283756722843E-37</v>
      </c>
      <c r="N157" s="1">
        <f t="shared" si="30"/>
        <v>0.67417463145015721</v>
      </c>
      <c r="O157" s="1">
        <f t="shared" si="30"/>
        <v>0.19081834007132725</v>
      </c>
      <c r="P157" s="1">
        <f t="shared" si="30"/>
        <v>1.5413650606421256</v>
      </c>
      <c r="R157" s="1">
        <f t="shared" si="31"/>
        <v>0.30167784886730598</v>
      </c>
      <c r="S157" s="1">
        <f t="shared" si="31"/>
        <v>9.2878565990896802E-37</v>
      </c>
      <c r="T157" s="1">
        <f t="shared" si="31"/>
        <v>3.3436283756722843E-37</v>
      </c>
    </row>
    <row r="158" spans="1:20" x14ac:dyDescent="0.3">
      <c r="A158" s="13">
        <v>26.1053</v>
      </c>
      <c r="B158">
        <v>25.2</v>
      </c>
      <c r="C158">
        <v>25</v>
      </c>
      <c r="D158">
        <f t="shared" si="28"/>
        <v>0.95496025455420552</v>
      </c>
      <c r="E158">
        <f t="shared" si="28"/>
        <v>0.99403578528827041</v>
      </c>
      <c r="F158">
        <f t="shared" si="28"/>
        <v>1</v>
      </c>
      <c r="G158">
        <f t="shared" si="29"/>
        <v>0.15456140640000063</v>
      </c>
      <c r="H158">
        <f t="shared" si="29"/>
        <v>-0.10059999999999786</v>
      </c>
      <c r="I158">
        <f t="shared" si="29"/>
        <v>0</v>
      </c>
      <c r="J158" s="1">
        <f t="shared" si="27"/>
        <v>2.2066213486523909E-2</v>
      </c>
      <c r="K158" s="1">
        <f t="shared" si="27"/>
        <v>1.0059999999999571E-2</v>
      </c>
      <c r="L158" s="1">
        <f t="shared" si="27"/>
        <v>3.3436283756722843E-37</v>
      </c>
      <c r="N158" s="1">
        <f t="shared" si="30"/>
        <v>1.8359745382777275</v>
      </c>
      <c r="O158" s="1">
        <f t="shared" si="30"/>
        <v>0.19081834007132725</v>
      </c>
      <c r="P158" s="1">
        <f t="shared" si="30"/>
        <v>1.5413650606421256</v>
      </c>
      <c r="R158" s="1">
        <f t="shared" si="31"/>
        <v>2.3106944379402323E-2</v>
      </c>
      <c r="S158" s="1">
        <f t="shared" si="31"/>
        <v>1.0120359999999568E-2</v>
      </c>
      <c r="T158" s="1">
        <f t="shared" si="31"/>
        <v>3.3436283756722843E-37</v>
      </c>
    </row>
    <row r="159" spans="1:20" x14ac:dyDescent="0.3">
      <c r="A159" s="13">
        <v>26.2529</v>
      </c>
      <c r="B159">
        <v>25.1</v>
      </c>
      <c r="C159">
        <v>25</v>
      </c>
      <c r="D159">
        <f t="shared" si="28"/>
        <v>0.95057214937670975</v>
      </c>
      <c r="E159">
        <f t="shared" si="28"/>
        <v>0.99800399201596801</v>
      </c>
      <c r="F159">
        <f t="shared" si="28"/>
        <v>1</v>
      </c>
      <c r="G159">
        <f t="shared" si="29"/>
        <v>9.8993011800001016E-2</v>
      </c>
      <c r="H159">
        <f t="shared" si="29"/>
        <v>-0.10020000000000143</v>
      </c>
      <c r="I159">
        <f t="shared" si="29"/>
        <v>0</v>
      </c>
      <c r="J159" s="1">
        <f t="shared" si="27"/>
        <v>8.8411979138265581E-3</v>
      </c>
      <c r="K159" s="1">
        <f t="shared" si="27"/>
        <v>1.0020000000000286E-2</v>
      </c>
      <c r="L159" s="1">
        <f t="shared" si="27"/>
        <v>3.3436283756722843E-37</v>
      </c>
      <c r="N159" s="1">
        <f t="shared" si="30"/>
        <v>2.2577508014501393</v>
      </c>
      <c r="O159" s="1">
        <f t="shared" si="30"/>
        <v>0.28818385731270052</v>
      </c>
      <c r="P159" s="1">
        <f t="shared" si="30"/>
        <v>1.5413650606421256</v>
      </c>
      <c r="R159" s="1">
        <f t="shared" si="31"/>
        <v>9.3009225229497127E-3</v>
      </c>
      <c r="S159" s="1">
        <f t="shared" si="31"/>
        <v>1.0040040000000286E-2</v>
      </c>
      <c r="T159" s="1">
        <f t="shared" si="31"/>
        <v>3.3436283756722843E-37</v>
      </c>
    </row>
    <row r="160" spans="1:20" x14ac:dyDescent="0.3">
      <c r="A160" s="13">
        <v>26.347000000000001</v>
      </c>
      <c r="B160">
        <v>25</v>
      </c>
      <c r="C160">
        <v>25</v>
      </c>
      <c r="D160"/>
      <c r="E160"/>
      <c r="F160"/>
      <c r="G160"/>
      <c r="H160"/>
      <c r="I160"/>
      <c r="N160" s="1">
        <f t="shared" si="30"/>
        <v>2.5493914270363467</v>
      </c>
      <c r="O160" s="1">
        <f t="shared" si="30"/>
        <v>0.40554937455407747</v>
      </c>
      <c r="P160" s="1">
        <f t="shared" si="30"/>
        <v>1.5413650606421256</v>
      </c>
      <c r="R160" s="1">
        <f t="shared" si="31"/>
        <v>6.5112813377016188E-6</v>
      </c>
      <c r="S160" s="1">
        <f t="shared" si="31"/>
        <v>9.2878565990896802E-37</v>
      </c>
      <c r="T160" s="1">
        <f t="shared" si="31"/>
        <v>3.3436283756722843E-37</v>
      </c>
    </row>
    <row r="161" spans="1:9" x14ac:dyDescent="0.3">
      <c r="A161" s="13"/>
      <c r="B161"/>
      <c r="C161"/>
      <c r="D161"/>
      <c r="E161"/>
      <c r="F161"/>
      <c r="G161"/>
      <c r="H161"/>
      <c r="I161"/>
    </row>
    <row r="162" spans="1:9" x14ac:dyDescent="0.3">
      <c r="A162" s="13"/>
      <c r="B162"/>
      <c r="C162"/>
      <c r="D162"/>
      <c r="E162"/>
      <c r="F162"/>
      <c r="G162"/>
      <c r="H162"/>
      <c r="I162"/>
    </row>
    <row r="163" spans="1:9" x14ac:dyDescent="0.3">
      <c r="A163" s="13"/>
      <c r="B163"/>
      <c r="C163"/>
      <c r="D163"/>
      <c r="E163"/>
      <c r="F163"/>
      <c r="G163"/>
      <c r="H163"/>
      <c r="I163"/>
    </row>
    <row r="164" spans="1:9" x14ac:dyDescent="0.3">
      <c r="A164" s="13"/>
      <c r="B164"/>
      <c r="C164"/>
      <c r="D164"/>
      <c r="E164"/>
      <c r="F164"/>
      <c r="G164"/>
      <c r="H164"/>
      <c r="I164"/>
    </row>
    <row r="165" spans="1:9" x14ac:dyDescent="0.3">
      <c r="A165" s="13"/>
      <c r="B165"/>
      <c r="C165"/>
      <c r="D165"/>
      <c r="E165"/>
      <c r="F165"/>
      <c r="G165"/>
      <c r="H165"/>
      <c r="I165"/>
    </row>
    <row r="166" spans="1:9" x14ac:dyDescent="0.3">
      <c r="A166" s="13"/>
      <c r="B166"/>
      <c r="C166"/>
      <c r="D166"/>
      <c r="E166"/>
      <c r="F166"/>
      <c r="G166"/>
      <c r="H166"/>
      <c r="I166"/>
    </row>
    <row r="167" spans="1:9" x14ac:dyDescent="0.3">
      <c r="A167" s="13"/>
      <c r="B167"/>
      <c r="C167"/>
      <c r="D167"/>
      <c r="E167"/>
      <c r="F167"/>
      <c r="G167"/>
      <c r="H167"/>
      <c r="I167"/>
    </row>
    <row r="168" spans="1:9" x14ac:dyDescent="0.3">
      <c r="A168" s="13"/>
      <c r="B168"/>
      <c r="C168"/>
      <c r="D168"/>
      <c r="E168"/>
      <c r="F168"/>
      <c r="G168"/>
      <c r="H168"/>
      <c r="I168"/>
    </row>
    <row r="169" spans="1:9" x14ac:dyDescent="0.3">
      <c r="A169" s="13"/>
      <c r="B169"/>
      <c r="C169"/>
      <c r="D169"/>
      <c r="E169"/>
      <c r="F169"/>
      <c r="G169"/>
      <c r="H169"/>
      <c r="I169"/>
    </row>
    <row r="170" spans="1:9" x14ac:dyDescent="0.3">
      <c r="A170" s="13"/>
      <c r="B170"/>
      <c r="C170"/>
      <c r="D170"/>
      <c r="E170"/>
      <c r="F170"/>
      <c r="G170"/>
      <c r="H170"/>
      <c r="I170"/>
    </row>
    <row r="171" spans="1:9" x14ac:dyDescent="0.3">
      <c r="A171" s="13"/>
      <c r="B171"/>
      <c r="C171"/>
      <c r="D171"/>
      <c r="E171"/>
      <c r="F171"/>
      <c r="G171"/>
      <c r="H171"/>
      <c r="I171"/>
    </row>
    <row r="172" spans="1:9" x14ac:dyDescent="0.3">
      <c r="A172" s="13"/>
      <c r="B172"/>
      <c r="C172"/>
      <c r="D172"/>
      <c r="E172"/>
      <c r="F172"/>
      <c r="G172"/>
      <c r="H172"/>
      <c r="I172"/>
    </row>
    <row r="173" spans="1:9" x14ac:dyDescent="0.3">
      <c r="A173" s="13"/>
      <c r="B173"/>
      <c r="C173"/>
      <c r="D173"/>
      <c r="E173"/>
      <c r="F173"/>
      <c r="G173"/>
      <c r="H173"/>
      <c r="I173"/>
    </row>
    <row r="174" spans="1:9" x14ac:dyDescent="0.3">
      <c r="A174" s="13"/>
      <c r="B174"/>
      <c r="C174"/>
      <c r="D174"/>
      <c r="E174"/>
      <c r="F174"/>
      <c r="G174"/>
      <c r="H174"/>
      <c r="I174"/>
    </row>
    <row r="175" spans="1:9" x14ac:dyDescent="0.3">
      <c r="A175" s="13"/>
      <c r="B175"/>
      <c r="C175"/>
      <c r="D175"/>
      <c r="E175"/>
      <c r="F175"/>
      <c r="G175"/>
      <c r="H175"/>
      <c r="I175"/>
    </row>
    <row r="176" spans="1:9" x14ac:dyDescent="0.3">
      <c r="A176" s="13"/>
      <c r="B176"/>
      <c r="C176"/>
      <c r="D176"/>
      <c r="E176"/>
      <c r="F176"/>
      <c r="G176"/>
      <c r="H176"/>
      <c r="I176"/>
    </row>
    <row r="177" spans="1:9" x14ac:dyDescent="0.3">
      <c r="A177" s="13"/>
      <c r="B177"/>
      <c r="C177"/>
      <c r="D177"/>
      <c r="E177"/>
      <c r="F177"/>
      <c r="G177"/>
      <c r="H177"/>
      <c r="I177"/>
    </row>
    <row r="178" spans="1:9" x14ac:dyDescent="0.3">
      <c r="A178" s="13"/>
      <c r="B178"/>
      <c r="C178"/>
      <c r="D178"/>
      <c r="E178"/>
      <c r="F178"/>
      <c r="G178"/>
      <c r="H178"/>
      <c r="I178"/>
    </row>
    <row r="179" spans="1:9" x14ac:dyDescent="0.3">
      <c r="A179" s="13"/>
      <c r="B179"/>
      <c r="C179"/>
      <c r="D179"/>
      <c r="E179"/>
      <c r="F179"/>
      <c r="G179"/>
      <c r="H179"/>
      <c r="I179"/>
    </row>
    <row r="180" spans="1:9" x14ac:dyDescent="0.3">
      <c r="A180" s="13"/>
      <c r="B180"/>
      <c r="C180"/>
      <c r="D180"/>
      <c r="E180"/>
      <c r="F180"/>
      <c r="G180"/>
      <c r="H180"/>
      <c r="I180"/>
    </row>
    <row r="181" spans="1:9" x14ac:dyDescent="0.3">
      <c r="A181" s="13"/>
      <c r="B181"/>
      <c r="C181"/>
      <c r="D181"/>
      <c r="E181"/>
      <c r="F181"/>
      <c r="G181"/>
      <c r="H181"/>
      <c r="I181"/>
    </row>
    <row r="182" spans="1:9" x14ac:dyDescent="0.3">
      <c r="A182" s="13"/>
      <c r="B182"/>
      <c r="C182"/>
      <c r="D182"/>
      <c r="E182"/>
      <c r="F182"/>
      <c r="G182"/>
      <c r="H182"/>
      <c r="I182"/>
    </row>
    <row r="183" spans="1:9" x14ac:dyDescent="0.3">
      <c r="A183" s="13"/>
      <c r="B183"/>
      <c r="C183"/>
      <c r="D183"/>
      <c r="E183"/>
      <c r="F183"/>
      <c r="G183"/>
      <c r="H183"/>
      <c r="I183"/>
    </row>
    <row r="184" spans="1:9" x14ac:dyDescent="0.3">
      <c r="A184" s="13"/>
      <c r="B184"/>
      <c r="C184"/>
      <c r="D184"/>
      <c r="E184"/>
      <c r="F184"/>
      <c r="G184"/>
      <c r="H184"/>
      <c r="I184"/>
    </row>
    <row r="185" spans="1:9" x14ac:dyDescent="0.3">
      <c r="A185" s="13"/>
      <c r="B185"/>
      <c r="C185"/>
      <c r="D185"/>
      <c r="E185"/>
      <c r="F185"/>
      <c r="G185"/>
      <c r="H185"/>
      <c r="I185"/>
    </row>
    <row r="186" spans="1:9" x14ac:dyDescent="0.3">
      <c r="A186" s="13"/>
      <c r="B186"/>
      <c r="C186"/>
      <c r="D186"/>
      <c r="E186"/>
      <c r="F186"/>
      <c r="G186"/>
      <c r="H186"/>
      <c r="I186"/>
    </row>
    <row r="187" spans="1:9" x14ac:dyDescent="0.3">
      <c r="A187" s="13"/>
      <c r="B187"/>
      <c r="C187"/>
      <c r="D187"/>
      <c r="E187"/>
      <c r="F187"/>
      <c r="G187"/>
      <c r="H187"/>
      <c r="I187"/>
    </row>
    <row r="188" spans="1:9" x14ac:dyDescent="0.3">
      <c r="A188" s="13"/>
      <c r="B188"/>
      <c r="C188"/>
      <c r="D188"/>
      <c r="E188"/>
      <c r="F188"/>
      <c r="G188"/>
      <c r="H188"/>
      <c r="I188"/>
    </row>
    <row r="189" spans="1:9" x14ac:dyDescent="0.3">
      <c r="A189" s="13"/>
      <c r="B189"/>
      <c r="C189"/>
      <c r="D189"/>
      <c r="E189"/>
      <c r="F189"/>
      <c r="G189"/>
      <c r="H189"/>
      <c r="I189"/>
    </row>
    <row r="190" spans="1:9" x14ac:dyDescent="0.3">
      <c r="A190" s="13"/>
      <c r="B190"/>
      <c r="C190"/>
      <c r="D190"/>
      <c r="E190"/>
      <c r="F190"/>
      <c r="G190"/>
      <c r="H190"/>
      <c r="I190"/>
    </row>
    <row r="191" spans="1:9" x14ac:dyDescent="0.3">
      <c r="A191" s="13"/>
      <c r="B191"/>
      <c r="C191"/>
      <c r="D191"/>
      <c r="E191"/>
      <c r="F191"/>
      <c r="G191"/>
      <c r="H191"/>
      <c r="I191"/>
    </row>
    <row r="192" spans="1:9" x14ac:dyDescent="0.3">
      <c r="A192" s="13"/>
      <c r="B192"/>
      <c r="C192"/>
      <c r="D192"/>
      <c r="E192"/>
      <c r="F192"/>
      <c r="G192"/>
      <c r="H192"/>
      <c r="I192"/>
    </row>
    <row r="193" spans="1:9" x14ac:dyDescent="0.3">
      <c r="A193" s="13"/>
      <c r="B193"/>
      <c r="C193"/>
      <c r="D193"/>
      <c r="E193"/>
      <c r="F193"/>
      <c r="G193"/>
      <c r="H193"/>
      <c r="I193"/>
    </row>
    <row r="194" spans="1:9" x14ac:dyDescent="0.3">
      <c r="A194" s="13"/>
      <c r="B194"/>
      <c r="C194"/>
      <c r="D194"/>
      <c r="E194"/>
      <c r="F194"/>
      <c r="G194"/>
      <c r="H194"/>
      <c r="I194"/>
    </row>
    <row r="195" spans="1:9" x14ac:dyDescent="0.3">
      <c r="A195" s="13"/>
      <c r="B195"/>
      <c r="C195"/>
      <c r="D195"/>
      <c r="E195"/>
      <c r="F195"/>
      <c r="G195"/>
      <c r="H195"/>
      <c r="I195"/>
    </row>
    <row r="196" spans="1:9" x14ac:dyDescent="0.3">
      <c r="A196" s="13"/>
      <c r="B196"/>
      <c r="C196"/>
      <c r="D196"/>
      <c r="E196"/>
      <c r="F196"/>
      <c r="G196"/>
      <c r="H196"/>
      <c r="I196"/>
    </row>
    <row r="197" spans="1:9" x14ac:dyDescent="0.3">
      <c r="A197" s="13"/>
      <c r="B197"/>
      <c r="C197"/>
      <c r="D197"/>
      <c r="E197"/>
      <c r="F197"/>
      <c r="G197"/>
      <c r="H197"/>
      <c r="I197"/>
    </row>
    <row r="198" spans="1:9" x14ac:dyDescent="0.3">
      <c r="A198" s="13"/>
      <c r="B198"/>
      <c r="C198"/>
      <c r="D198"/>
      <c r="E198"/>
      <c r="F198"/>
      <c r="G198"/>
      <c r="H198"/>
      <c r="I198"/>
    </row>
    <row r="199" spans="1:9" x14ac:dyDescent="0.3">
      <c r="A199" s="13"/>
      <c r="B199"/>
      <c r="C199"/>
      <c r="D199"/>
      <c r="E199"/>
      <c r="F199"/>
      <c r="G199"/>
      <c r="H199"/>
      <c r="I199"/>
    </row>
    <row r="200" spans="1:9" x14ac:dyDescent="0.3">
      <c r="A200" s="13"/>
      <c r="B200"/>
      <c r="C200"/>
      <c r="D200"/>
      <c r="E200"/>
      <c r="F200"/>
      <c r="G200"/>
      <c r="H200"/>
      <c r="I200"/>
    </row>
    <row r="201" spans="1:9" x14ac:dyDescent="0.3">
      <c r="A201" s="13"/>
      <c r="B201"/>
      <c r="C201"/>
      <c r="D201"/>
      <c r="E201"/>
      <c r="F201"/>
      <c r="G201"/>
      <c r="H201"/>
      <c r="I201"/>
    </row>
    <row r="202" spans="1:9" x14ac:dyDescent="0.3">
      <c r="A202" s="13"/>
      <c r="B202"/>
      <c r="C202"/>
      <c r="D202"/>
      <c r="E202"/>
      <c r="F202"/>
      <c r="G202"/>
      <c r="H202"/>
      <c r="I202"/>
    </row>
    <row r="203" spans="1:9" x14ac:dyDescent="0.3">
      <c r="A203" s="13"/>
      <c r="B203"/>
      <c r="C203"/>
      <c r="D203"/>
      <c r="E203"/>
      <c r="F203"/>
      <c r="G203"/>
      <c r="H203"/>
      <c r="I203"/>
    </row>
    <row r="204" spans="1:9" x14ac:dyDescent="0.3">
      <c r="A204" s="13"/>
      <c r="B204"/>
      <c r="C204"/>
      <c r="D204"/>
      <c r="E204"/>
      <c r="F204"/>
      <c r="G204"/>
      <c r="H204"/>
      <c r="I204"/>
    </row>
    <row r="205" spans="1:9" x14ac:dyDescent="0.3">
      <c r="A205" s="13"/>
      <c r="B205"/>
      <c r="C205"/>
      <c r="D205"/>
      <c r="E205"/>
      <c r="F205"/>
      <c r="G205"/>
      <c r="H205"/>
      <c r="I205"/>
    </row>
    <row r="206" spans="1:9" x14ac:dyDescent="0.3">
      <c r="A206" s="13"/>
      <c r="B206"/>
      <c r="C206"/>
      <c r="D206"/>
      <c r="E206"/>
      <c r="F206"/>
      <c r="G206"/>
      <c r="H206"/>
      <c r="I206"/>
    </row>
    <row r="207" spans="1:9" x14ac:dyDescent="0.3">
      <c r="A207" s="13"/>
      <c r="B207"/>
      <c r="C207"/>
      <c r="D207"/>
      <c r="E207"/>
      <c r="F207"/>
      <c r="G207"/>
      <c r="H207"/>
      <c r="I207"/>
    </row>
    <row r="208" spans="1:9" x14ac:dyDescent="0.3">
      <c r="A208" s="13"/>
      <c r="B208"/>
      <c r="C208"/>
      <c r="D208"/>
      <c r="E208"/>
      <c r="F208"/>
      <c r="G208"/>
      <c r="H208"/>
      <c r="I208"/>
    </row>
    <row r="209" spans="1:9" x14ac:dyDescent="0.3">
      <c r="A209" s="13"/>
      <c r="B209"/>
      <c r="C209"/>
      <c r="D209"/>
      <c r="E209"/>
      <c r="F209"/>
      <c r="G209"/>
      <c r="H209"/>
      <c r="I209"/>
    </row>
    <row r="210" spans="1:9" x14ac:dyDescent="0.3">
      <c r="A210" s="13"/>
      <c r="B210"/>
      <c r="C210"/>
      <c r="D210"/>
      <c r="E210"/>
      <c r="F210"/>
      <c r="G210"/>
      <c r="H210"/>
      <c r="I210"/>
    </row>
    <row r="211" spans="1:9" x14ac:dyDescent="0.3">
      <c r="A211" s="13"/>
      <c r="B211"/>
      <c r="C211"/>
      <c r="D211"/>
      <c r="E211"/>
      <c r="F211"/>
      <c r="G211"/>
      <c r="H211"/>
      <c r="I211"/>
    </row>
    <row r="212" spans="1:9" x14ac:dyDescent="0.3">
      <c r="A212" s="13"/>
      <c r="B212"/>
      <c r="C212"/>
      <c r="D212"/>
      <c r="E212"/>
      <c r="F212"/>
      <c r="G212"/>
      <c r="H212"/>
      <c r="I212"/>
    </row>
    <row r="213" spans="1:9" x14ac:dyDescent="0.3">
      <c r="A213" s="13"/>
      <c r="B213"/>
      <c r="C213"/>
      <c r="D213"/>
      <c r="E213"/>
      <c r="F213"/>
      <c r="G213"/>
      <c r="H213"/>
      <c r="I213"/>
    </row>
    <row r="214" spans="1:9" x14ac:dyDescent="0.3">
      <c r="A214" s="13"/>
      <c r="B214"/>
      <c r="C214"/>
      <c r="D214"/>
      <c r="E214"/>
      <c r="F214"/>
      <c r="G214"/>
      <c r="H214"/>
      <c r="I214"/>
    </row>
    <row r="215" spans="1:9" x14ac:dyDescent="0.3">
      <c r="A215" s="13"/>
      <c r="B215"/>
      <c r="C215"/>
      <c r="D215"/>
      <c r="E215"/>
      <c r="F215"/>
      <c r="G215"/>
      <c r="H215"/>
      <c r="I215"/>
    </row>
    <row r="216" spans="1:9" x14ac:dyDescent="0.3">
      <c r="A216" s="13"/>
      <c r="B216"/>
      <c r="C216"/>
      <c r="D216"/>
      <c r="E216"/>
      <c r="F216"/>
      <c r="G216"/>
      <c r="H216"/>
      <c r="I216"/>
    </row>
    <row r="217" spans="1:9" x14ac:dyDescent="0.3">
      <c r="A217" s="13"/>
      <c r="B217"/>
      <c r="C217"/>
      <c r="D217"/>
      <c r="E217"/>
      <c r="F217"/>
      <c r="G217"/>
      <c r="H217"/>
      <c r="I217"/>
    </row>
    <row r="218" spans="1:9" x14ac:dyDescent="0.3">
      <c r="A218" s="13"/>
      <c r="B218"/>
      <c r="C218"/>
      <c r="D218"/>
      <c r="E218"/>
      <c r="F218"/>
      <c r="G218"/>
      <c r="H218"/>
      <c r="I218"/>
    </row>
    <row r="219" spans="1:9" x14ac:dyDescent="0.3">
      <c r="A219" s="13"/>
      <c r="B219"/>
      <c r="C219"/>
      <c r="D219"/>
      <c r="E219"/>
      <c r="F219"/>
      <c r="G219"/>
      <c r="H219"/>
      <c r="I219"/>
    </row>
    <row r="220" spans="1:9" x14ac:dyDescent="0.3">
      <c r="A220" s="13"/>
      <c r="B220"/>
      <c r="C220"/>
      <c r="D220"/>
      <c r="E220"/>
      <c r="F220"/>
      <c r="G220"/>
      <c r="H220"/>
      <c r="I220"/>
    </row>
    <row r="221" spans="1:9" x14ac:dyDescent="0.3">
      <c r="A221" s="13"/>
      <c r="B221"/>
      <c r="C221"/>
      <c r="D221"/>
      <c r="E221"/>
      <c r="F221"/>
      <c r="G221"/>
      <c r="H221"/>
      <c r="I221"/>
    </row>
    <row r="222" spans="1:9" x14ac:dyDescent="0.3">
      <c r="A222" s="13"/>
      <c r="B222"/>
      <c r="C222"/>
      <c r="D222"/>
      <c r="E222"/>
      <c r="F222"/>
      <c r="G222"/>
      <c r="H222"/>
      <c r="I222"/>
    </row>
    <row r="223" spans="1:9" x14ac:dyDescent="0.3">
      <c r="A223" s="13"/>
      <c r="B223"/>
      <c r="C223"/>
      <c r="D223"/>
      <c r="E223"/>
      <c r="F223"/>
      <c r="G223"/>
      <c r="H223"/>
      <c r="I223"/>
    </row>
    <row r="224" spans="1:9" x14ac:dyDescent="0.3">
      <c r="A224" s="13"/>
      <c r="B224"/>
      <c r="C224"/>
      <c r="D224"/>
      <c r="E224"/>
      <c r="F224"/>
      <c r="G224"/>
      <c r="H224"/>
      <c r="I224"/>
    </row>
    <row r="225" spans="1:9" x14ac:dyDescent="0.3">
      <c r="A225" s="13"/>
      <c r="B225"/>
      <c r="C225"/>
      <c r="D225"/>
      <c r="E225"/>
      <c r="F225"/>
      <c r="G225"/>
      <c r="H225"/>
      <c r="I225"/>
    </row>
    <row r="226" spans="1:9" x14ac:dyDescent="0.3">
      <c r="A226" s="13"/>
      <c r="B226"/>
      <c r="C226"/>
      <c r="D226"/>
      <c r="E226"/>
      <c r="F226"/>
      <c r="G226"/>
      <c r="H226"/>
      <c r="I226"/>
    </row>
    <row r="227" spans="1:9" x14ac:dyDescent="0.3">
      <c r="A227" s="13"/>
      <c r="B227"/>
      <c r="C227"/>
      <c r="D227"/>
      <c r="E227"/>
      <c r="F227"/>
      <c r="G227"/>
      <c r="H227"/>
      <c r="I227"/>
    </row>
    <row r="228" spans="1:9" x14ac:dyDescent="0.3">
      <c r="A228" s="13"/>
      <c r="B228"/>
      <c r="C228"/>
      <c r="D228"/>
      <c r="E228"/>
      <c r="F228"/>
      <c r="G228"/>
      <c r="H228"/>
      <c r="I228"/>
    </row>
    <row r="229" spans="1:9" x14ac:dyDescent="0.3">
      <c r="A229" s="13"/>
      <c r="B229"/>
      <c r="C229"/>
      <c r="D229"/>
      <c r="E229"/>
      <c r="F229"/>
      <c r="G229"/>
      <c r="H229"/>
      <c r="I229"/>
    </row>
    <row r="230" spans="1:9" x14ac:dyDescent="0.3">
      <c r="A230" s="13"/>
      <c r="B230"/>
      <c r="C230"/>
      <c r="D230"/>
      <c r="E230"/>
      <c r="F230"/>
      <c r="G230"/>
      <c r="H230"/>
      <c r="I230"/>
    </row>
    <row r="231" spans="1:9" x14ac:dyDescent="0.3">
      <c r="A231" s="13"/>
      <c r="B231"/>
      <c r="C231"/>
      <c r="D231"/>
      <c r="E231"/>
      <c r="F231"/>
      <c r="G231"/>
      <c r="H231"/>
      <c r="I231"/>
    </row>
    <row r="232" spans="1:9" x14ac:dyDescent="0.3">
      <c r="A232" s="13"/>
      <c r="B232"/>
      <c r="C232"/>
      <c r="D232"/>
      <c r="E232"/>
      <c r="F232"/>
      <c r="G232"/>
      <c r="H232"/>
      <c r="I232"/>
    </row>
    <row r="233" spans="1:9" x14ac:dyDescent="0.3">
      <c r="A233" s="13"/>
      <c r="B233"/>
      <c r="C233"/>
      <c r="D233"/>
      <c r="E233"/>
      <c r="F233"/>
      <c r="G233"/>
      <c r="H233"/>
      <c r="I233"/>
    </row>
    <row r="234" spans="1:9" x14ac:dyDescent="0.3">
      <c r="A234" s="13"/>
      <c r="B234"/>
      <c r="C234"/>
      <c r="D234"/>
      <c r="E234"/>
      <c r="F234"/>
      <c r="G234"/>
      <c r="H234"/>
      <c r="I234"/>
    </row>
    <row r="235" spans="1:9" x14ac:dyDescent="0.3">
      <c r="A235" s="13"/>
      <c r="B235"/>
      <c r="C235"/>
      <c r="D235"/>
      <c r="E235"/>
      <c r="F235"/>
      <c r="G235"/>
      <c r="H235"/>
      <c r="I235"/>
    </row>
    <row r="236" spans="1:9" x14ac:dyDescent="0.3">
      <c r="A236" s="13"/>
      <c r="B236"/>
      <c r="C236"/>
      <c r="D236"/>
      <c r="E236"/>
      <c r="F236"/>
      <c r="G236"/>
      <c r="H236"/>
      <c r="I236"/>
    </row>
    <row r="237" spans="1:9" x14ac:dyDescent="0.3">
      <c r="A237" s="13"/>
      <c r="B237"/>
      <c r="C237"/>
      <c r="D237"/>
      <c r="E237"/>
      <c r="F237"/>
      <c r="G237"/>
      <c r="H237"/>
      <c r="I237"/>
    </row>
    <row r="238" spans="1:9" x14ac:dyDescent="0.3">
      <c r="A238" s="13"/>
      <c r="B238"/>
      <c r="C238"/>
      <c r="D238"/>
      <c r="E238"/>
      <c r="F238"/>
      <c r="G238"/>
      <c r="H238"/>
      <c r="I238"/>
    </row>
    <row r="239" spans="1:9" x14ac:dyDescent="0.3">
      <c r="A239" s="13"/>
      <c r="B239"/>
      <c r="C239"/>
      <c r="D239"/>
      <c r="E239"/>
      <c r="F239"/>
      <c r="G239"/>
      <c r="H239"/>
      <c r="I239"/>
    </row>
    <row r="240" spans="1:9" x14ac:dyDescent="0.3">
      <c r="A240" s="13"/>
      <c r="B240"/>
      <c r="C240"/>
      <c r="D240"/>
      <c r="E240"/>
      <c r="F240"/>
      <c r="G240"/>
      <c r="H240"/>
      <c r="I240"/>
    </row>
    <row r="241" spans="1:9" x14ac:dyDescent="0.3">
      <c r="A241" s="13"/>
      <c r="B241"/>
      <c r="C241"/>
      <c r="D241"/>
      <c r="E241"/>
      <c r="F241"/>
      <c r="G241"/>
      <c r="H241"/>
      <c r="I241"/>
    </row>
    <row r="242" spans="1:9" x14ac:dyDescent="0.3">
      <c r="A242" s="13"/>
      <c r="B242"/>
      <c r="C242"/>
      <c r="D242"/>
      <c r="E242"/>
      <c r="F242"/>
      <c r="G242"/>
      <c r="H242"/>
      <c r="I242"/>
    </row>
    <row r="243" spans="1:9" x14ac:dyDescent="0.3">
      <c r="A243" s="13"/>
      <c r="B243"/>
      <c r="C243"/>
      <c r="D243"/>
      <c r="E243"/>
      <c r="F243"/>
      <c r="G243"/>
      <c r="H243"/>
      <c r="I243"/>
    </row>
    <row r="244" spans="1:9" x14ac:dyDescent="0.3">
      <c r="A244" s="13"/>
      <c r="B244"/>
      <c r="C244"/>
      <c r="D244"/>
      <c r="E244"/>
      <c r="F244"/>
      <c r="G244"/>
      <c r="H244"/>
      <c r="I244"/>
    </row>
    <row r="245" spans="1:9" x14ac:dyDescent="0.3">
      <c r="A245" s="13"/>
      <c r="B245"/>
      <c r="C245"/>
      <c r="D245"/>
      <c r="E245"/>
      <c r="F245"/>
      <c r="G245"/>
      <c r="H245"/>
      <c r="I245"/>
    </row>
    <row r="246" spans="1:9" x14ac:dyDescent="0.3">
      <c r="A246" s="13"/>
      <c r="B246"/>
      <c r="C246"/>
      <c r="D246"/>
      <c r="E246"/>
      <c r="F246"/>
      <c r="G246"/>
      <c r="H246"/>
      <c r="I246"/>
    </row>
    <row r="247" spans="1:9" x14ac:dyDescent="0.3">
      <c r="A247" s="13"/>
      <c r="B247"/>
      <c r="C247"/>
      <c r="D247"/>
      <c r="E247"/>
      <c r="F247"/>
      <c r="G247"/>
      <c r="H247"/>
      <c r="I247"/>
    </row>
    <row r="248" spans="1:9" x14ac:dyDescent="0.3">
      <c r="A248" s="13"/>
      <c r="B248"/>
      <c r="C248"/>
      <c r="D248"/>
      <c r="E248"/>
      <c r="F248"/>
      <c r="G248"/>
      <c r="H248"/>
      <c r="I248"/>
    </row>
    <row r="249" spans="1:9" x14ac:dyDescent="0.3">
      <c r="A249" s="13"/>
      <c r="B249"/>
      <c r="C249"/>
      <c r="D249"/>
      <c r="E249"/>
      <c r="F249"/>
      <c r="G249"/>
      <c r="H249"/>
      <c r="I249"/>
    </row>
    <row r="250" spans="1:9" x14ac:dyDescent="0.3">
      <c r="A250" s="13"/>
      <c r="B250"/>
      <c r="C250"/>
      <c r="D250"/>
      <c r="E250"/>
      <c r="F250"/>
      <c r="G250"/>
      <c r="H250"/>
      <c r="I250"/>
    </row>
    <row r="251" spans="1:9" x14ac:dyDescent="0.3">
      <c r="A251" s="13"/>
      <c r="B251"/>
      <c r="C251"/>
      <c r="D251"/>
      <c r="E251"/>
      <c r="F251"/>
      <c r="G251"/>
      <c r="H251"/>
      <c r="I251"/>
    </row>
    <row r="252" spans="1:9" x14ac:dyDescent="0.3">
      <c r="A252" s="13"/>
      <c r="B252"/>
      <c r="C252"/>
      <c r="D252"/>
      <c r="E252"/>
      <c r="F252"/>
      <c r="G252"/>
      <c r="H252"/>
      <c r="I252"/>
    </row>
    <row r="253" spans="1:9" x14ac:dyDescent="0.3">
      <c r="A253" s="13"/>
      <c r="B253"/>
      <c r="C253"/>
      <c r="D253"/>
      <c r="E253"/>
      <c r="F253"/>
      <c r="G253"/>
      <c r="H253"/>
      <c r="I253"/>
    </row>
    <row r="254" spans="1:9" x14ac:dyDescent="0.3">
      <c r="A254" s="13"/>
      <c r="B254"/>
      <c r="C254"/>
      <c r="D254"/>
      <c r="E254"/>
      <c r="F254"/>
      <c r="G254"/>
      <c r="H254"/>
      <c r="I254"/>
    </row>
    <row r="255" spans="1:9" x14ac:dyDescent="0.3">
      <c r="A255" s="13"/>
      <c r="B255"/>
      <c r="C255"/>
      <c r="D255"/>
      <c r="E255"/>
      <c r="F255"/>
      <c r="G255"/>
      <c r="H255"/>
      <c r="I255"/>
    </row>
    <row r="256" spans="1:9" x14ac:dyDescent="0.3">
      <c r="A256" s="13"/>
      <c r="B256"/>
      <c r="C256"/>
      <c r="D256"/>
      <c r="E256"/>
      <c r="F256"/>
      <c r="G256"/>
      <c r="H256"/>
      <c r="I256"/>
    </row>
    <row r="257" spans="1:9" x14ac:dyDescent="0.3">
      <c r="A257" s="13"/>
      <c r="B257"/>
      <c r="C257"/>
      <c r="D257"/>
      <c r="E257"/>
      <c r="F257"/>
      <c r="G257"/>
      <c r="H257"/>
      <c r="I257"/>
    </row>
    <row r="258" spans="1:9" x14ac:dyDescent="0.3">
      <c r="A258" s="13"/>
      <c r="B258"/>
      <c r="C258"/>
      <c r="D258"/>
      <c r="E258"/>
      <c r="F258"/>
      <c r="G258"/>
      <c r="H258"/>
      <c r="I258"/>
    </row>
    <row r="259" spans="1:9" x14ac:dyDescent="0.3">
      <c r="A259" s="13"/>
      <c r="B259"/>
      <c r="C259"/>
      <c r="D259"/>
      <c r="E259"/>
      <c r="F259"/>
      <c r="G259"/>
      <c r="H259"/>
      <c r="I259"/>
    </row>
    <row r="260" spans="1:9" x14ac:dyDescent="0.3">
      <c r="A260" s="13"/>
      <c r="B260"/>
      <c r="C260"/>
      <c r="D260"/>
      <c r="E260"/>
      <c r="F260"/>
      <c r="G260"/>
      <c r="H260"/>
      <c r="I260"/>
    </row>
    <row r="261" spans="1:9" x14ac:dyDescent="0.3">
      <c r="A261" s="13"/>
      <c r="B261"/>
      <c r="C261"/>
      <c r="D261"/>
      <c r="E261"/>
      <c r="F261"/>
      <c r="G261"/>
      <c r="H261"/>
      <c r="I261"/>
    </row>
    <row r="262" spans="1:9" x14ac:dyDescent="0.3">
      <c r="A262" s="13"/>
      <c r="B262"/>
      <c r="C262"/>
      <c r="D262"/>
      <c r="E262"/>
      <c r="F262"/>
      <c r="G262"/>
      <c r="H262"/>
      <c r="I262"/>
    </row>
    <row r="263" spans="1:9" x14ac:dyDescent="0.3">
      <c r="A263" s="13"/>
      <c r="B263"/>
      <c r="C263"/>
      <c r="D263"/>
      <c r="E263"/>
      <c r="F263"/>
      <c r="G263"/>
      <c r="H263"/>
      <c r="I263"/>
    </row>
    <row r="264" spans="1:9" x14ac:dyDescent="0.3">
      <c r="A264" s="13"/>
      <c r="B264"/>
      <c r="C264"/>
      <c r="D264"/>
      <c r="E264"/>
      <c r="F264"/>
      <c r="G264"/>
      <c r="H264"/>
      <c r="I264"/>
    </row>
    <row r="265" spans="1:9" x14ac:dyDescent="0.3">
      <c r="A265" s="13"/>
      <c r="B265"/>
      <c r="C265"/>
      <c r="D265"/>
      <c r="E265"/>
      <c r="F265"/>
      <c r="G265"/>
      <c r="H265"/>
      <c r="I265"/>
    </row>
    <row r="266" spans="1:9" x14ac:dyDescent="0.3">
      <c r="A266" s="13"/>
      <c r="B266"/>
      <c r="C266"/>
      <c r="D266"/>
      <c r="E266"/>
      <c r="F266"/>
      <c r="G266"/>
      <c r="H266"/>
      <c r="I266"/>
    </row>
    <row r="267" spans="1:9" x14ac:dyDescent="0.3">
      <c r="A267" s="13"/>
      <c r="B267"/>
      <c r="C267"/>
      <c r="D267"/>
      <c r="E267"/>
      <c r="F267"/>
      <c r="G267"/>
      <c r="H267"/>
      <c r="I267"/>
    </row>
    <row r="268" spans="1:9" x14ac:dyDescent="0.3">
      <c r="A268" s="13"/>
      <c r="B268"/>
      <c r="C268"/>
      <c r="D268"/>
      <c r="E268"/>
      <c r="F268"/>
      <c r="G268"/>
      <c r="H268"/>
      <c r="I268"/>
    </row>
    <row r="269" spans="1:9" x14ac:dyDescent="0.3">
      <c r="A269" s="13"/>
      <c r="B269"/>
      <c r="C269"/>
      <c r="D269"/>
      <c r="E269"/>
      <c r="F269"/>
      <c r="G269"/>
      <c r="H269"/>
      <c r="I269"/>
    </row>
    <row r="270" spans="1:9" x14ac:dyDescent="0.3">
      <c r="A270" s="13"/>
      <c r="B270"/>
      <c r="C270"/>
      <c r="D270"/>
      <c r="E270"/>
      <c r="F270"/>
      <c r="G270"/>
      <c r="H270"/>
      <c r="I270"/>
    </row>
    <row r="271" spans="1:9" x14ac:dyDescent="0.3">
      <c r="A271" s="13"/>
      <c r="B271"/>
      <c r="C271"/>
      <c r="D271"/>
      <c r="E271"/>
      <c r="F271"/>
      <c r="G271"/>
      <c r="H271"/>
      <c r="I271"/>
    </row>
    <row r="272" spans="1:9" x14ac:dyDescent="0.3">
      <c r="A272" s="13"/>
      <c r="B272"/>
      <c r="C272"/>
      <c r="D272"/>
      <c r="E272"/>
      <c r="F272"/>
      <c r="G272"/>
      <c r="H272"/>
      <c r="I272"/>
    </row>
    <row r="273" spans="1:9" x14ac:dyDescent="0.3">
      <c r="A273" s="13"/>
      <c r="B273"/>
      <c r="C273"/>
      <c r="D273"/>
      <c r="E273"/>
      <c r="F273"/>
      <c r="G273"/>
      <c r="H273"/>
      <c r="I273"/>
    </row>
    <row r="274" spans="1:9" x14ac:dyDescent="0.3">
      <c r="A274" s="13"/>
      <c r="B274"/>
      <c r="C274"/>
      <c r="D274"/>
      <c r="E274"/>
      <c r="F274"/>
      <c r="G274"/>
      <c r="H274"/>
      <c r="I274"/>
    </row>
    <row r="275" spans="1:9" x14ac:dyDescent="0.3">
      <c r="A275" s="13"/>
      <c r="B275"/>
      <c r="C275"/>
      <c r="D275"/>
      <c r="E275"/>
      <c r="F275"/>
      <c r="G275"/>
      <c r="H275"/>
      <c r="I275"/>
    </row>
    <row r="276" spans="1:9" x14ac:dyDescent="0.3">
      <c r="A276" s="13"/>
      <c r="B276"/>
      <c r="C276"/>
      <c r="D276"/>
      <c r="E276"/>
      <c r="F276"/>
      <c r="G276"/>
      <c r="H276"/>
      <c r="I276"/>
    </row>
    <row r="277" spans="1:9" x14ac:dyDescent="0.3">
      <c r="A277" s="13"/>
      <c r="B277"/>
      <c r="C277"/>
      <c r="D277"/>
      <c r="E277"/>
      <c r="F277"/>
      <c r="G277"/>
      <c r="H277"/>
      <c r="I277"/>
    </row>
    <row r="278" spans="1:9" x14ac:dyDescent="0.3">
      <c r="A278" s="13"/>
      <c r="B278"/>
      <c r="C278"/>
      <c r="D278"/>
      <c r="E278"/>
      <c r="F278"/>
      <c r="G278"/>
      <c r="H278"/>
      <c r="I278"/>
    </row>
    <row r="279" spans="1:9" x14ac:dyDescent="0.3">
      <c r="A279" s="13"/>
      <c r="B279"/>
      <c r="C279"/>
      <c r="D279"/>
      <c r="E279"/>
      <c r="F279"/>
      <c r="G279"/>
      <c r="H279"/>
      <c r="I279"/>
    </row>
    <row r="280" spans="1:9" x14ac:dyDescent="0.3">
      <c r="A280" s="13"/>
      <c r="B280"/>
      <c r="C280"/>
      <c r="D280"/>
      <c r="E280"/>
      <c r="F280"/>
      <c r="G280"/>
      <c r="H280"/>
      <c r="I280"/>
    </row>
    <row r="281" spans="1:9" x14ac:dyDescent="0.3">
      <c r="A281" s="13"/>
      <c r="B281"/>
      <c r="C281"/>
      <c r="D281"/>
      <c r="E281"/>
      <c r="F281"/>
      <c r="G281"/>
      <c r="H281"/>
      <c r="I281"/>
    </row>
    <row r="282" spans="1:9" x14ac:dyDescent="0.3">
      <c r="A282" s="13"/>
      <c r="B282"/>
      <c r="C282"/>
      <c r="D282"/>
      <c r="E282"/>
      <c r="F282"/>
      <c r="G282"/>
      <c r="H282"/>
      <c r="I282"/>
    </row>
    <row r="283" spans="1:9" x14ac:dyDescent="0.3">
      <c r="A283" s="13"/>
      <c r="B283"/>
      <c r="C283"/>
      <c r="D283"/>
      <c r="E283"/>
      <c r="F283"/>
      <c r="G283"/>
      <c r="H283"/>
      <c r="I283"/>
    </row>
    <row r="284" spans="1:9" x14ac:dyDescent="0.3">
      <c r="A284" s="13"/>
      <c r="B284"/>
      <c r="C284"/>
      <c r="D284"/>
      <c r="E284"/>
      <c r="F284"/>
      <c r="G284"/>
      <c r="H284"/>
      <c r="I284"/>
    </row>
    <row r="285" spans="1:9" x14ac:dyDescent="0.3">
      <c r="A285" s="13"/>
      <c r="B285"/>
      <c r="C285"/>
      <c r="D285"/>
      <c r="E285"/>
      <c r="F285"/>
      <c r="G285"/>
      <c r="H285"/>
      <c r="I285"/>
    </row>
    <row r="286" spans="1:9" x14ac:dyDescent="0.3">
      <c r="A286" s="13"/>
      <c r="B286"/>
      <c r="C286"/>
      <c r="D286"/>
      <c r="E286"/>
      <c r="F286"/>
      <c r="G286"/>
      <c r="H286"/>
      <c r="I286"/>
    </row>
    <row r="287" spans="1:9" x14ac:dyDescent="0.3">
      <c r="A287" s="13"/>
      <c r="B287"/>
      <c r="C287"/>
      <c r="D287"/>
      <c r="E287"/>
      <c r="F287"/>
      <c r="G287"/>
      <c r="H287"/>
      <c r="I287"/>
    </row>
    <row r="288" spans="1:9" x14ac:dyDescent="0.3">
      <c r="A288" s="13"/>
      <c r="B288"/>
      <c r="C288"/>
      <c r="D288"/>
      <c r="E288"/>
      <c r="F288"/>
      <c r="G288"/>
      <c r="H288"/>
      <c r="I288"/>
    </row>
    <row r="289" spans="1:9" x14ac:dyDescent="0.3">
      <c r="A289" s="13"/>
      <c r="B289"/>
      <c r="C289"/>
      <c r="D289"/>
      <c r="E289"/>
      <c r="F289"/>
      <c r="G289"/>
      <c r="H289"/>
      <c r="I289"/>
    </row>
    <row r="290" spans="1:9" x14ac:dyDescent="0.3">
      <c r="A290" s="13"/>
      <c r="B290"/>
      <c r="C290"/>
      <c r="D290"/>
      <c r="E290"/>
      <c r="F290"/>
      <c r="G290"/>
      <c r="H290"/>
      <c r="I290"/>
    </row>
    <row r="291" spans="1:9" x14ac:dyDescent="0.3">
      <c r="A291" s="13"/>
      <c r="B291"/>
      <c r="C291"/>
      <c r="D291"/>
      <c r="E291"/>
      <c r="F291"/>
      <c r="G291"/>
      <c r="H291"/>
      <c r="I291"/>
    </row>
    <row r="292" spans="1:9" x14ac:dyDescent="0.3">
      <c r="A292" s="13"/>
      <c r="B292"/>
      <c r="C292"/>
      <c r="D292"/>
      <c r="E292"/>
      <c r="F292"/>
      <c r="G292"/>
      <c r="H292"/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292"/>
  <sheetViews>
    <sheetView workbookViewId="0">
      <selection activeCell="C16" sqref="C16:C160"/>
    </sheetView>
  </sheetViews>
  <sheetFormatPr defaultColWidth="9" defaultRowHeight="14" x14ac:dyDescent="0.3"/>
  <cols>
    <col min="1" max="1" width="9" style="1"/>
    <col min="2" max="2" width="11" style="1" bestFit="1" customWidth="1"/>
    <col min="3" max="4" width="9.9140625" style="1" bestFit="1" customWidth="1"/>
    <col min="5" max="6" width="9" style="1"/>
    <col min="7" max="9" width="11" style="1" bestFit="1" customWidth="1"/>
    <col min="10" max="16384" width="9" style="1"/>
  </cols>
  <sheetData>
    <row r="1" spans="1:24" ht="14.5" thickBot="1" x14ac:dyDescent="0.35"/>
    <row r="2" spans="1:24" ht="28" thickTop="1" thickBot="1" x14ac:dyDescent="0.35">
      <c r="A2" s="44" t="s">
        <v>131</v>
      </c>
      <c r="B2" s="24" t="s">
        <v>141</v>
      </c>
      <c r="C2" s="24" t="s">
        <v>143</v>
      </c>
      <c r="D2" s="24" t="s">
        <v>144</v>
      </c>
    </row>
    <row r="3" spans="1:24" ht="27.5" x14ac:dyDescent="0.3">
      <c r="A3" s="30" t="s">
        <v>132</v>
      </c>
      <c r="B3" s="20">
        <f>D10</f>
        <v>24.676216894905572</v>
      </c>
      <c r="C3" s="20">
        <f t="shared" ref="C3:D3" si="0">E10</f>
        <v>25.711150448428914</v>
      </c>
      <c r="D3" s="20">
        <f t="shared" si="0"/>
        <v>25.546016397632563</v>
      </c>
    </row>
    <row r="4" spans="1:24" ht="27.5" x14ac:dyDescent="0.3">
      <c r="A4" s="30" t="s">
        <v>133</v>
      </c>
      <c r="B4" s="31" t="str">
        <f>$F4&amp;ROUND(A14,2)&amp;ROUND(A13,2)&amp;$G4</f>
        <v>[21.3627.34]</v>
      </c>
      <c r="C4" s="31" t="str">
        <f t="shared" ref="C4:D4" si="1">$F4&amp;ROUND(B14,2)&amp;ROUND(B13,2)&amp;$G4</f>
        <v>[2527.78]</v>
      </c>
      <c r="D4" s="31" t="str">
        <f t="shared" si="1"/>
        <v>[2527.2]</v>
      </c>
      <c r="F4" s="31" t="s">
        <v>134</v>
      </c>
      <c r="G4" s="31" t="s">
        <v>135</v>
      </c>
    </row>
    <row r="5" spans="1:24" ht="27" x14ac:dyDescent="0.3">
      <c r="A5" s="30" t="s">
        <v>136</v>
      </c>
      <c r="B5" s="6">
        <f>N9</f>
        <v>1.259880565329369</v>
      </c>
      <c r="C5" s="6">
        <f t="shared" ref="C5:D5" si="2">O9</f>
        <v>0.82491617345871548</v>
      </c>
      <c r="D5" s="6">
        <f t="shared" si="2"/>
        <v>0.72692730419800899</v>
      </c>
    </row>
    <row r="6" spans="1:24" ht="27.5" x14ac:dyDescent="0.3">
      <c r="A6" s="30" t="s">
        <v>137</v>
      </c>
      <c r="B6" s="31" t="str">
        <f>$F4&amp;ROUND(G14,2)&amp;ROUND(G13,2)&amp;$G4</f>
        <v>[-0.670.61]</v>
      </c>
      <c r="C6" s="31" t="str">
        <f t="shared" ref="C6:D6" si="3">$F4&amp;ROUND(H14,2)&amp;ROUND(H13,2)&amp;$G4</f>
        <v>[-0.310.32]</v>
      </c>
      <c r="D6" s="31" t="str">
        <f t="shared" si="3"/>
        <v>[-0.310.31]</v>
      </c>
    </row>
    <row r="7" spans="1:24" ht="40.5" x14ac:dyDescent="0.3">
      <c r="A7" s="30" t="s">
        <v>138</v>
      </c>
      <c r="B7" s="6">
        <f>R9</f>
        <v>0.31423003942015687</v>
      </c>
      <c r="C7" s="6">
        <f t="shared" ref="C7:D7" si="4">S9</f>
        <v>0.14969624721758112</v>
      </c>
      <c r="D7" s="6">
        <f t="shared" si="4"/>
        <v>0.15278344557372489</v>
      </c>
    </row>
    <row r="8" spans="1:24" ht="30" thickBot="1" x14ac:dyDescent="0.35">
      <c r="A8" s="45" t="s">
        <v>139</v>
      </c>
      <c r="B8" s="15">
        <f>J9</f>
        <v>0.31588306122277215</v>
      </c>
      <c r="C8" s="15">
        <f t="shared" ref="C8:D8" si="5">K9</f>
        <v>0.14968641586452353</v>
      </c>
      <c r="D8" s="15">
        <f t="shared" si="5"/>
        <v>0.15206847711603583</v>
      </c>
    </row>
    <row r="9" spans="1:24" ht="14.5" thickTop="1" x14ac:dyDescent="0.3">
      <c r="J9" s="14">
        <f>J10^0.5</f>
        <v>0.31588306122277215</v>
      </c>
      <c r="K9" s="14">
        <f t="shared" ref="K9:L9" si="6">K10^0.5</f>
        <v>0.14968641586452353</v>
      </c>
      <c r="L9" s="14">
        <f t="shared" si="6"/>
        <v>0.15206847711603583</v>
      </c>
      <c r="N9" s="14">
        <f>N12^0.5</f>
        <v>1.259880565329369</v>
      </c>
      <c r="O9" s="14">
        <f t="shared" ref="O9:P9" si="7">O12^0.5</f>
        <v>0.82491617345871548</v>
      </c>
      <c r="P9" s="14">
        <f t="shared" si="7"/>
        <v>0.72692730419800899</v>
      </c>
      <c r="R9" s="14">
        <f>R12^0.5</f>
        <v>0.31423003942015687</v>
      </c>
      <c r="S9" s="14">
        <f t="shared" ref="S9:T9" si="8">S12^0.5</f>
        <v>0.14969624721758112</v>
      </c>
      <c r="T9" s="14">
        <f t="shared" si="8"/>
        <v>0.15278344557372489</v>
      </c>
    </row>
    <row r="10" spans="1:24" x14ac:dyDescent="0.3">
      <c r="D10" s="1">
        <f>3600/D11</f>
        <v>24.676216894905572</v>
      </c>
      <c r="E10" s="1">
        <f t="shared" ref="E10:F10" si="9">3600/E11</f>
        <v>25.711150448428914</v>
      </c>
      <c r="F10" s="1">
        <f t="shared" si="9"/>
        <v>25.546016397632563</v>
      </c>
      <c r="J10" s="1">
        <f>J11/D11</f>
        <v>9.9782108367469632E-2</v>
      </c>
      <c r="K10" s="1">
        <f>K11/E11</f>
        <v>2.2406023094367077E-2</v>
      </c>
      <c r="L10" s="1">
        <f>L11/F11</f>
        <v>2.3124821732390312E-2</v>
      </c>
    </row>
    <row r="11" spans="1:24" x14ac:dyDescent="0.3">
      <c r="D11" s="1">
        <f>SUM(D16:D291)</f>
        <v>145.88946171660629</v>
      </c>
      <c r="E11" s="1">
        <f>SUM(E16:E291)</f>
        <v>140.01707186229697</v>
      </c>
      <c r="F11" s="1">
        <f>SUM(F16:F291)</f>
        <v>140.92216743169493</v>
      </c>
      <c r="J11" s="1">
        <f>SUM(J16:J291)</f>
        <v>14.557158078678221</v>
      </c>
      <c r="K11" s="1">
        <f>SUM(K16:K291)</f>
        <v>3.1372257457522807</v>
      </c>
      <c r="L11" s="1">
        <f>SUM(L16:L291)</f>
        <v>3.2588000000000052</v>
      </c>
    </row>
    <row r="12" spans="1:24" x14ac:dyDescent="0.3">
      <c r="A12" s="46">
        <f t="shared" ref="A12:C12" si="10">AVERAGE(A16:A291)</f>
        <v>24.750318620689669</v>
      </c>
      <c r="B12" s="46">
        <f t="shared" si="10"/>
        <v>25.731537241379325</v>
      </c>
      <c r="C12" s="46">
        <f t="shared" si="10"/>
        <v>25.562068965517245</v>
      </c>
      <c r="D12" s="46"/>
      <c r="E12" s="46"/>
      <c r="F12" s="46"/>
      <c r="G12" s="46">
        <f>AVERAGE(G16:G291)</f>
        <v>2.551721250000011E-3</v>
      </c>
      <c r="H12" s="46">
        <f>AVERAGE(H16:H291)</f>
        <v>2.8912057932946786E-18</v>
      </c>
      <c r="I12" s="46">
        <f>AVERAGE(I16:I291)</f>
        <v>3.4694469519536142E-18</v>
      </c>
      <c r="N12" s="1">
        <f>AVERAGE(N16:N292)</f>
        <v>1.5872990388946502</v>
      </c>
      <c r="O12" s="1">
        <f t="shared" ref="O12:P12" si="11">AVERAGE(O16:O292)</f>
        <v>0.68048669323376965</v>
      </c>
      <c r="P12" s="1">
        <f t="shared" si="11"/>
        <v>0.52842330558858464</v>
      </c>
      <c r="R12" s="1">
        <f>AVERAGE(R16:R292)</f>
        <v>9.8740517673993333E-2</v>
      </c>
      <c r="S12" s="1">
        <f t="shared" ref="S12:T12" si="12">AVERAGE(S16:S292)</f>
        <v>2.2408966431027168E-2</v>
      </c>
      <c r="T12" s="1">
        <f t="shared" si="12"/>
        <v>2.3342781241379357E-2</v>
      </c>
    </row>
    <row r="13" spans="1:24" x14ac:dyDescent="0.3">
      <c r="A13" s="16">
        <f>MAX(A16:A291)</f>
        <v>27.335699999999999</v>
      </c>
      <c r="B13" s="16">
        <f t="shared" ref="B13:C13" si="13">MAX(B16:B291)</f>
        <v>27.78</v>
      </c>
      <c r="C13" s="16">
        <f t="shared" si="13"/>
        <v>27.2</v>
      </c>
      <c r="D13" s="14"/>
      <c r="E13" s="14"/>
      <c r="F13" s="14"/>
      <c r="G13" s="14">
        <f>MAX(G16:G291)</f>
        <v>0.61351041599999834</v>
      </c>
      <c r="H13" s="14">
        <f>MAX(H16:H291)</f>
        <v>0.31508576580000036</v>
      </c>
      <c r="I13" s="14">
        <f>MAX(I16:I291)</f>
        <v>0.31260000000000071</v>
      </c>
    </row>
    <row r="14" spans="1:24" x14ac:dyDescent="0.3">
      <c r="A14" s="16">
        <f t="shared" ref="A14:C14" si="14">MIN(A16:A291)</f>
        <v>21.363800000000001</v>
      </c>
      <c r="B14" s="16">
        <f t="shared" si="14"/>
        <v>25</v>
      </c>
      <c r="C14" s="16">
        <f t="shared" si="14"/>
        <v>25</v>
      </c>
      <c r="D14" s="14"/>
      <c r="E14" s="14"/>
      <c r="F14" s="14"/>
      <c r="G14" s="14">
        <f>MIN(G16:G291)</f>
        <v>-0.67144793820000015</v>
      </c>
      <c r="H14" s="14">
        <f>MIN(H16:H291)</f>
        <v>-0.30540000000000078</v>
      </c>
      <c r="I14" s="14">
        <f>MIN(I16:I291)</f>
        <v>-0.30899999999999705</v>
      </c>
    </row>
    <row r="15" spans="1:24" x14ac:dyDescent="0.3">
      <c r="A15" s="1" t="s">
        <v>142</v>
      </c>
      <c r="B15" t="s">
        <v>58</v>
      </c>
      <c r="C15" t="s">
        <v>54</v>
      </c>
      <c r="D15" s="1" t="s">
        <v>140</v>
      </c>
      <c r="E15" s="1" t="s">
        <v>140</v>
      </c>
      <c r="F15" s="1" t="s">
        <v>140</v>
      </c>
      <c r="G15" s="1" t="s">
        <v>145</v>
      </c>
      <c r="H15" s="1" t="s">
        <v>146</v>
      </c>
      <c r="I15" s="1" t="s">
        <v>145</v>
      </c>
      <c r="J15" s="1" t="s">
        <v>147</v>
      </c>
      <c r="K15" s="1" t="s">
        <v>148</v>
      </c>
      <c r="L15" s="1" t="s">
        <v>149</v>
      </c>
      <c r="V15" s="1" t="s">
        <v>142</v>
      </c>
      <c r="W15" t="s">
        <v>58</v>
      </c>
      <c r="X15" t="s">
        <v>54</v>
      </c>
    </row>
    <row r="16" spans="1:24" x14ac:dyDescent="0.3">
      <c r="A16">
        <v>25.995999999999999</v>
      </c>
      <c r="B16">
        <v>25</v>
      </c>
      <c r="C16">
        <v>25</v>
      </c>
      <c r="D16">
        <f>50/(A16+A17)</f>
        <v>0.95704953114143476</v>
      </c>
      <c r="E16">
        <f>50/(B16+B17)</f>
        <v>0.99377894381173848</v>
      </c>
      <c r="F16">
        <f>50/(C16+C17)</f>
        <v>1</v>
      </c>
      <c r="G16">
        <f>(A17-A16)/D16</f>
        <v>0.26320476820000277</v>
      </c>
      <c r="H16">
        <f>(B17-B16)/E16</f>
        <v>0.31495937999999885</v>
      </c>
      <c r="I16">
        <f>(C17-C16)/F16</f>
        <v>0</v>
      </c>
      <c r="J16" s="1">
        <f>(G16-G$12)^2*D16</f>
        <v>6.5021955562582751E-2</v>
      </c>
      <c r="K16" s="1">
        <f t="shared" ref="J16:L79" si="15">(H16-H$12)^2*E16</f>
        <v>9.8582285939999278E-2</v>
      </c>
      <c r="L16" s="1">
        <f t="shared" si="15"/>
        <v>1.2037062152420224E-35</v>
      </c>
      <c r="N16" s="1">
        <f>(A16-A$12)^2</f>
        <v>1.5517220987604865</v>
      </c>
      <c r="O16" s="1">
        <f t="shared" ref="O16:P31" si="16">(B16-B$12)^2</f>
        <v>0.53514673552487257</v>
      </c>
      <c r="P16" s="1">
        <f t="shared" si="16"/>
        <v>0.31592152199762574</v>
      </c>
      <c r="R16" s="1">
        <f>(G16-G$12)^2</f>
        <v>6.7940010884320334E-2</v>
      </c>
      <c r="S16" s="1">
        <f t="shared" ref="S16:T31" si="17">(H16-H$12)^2</f>
        <v>9.9199411049983671E-2</v>
      </c>
      <c r="T16" s="1">
        <f t="shared" si="17"/>
        <v>1.2037062152420224E-35</v>
      </c>
      <c r="V16">
        <v>25.995999999999999</v>
      </c>
      <c r="W16">
        <v>25</v>
      </c>
      <c r="X16">
        <v>25</v>
      </c>
    </row>
    <row r="17" spans="1:24" x14ac:dyDescent="0.3">
      <c r="A17">
        <v>26.247900000000001</v>
      </c>
      <c r="B17">
        <v>25.312999999999999</v>
      </c>
      <c r="C17">
        <v>25</v>
      </c>
      <c r="D17">
        <f t="shared" ref="D17:F80" si="18">50/(A17+A18)</f>
        <v>0.94594850256352048</v>
      </c>
      <c r="E17">
        <f t="shared" si="18"/>
        <v>0.98163748912836479</v>
      </c>
      <c r="F17">
        <f t="shared" si="18"/>
        <v>1</v>
      </c>
      <c r="G17">
        <f t="shared" ref="G17:I80" si="19">(A18-A17)/D17</f>
        <v>0.38183896800000017</v>
      </c>
      <c r="H17">
        <f t="shared" si="19"/>
        <v>0.31508576580000036</v>
      </c>
      <c r="I17">
        <f t="shared" si="19"/>
        <v>0</v>
      </c>
      <c r="J17" s="1">
        <f t="shared" si="15"/>
        <v>0.13608303114743125</v>
      </c>
      <c r="K17" s="1">
        <f t="shared" si="15"/>
        <v>9.7456027361940228E-2</v>
      </c>
      <c r="L17" s="1">
        <f t="shared" si="15"/>
        <v>1.2037062152420224E-35</v>
      </c>
      <c r="N17" s="1">
        <f t="shared" ref="N17:P80" si="20">(A17-A$12)^2</f>
        <v>2.2427499876570387</v>
      </c>
      <c r="O17" s="1">
        <f t="shared" si="16"/>
        <v>0.1751734224214162</v>
      </c>
      <c r="P17" s="1">
        <f t="shared" si="16"/>
        <v>0.31592152199762574</v>
      </c>
      <c r="R17" s="1">
        <f t="shared" ref="R17:T80" si="21">(G17-G$12)^2</f>
        <v>0.14385881554719548</v>
      </c>
      <c r="S17" s="1">
        <f t="shared" si="17"/>
        <v>9.9279039809772679E-2</v>
      </c>
      <c r="T17" s="1">
        <f t="shared" si="17"/>
        <v>1.2037062152420224E-35</v>
      </c>
      <c r="V17">
        <v>26.247900000000001</v>
      </c>
      <c r="W17">
        <v>25.312999999999999</v>
      </c>
      <c r="X17">
        <v>25</v>
      </c>
    </row>
    <row r="18" spans="1:24" x14ac:dyDescent="0.3">
      <c r="A18">
        <v>26.609100000000002</v>
      </c>
      <c r="B18">
        <v>25.622299999999999</v>
      </c>
      <c r="C18">
        <v>25</v>
      </c>
      <c r="D18">
        <f t="shared" si="18"/>
        <v>0.93304471150257517</v>
      </c>
      <c r="E18">
        <f t="shared" si="18"/>
        <v>0.96993022321974154</v>
      </c>
      <c r="F18">
        <f t="shared" si="18"/>
        <v>1</v>
      </c>
      <c r="G18">
        <f t="shared" si="19"/>
        <v>0.39633684799999774</v>
      </c>
      <c r="H18">
        <f t="shared" si="19"/>
        <v>0.31497111100000219</v>
      </c>
      <c r="I18">
        <f t="shared" si="19"/>
        <v>0</v>
      </c>
      <c r="J18" s="1">
        <f t="shared" si="15"/>
        <v>0.14468418867051558</v>
      </c>
      <c r="K18" s="1">
        <f t="shared" si="15"/>
        <v>9.6223674410501336E-2</v>
      </c>
      <c r="L18" s="1">
        <f t="shared" si="15"/>
        <v>1.2037062152420224E-35</v>
      </c>
      <c r="N18" s="1">
        <f t="shared" si="20"/>
        <v>3.4550682160708237</v>
      </c>
      <c r="O18" s="1">
        <f t="shared" si="16"/>
        <v>1.1932774904165059E-2</v>
      </c>
      <c r="P18" s="1">
        <f t="shared" si="16"/>
        <v>0.31592152199762574</v>
      </c>
      <c r="R18" s="1">
        <f t="shared" si="21"/>
        <v>0.15506672604951177</v>
      </c>
      <c r="S18" s="1">
        <f t="shared" si="17"/>
        <v>9.9206800764575706E-2</v>
      </c>
      <c r="T18" s="1">
        <f t="shared" si="17"/>
        <v>1.2037062152420224E-35</v>
      </c>
      <c r="V18">
        <v>26.609100000000002</v>
      </c>
      <c r="W18">
        <v>25.622299999999999</v>
      </c>
      <c r="X18">
        <v>25</v>
      </c>
    </row>
    <row r="19" spans="1:24" x14ac:dyDescent="0.3">
      <c r="A19">
        <v>26.978899999999999</v>
      </c>
      <c r="B19">
        <v>25.927800000000001</v>
      </c>
      <c r="C19">
        <v>25</v>
      </c>
      <c r="D19">
        <f t="shared" si="18"/>
        <v>0.92071196815073164</v>
      </c>
      <c r="E19">
        <f t="shared" si="18"/>
        <v>0.95863306593861675</v>
      </c>
      <c r="F19">
        <f t="shared" si="18"/>
        <v>1</v>
      </c>
      <c r="G19">
        <f t="shared" si="19"/>
        <v>0.37796836799999889</v>
      </c>
      <c r="H19">
        <f t="shared" si="19"/>
        <v>0.31503190399999959</v>
      </c>
      <c r="I19">
        <f t="shared" si="19"/>
        <v>0</v>
      </c>
      <c r="J19" s="1">
        <f t="shared" si="15"/>
        <v>0.12976298908865486</v>
      </c>
      <c r="K19" s="1">
        <f t="shared" si="15"/>
        <v>9.513963500799974E-2</v>
      </c>
      <c r="L19" s="1">
        <f t="shared" si="15"/>
        <v>1.2037062152420224E-35</v>
      </c>
      <c r="N19" s="1">
        <f t="shared" si="20"/>
        <v>4.9665749642087365</v>
      </c>
      <c r="O19" s="1">
        <f t="shared" si="16"/>
        <v>3.8519070421397905E-2</v>
      </c>
      <c r="P19" s="1">
        <f t="shared" si="16"/>
        <v>0.31592152199762574</v>
      </c>
      <c r="R19" s="1">
        <f t="shared" si="21"/>
        <v>0.14093765865701344</v>
      </c>
      <c r="S19" s="1">
        <f t="shared" si="17"/>
        <v>9.924510053786495E-2</v>
      </c>
      <c r="T19" s="1">
        <f t="shared" si="17"/>
        <v>1.2037062152420224E-35</v>
      </c>
      <c r="V19">
        <v>26.978899999999999</v>
      </c>
      <c r="W19">
        <v>25.927800000000001</v>
      </c>
      <c r="X19">
        <v>25</v>
      </c>
    </row>
    <row r="20" spans="1:24" x14ac:dyDescent="0.3">
      <c r="A20">
        <v>27.326899999999998</v>
      </c>
      <c r="B20">
        <v>26.229800000000001</v>
      </c>
      <c r="C20">
        <v>25</v>
      </c>
      <c r="D20">
        <f t="shared" si="18"/>
        <v>0.9147021912605694</v>
      </c>
      <c r="E20">
        <f t="shared" si="18"/>
        <v>0.95003211108535468</v>
      </c>
      <c r="F20">
        <f t="shared" si="18"/>
        <v>1</v>
      </c>
      <c r="G20">
        <f t="shared" si="19"/>
        <v>9.620617600000882E-3</v>
      </c>
      <c r="H20">
        <f t="shared" si="19"/>
        <v>0.17915183919999755</v>
      </c>
      <c r="I20">
        <f t="shared" si="19"/>
        <v>0</v>
      </c>
      <c r="J20" s="1">
        <f t="shared" si="15"/>
        <v>4.5707024187520931E-5</v>
      </c>
      <c r="K20" s="1">
        <f t="shared" si="15"/>
        <v>3.0491643031839169E-2</v>
      </c>
      <c r="L20" s="1">
        <f t="shared" si="15"/>
        <v>1.2037062152420224E-35</v>
      </c>
      <c r="N20" s="1">
        <f t="shared" si="20"/>
        <v>6.6387716042087215</v>
      </c>
      <c r="O20" s="1">
        <f t="shared" si="16"/>
        <v>0.24826577662828608</v>
      </c>
      <c r="P20" s="1">
        <f t="shared" si="16"/>
        <v>0.31592152199762574</v>
      </c>
      <c r="R20" s="1">
        <f t="shared" si="21"/>
        <v>4.9969295607055634E-5</v>
      </c>
      <c r="S20" s="1">
        <f t="shared" si="17"/>
        <v>3.2095381488741782E-2</v>
      </c>
      <c r="T20" s="1">
        <f t="shared" si="17"/>
        <v>1.2037062152420224E-35</v>
      </c>
      <c r="V20">
        <v>27.326899999999998</v>
      </c>
      <c r="W20">
        <v>26.229800000000001</v>
      </c>
      <c r="X20">
        <v>25</v>
      </c>
    </row>
    <row r="21" spans="1:24" x14ac:dyDescent="0.3">
      <c r="A21">
        <v>27.335699999999999</v>
      </c>
      <c r="B21">
        <v>26.4</v>
      </c>
      <c r="C21">
        <v>25</v>
      </c>
      <c r="D21">
        <f t="shared" si="18"/>
        <v>0.91914806004610439</v>
      </c>
      <c r="E21">
        <f t="shared" si="18"/>
        <v>0.94517958412098302</v>
      </c>
      <c r="F21">
        <f t="shared" si="18"/>
        <v>1</v>
      </c>
      <c r="G21">
        <f t="shared" si="19"/>
        <v>-0.29723176479999919</v>
      </c>
      <c r="H21">
        <f t="shared" si="19"/>
        <v>0.1058000000000015</v>
      </c>
      <c r="I21">
        <f t="shared" si="19"/>
        <v>0</v>
      </c>
      <c r="J21" s="1">
        <f t="shared" si="15"/>
        <v>8.2603963465969529E-2</v>
      </c>
      <c r="K21" s="1">
        <f t="shared" si="15"/>
        <v>1.0580000000000301E-2</v>
      </c>
      <c r="L21" s="1">
        <f t="shared" si="15"/>
        <v>1.2037062152420224E-35</v>
      </c>
      <c r="N21" s="1">
        <f t="shared" si="20"/>
        <v>6.684196876484588</v>
      </c>
      <c r="O21" s="1">
        <f t="shared" si="16"/>
        <v>0.44684245966276109</v>
      </c>
      <c r="P21" s="1">
        <f t="shared" si="16"/>
        <v>0.31592152199762574</v>
      </c>
      <c r="R21" s="1">
        <f t="shared" si="21"/>
        <v>8.9870138508290079E-2</v>
      </c>
      <c r="S21" s="1">
        <f t="shared" si="17"/>
        <v>1.1193640000000319E-2</v>
      </c>
      <c r="T21" s="1">
        <f t="shared" si="17"/>
        <v>1.2037062152420224E-35</v>
      </c>
      <c r="V21">
        <v>27.335699999999999</v>
      </c>
      <c r="W21">
        <v>26.4</v>
      </c>
      <c r="X21">
        <v>25</v>
      </c>
    </row>
    <row r="22" spans="1:24" x14ac:dyDescent="0.3">
      <c r="A22">
        <v>27.0625</v>
      </c>
      <c r="B22">
        <v>26.5</v>
      </c>
      <c r="C22">
        <v>25</v>
      </c>
      <c r="D22">
        <f t="shared" si="18"/>
        <v>0.93136752693980573</v>
      </c>
      <c r="E22">
        <f t="shared" si="18"/>
        <v>0.94696969696969702</v>
      </c>
      <c r="F22">
        <f t="shared" si="18"/>
        <v>0.99403578528827041</v>
      </c>
      <c r="G22">
        <f t="shared" si="19"/>
        <v>-0.47296044500000012</v>
      </c>
      <c r="H22">
        <f t="shared" si="19"/>
        <v>-0.21119999999999925</v>
      </c>
      <c r="I22">
        <f t="shared" si="19"/>
        <v>0.30180000000000068</v>
      </c>
      <c r="J22" s="1">
        <f t="shared" si="15"/>
        <v>0.21059320683974683</v>
      </c>
      <c r="K22" s="1">
        <f t="shared" si="15"/>
        <v>4.2239999999999701E-2</v>
      </c>
      <c r="L22" s="1">
        <f t="shared" si="15"/>
        <v>9.0540000000000412E-2</v>
      </c>
      <c r="N22" s="1">
        <f t="shared" si="20"/>
        <v>5.346182730829427</v>
      </c>
      <c r="O22" s="1">
        <f t="shared" si="16"/>
        <v>0.59053501138689801</v>
      </c>
      <c r="P22" s="1">
        <f t="shared" si="16"/>
        <v>0.31592152199762574</v>
      </c>
      <c r="R22" s="1">
        <f t="shared" si="21"/>
        <v>0.22611182025176776</v>
      </c>
      <c r="S22" s="1">
        <f t="shared" si="17"/>
        <v>4.4605439999999684E-2</v>
      </c>
      <c r="T22" s="1">
        <f t="shared" si="17"/>
        <v>9.1083240000000412E-2</v>
      </c>
      <c r="V22">
        <v>27.0625</v>
      </c>
      <c r="W22">
        <v>26.5</v>
      </c>
      <c r="X22">
        <v>25</v>
      </c>
    </row>
    <row r="23" spans="1:24" x14ac:dyDescent="0.3">
      <c r="A23">
        <v>26.622</v>
      </c>
      <c r="B23">
        <v>26.3</v>
      </c>
      <c r="C23">
        <v>25.3</v>
      </c>
      <c r="D23">
        <f t="shared" si="18"/>
        <v>0.94469741341848201</v>
      </c>
      <c r="E23">
        <f t="shared" si="18"/>
        <v>0.95057034220532322</v>
      </c>
      <c r="F23">
        <f t="shared" si="18"/>
        <v>0.99403578528827041</v>
      </c>
      <c r="G23">
        <f t="shared" si="19"/>
        <v>-0.33555718000000018</v>
      </c>
      <c r="H23">
        <f t="shared" si="19"/>
        <v>0</v>
      </c>
      <c r="I23">
        <f t="shared" si="19"/>
        <v>-0.30180000000000068</v>
      </c>
      <c r="J23" s="1">
        <f t="shared" si="15"/>
        <v>0.10799556852313789</v>
      </c>
      <c r="K23" s="1">
        <f t="shared" si="15"/>
        <v>7.945884923175582E-36</v>
      </c>
      <c r="L23" s="1">
        <f t="shared" si="15"/>
        <v>9.0540000000000412E-2</v>
      </c>
      <c r="N23" s="1">
        <f t="shared" si="20"/>
        <v>3.5031911856570241</v>
      </c>
      <c r="O23" s="1">
        <f t="shared" si="16"/>
        <v>0.3231499079386288</v>
      </c>
      <c r="P23" s="1">
        <f t="shared" si="16"/>
        <v>6.8680142687278484E-2</v>
      </c>
      <c r="R23" s="1">
        <f t="shared" si="21"/>
        <v>0.11431762910448239</v>
      </c>
      <c r="S23" s="1">
        <f t="shared" si="17"/>
        <v>8.3590709391807122E-36</v>
      </c>
      <c r="T23" s="1">
        <f t="shared" si="17"/>
        <v>9.1083240000000412E-2</v>
      </c>
      <c r="V23">
        <v>26.622</v>
      </c>
      <c r="W23">
        <v>26.3</v>
      </c>
      <c r="X23">
        <v>25.3</v>
      </c>
    </row>
    <row r="24" spans="1:24" x14ac:dyDescent="0.3">
      <c r="A24">
        <v>26.305</v>
      </c>
      <c r="B24">
        <v>26.3</v>
      </c>
      <c r="C24">
        <v>25</v>
      </c>
      <c r="D24">
        <f t="shared" si="18"/>
        <v>0.9538271360004883</v>
      </c>
      <c r="E24">
        <f t="shared" si="18"/>
        <v>0.94876660341555974</v>
      </c>
      <c r="F24">
        <f t="shared" si="18"/>
        <v>0.99403578528827041</v>
      </c>
      <c r="G24">
        <f t="shared" si="19"/>
        <v>-0.19877815679999861</v>
      </c>
      <c r="H24">
        <f t="shared" si="19"/>
        <v>0.10539999999999776</v>
      </c>
      <c r="I24">
        <f t="shared" si="19"/>
        <v>0.30180000000000068</v>
      </c>
      <c r="J24" s="1">
        <f t="shared" si="15"/>
        <v>3.8662161864109493E-2</v>
      </c>
      <c r="K24" s="1">
        <f t="shared" si="15"/>
        <v>1.0539999999999551E-2</v>
      </c>
      <c r="L24" s="1">
        <f t="shared" si="15"/>
        <v>9.0540000000000412E-2</v>
      </c>
      <c r="N24" s="1">
        <f t="shared" si="20"/>
        <v>2.4170341911742739</v>
      </c>
      <c r="O24" s="1">
        <f t="shared" si="16"/>
        <v>0.3231499079386288</v>
      </c>
      <c r="P24" s="1">
        <f t="shared" si="16"/>
        <v>0.31592152199762574</v>
      </c>
      <c r="R24" s="1">
        <f t="shared" si="21"/>
        <v>4.053371979562731E-2</v>
      </c>
      <c r="S24" s="1">
        <f t="shared" si="17"/>
        <v>1.1109159999999528E-2</v>
      </c>
      <c r="T24" s="1">
        <f t="shared" si="17"/>
        <v>9.1083240000000412E-2</v>
      </c>
      <c r="V24">
        <v>26.305</v>
      </c>
      <c r="W24">
        <v>26.3</v>
      </c>
      <c r="X24">
        <v>25</v>
      </c>
    </row>
    <row r="25" spans="1:24" x14ac:dyDescent="0.3">
      <c r="A25">
        <v>26.115400000000001</v>
      </c>
      <c r="B25">
        <v>26.4</v>
      </c>
      <c r="C25">
        <v>25.3</v>
      </c>
      <c r="D25">
        <f t="shared" si="18"/>
        <v>0.95405645724491395</v>
      </c>
      <c r="E25">
        <f t="shared" si="18"/>
        <v>0.94517958412098302</v>
      </c>
      <c r="F25">
        <f t="shared" si="18"/>
        <v>0.98231827111984271</v>
      </c>
      <c r="G25">
        <f t="shared" si="19"/>
        <v>0.18552361199999959</v>
      </c>
      <c r="H25">
        <f t="shared" si="19"/>
        <v>0.1058000000000015</v>
      </c>
      <c r="I25">
        <f t="shared" si="19"/>
        <v>0.30540000000000078</v>
      </c>
      <c r="J25" s="1">
        <f t="shared" si="15"/>
        <v>3.1940582131505031E-2</v>
      </c>
      <c r="K25" s="1">
        <f t="shared" si="15"/>
        <v>1.0580000000000301E-2</v>
      </c>
      <c r="L25" s="1">
        <f t="shared" si="15"/>
        <v>9.1620000000000451E-2</v>
      </c>
      <c r="N25" s="1">
        <f t="shared" si="20"/>
        <v>1.8634471721397998</v>
      </c>
      <c r="O25" s="1">
        <f t="shared" si="16"/>
        <v>0.44684245966276109</v>
      </c>
      <c r="P25" s="1">
        <f t="shared" si="16"/>
        <v>6.8680142687278484E-2</v>
      </c>
      <c r="R25" s="1">
        <f t="shared" si="21"/>
        <v>3.3478712804629787E-2</v>
      </c>
      <c r="S25" s="1">
        <f t="shared" si="17"/>
        <v>1.1193640000000319E-2</v>
      </c>
      <c r="T25" s="1">
        <f t="shared" si="17"/>
        <v>9.3269160000000476E-2</v>
      </c>
      <c r="V25">
        <v>26.115400000000001</v>
      </c>
      <c r="W25">
        <v>26.4</v>
      </c>
      <c r="X25">
        <v>25.3</v>
      </c>
    </row>
    <row r="26" spans="1:24" x14ac:dyDescent="0.3">
      <c r="A26">
        <v>26.292400000000001</v>
      </c>
      <c r="B26">
        <v>26.5</v>
      </c>
      <c r="C26">
        <v>25.6</v>
      </c>
      <c r="D26">
        <f t="shared" si="18"/>
        <v>0.9482825654457212</v>
      </c>
      <c r="E26">
        <f t="shared" si="18"/>
        <v>0.94161958568738224</v>
      </c>
      <c r="F26">
        <f t="shared" si="18"/>
        <v>0.98039215686274506</v>
      </c>
      <c r="G26">
        <f t="shared" si="19"/>
        <v>0.14984984979999919</v>
      </c>
      <c r="H26">
        <f t="shared" si="19"/>
        <v>0.10620000000000152</v>
      </c>
      <c r="I26">
        <f t="shared" si="19"/>
        <v>-0.2040000000000029</v>
      </c>
      <c r="J26" s="1">
        <f t="shared" si="15"/>
        <v>2.0574639011901028E-2</v>
      </c>
      <c r="K26" s="1">
        <f t="shared" si="15"/>
        <v>1.0620000000000303E-2</v>
      </c>
      <c r="L26" s="1">
        <f t="shared" si="15"/>
        <v>4.0800000000001162E-2</v>
      </c>
      <c r="N26" s="1">
        <f t="shared" si="20"/>
        <v>2.3780149804156561</v>
      </c>
      <c r="O26" s="1">
        <f t="shared" si="16"/>
        <v>0.59053501138689801</v>
      </c>
      <c r="P26" s="1">
        <f t="shared" si="16"/>
        <v>1.4387633769320693E-3</v>
      </c>
      <c r="R26" s="1">
        <f t="shared" si="21"/>
        <v>2.1696738674332087E-2</v>
      </c>
      <c r="S26" s="1">
        <f t="shared" si="17"/>
        <v>1.1278440000000322E-2</v>
      </c>
      <c r="T26" s="1">
        <f t="shared" si="17"/>
        <v>4.1616000000001187E-2</v>
      </c>
      <c r="V26">
        <v>26.292400000000001</v>
      </c>
      <c r="W26">
        <v>26.5</v>
      </c>
      <c r="X26">
        <v>25.6</v>
      </c>
    </row>
    <row r="27" spans="1:24" x14ac:dyDescent="0.3">
      <c r="A27">
        <v>26.4345</v>
      </c>
      <c r="B27">
        <v>26.6</v>
      </c>
      <c r="C27">
        <v>25.4</v>
      </c>
      <c r="D27">
        <f t="shared" si="18"/>
        <v>0.95164320231744148</v>
      </c>
      <c r="E27">
        <f t="shared" si="18"/>
        <v>0.93808630393996251</v>
      </c>
      <c r="F27">
        <f t="shared" si="18"/>
        <v>0.98814229249011865</v>
      </c>
      <c r="G27">
        <f t="shared" si="19"/>
        <v>-0.34498223619999863</v>
      </c>
      <c r="H27">
        <f t="shared" si="19"/>
        <v>0.10659999999999772</v>
      </c>
      <c r="I27">
        <f t="shared" si="19"/>
        <v>-0.20239999999999927</v>
      </c>
      <c r="J27" s="1">
        <f t="shared" si="15"/>
        <v>0.1149393247338325</v>
      </c>
      <c r="K27" s="1">
        <f t="shared" si="15"/>
        <v>1.0659999999999545E-2</v>
      </c>
      <c r="L27" s="1">
        <f t="shared" si="15"/>
        <v>4.0479999999999711E-2</v>
      </c>
      <c r="N27" s="1">
        <f t="shared" si="20"/>
        <v>2.8364669184156499</v>
      </c>
      <c r="O27" s="1">
        <f t="shared" si="16"/>
        <v>0.75422756311103556</v>
      </c>
      <c r="P27" s="1">
        <f t="shared" si="16"/>
        <v>2.6266349583830357E-2</v>
      </c>
      <c r="R27" s="1">
        <f t="shared" si="21"/>
        <v>0.12077985158085748</v>
      </c>
      <c r="S27" s="1">
        <f t="shared" si="17"/>
        <v>1.1363559999999514E-2</v>
      </c>
      <c r="T27" s="1">
        <f t="shared" si="17"/>
        <v>4.0965759999999705E-2</v>
      </c>
      <c r="V27">
        <v>26.4345</v>
      </c>
      <c r="W27">
        <v>26.6</v>
      </c>
      <c r="X27">
        <v>25.4</v>
      </c>
    </row>
    <row r="28" spans="1:24" x14ac:dyDescent="0.3">
      <c r="A28">
        <v>26.106200000000001</v>
      </c>
      <c r="B28">
        <v>26.7</v>
      </c>
      <c r="C28">
        <v>25.2</v>
      </c>
      <c r="D28">
        <f t="shared" si="18"/>
        <v>0.96438897279072955</v>
      </c>
      <c r="E28">
        <f t="shared" si="18"/>
        <v>0.93457943925233644</v>
      </c>
      <c r="F28">
        <f t="shared" si="18"/>
        <v>0.98619329388560151</v>
      </c>
      <c r="G28">
        <f t="shared" si="19"/>
        <v>-0.37961860859999941</v>
      </c>
      <c r="H28">
        <f t="shared" si="19"/>
        <v>0.10700000000000152</v>
      </c>
      <c r="I28">
        <f t="shared" si="19"/>
        <v>0.30420000000000075</v>
      </c>
      <c r="J28" s="1">
        <f t="shared" si="15"/>
        <v>0.14085302231563041</v>
      </c>
      <c r="K28" s="1">
        <f t="shared" si="15"/>
        <v>1.0700000000000305E-2</v>
      </c>
      <c r="L28" s="1">
        <f t="shared" si="15"/>
        <v>9.1260000000000438E-2</v>
      </c>
      <c r="N28" s="1">
        <f t="shared" si="20"/>
        <v>1.8384143147604901</v>
      </c>
      <c r="O28" s="1">
        <f t="shared" si="16"/>
        <v>0.93792011483516669</v>
      </c>
      <c r="P28" s="1">
        <f t="shared" si="16"/>
        <v>0.13109393579072834</v>
      </c>
      <c r="R28" s="1">
        <f t="shared" si="21"/>
        <v>0.14605416101765736</v>
      </c>
      <c r="S28" s="1">
        <f t="shared" si="17"/>
        <v>1.1449000000000327E-2</v>
      </c>
      <c r="T28" s="1">
        <f t="shared" si="17"/>
        <v>9.2537640000000448E-2</v>
      </c>
      <c r="V28">
        <v>26.106200000000001</v>
      </c>
      <c r="W28">
        <v>26.7</v>
      </c>
      <c r="X28">
        <v>25.2</v>
      </c>
    </row>
    <row r="29" spans="1:24" x14ac:dyDescent="0.3">
      <c r="A29">
        <v>25.740100000000002</v>
      </c>
      <c r="B29">
        <v>26.8</v>
      </c>
      <c r="C29">
        <v>25.5</v>
      </c>
      <c r="D29">
        <f t="shared" si="18"/>
        <v>0.97437586354060901</v>
      </c>
      <c r="E29">
        <f t="shared" si="18"/>
        <v>0.93109869646182486</v>
      </c>
      <c r="F29">
        <f t="shared" si="18"/>
        <v>0.98039215686274506</v>
      </c>
      <c r="G29">
        <f t="shared" si="19"/>
        <v>-0.16964705940000208</v>
      </c>
      <c r="H29">
        <f t="shared" si="19"/>
        <v>0.10739999999999772</v>
      </c>
      <c r="I29">
        <f t="shared" si="19"/>
        <v>0</v>
      </c>
      <c r="J29" s="1">
        <f t="shared" si="15"/>
        <v>2.8892602399446871E-2</v>
      </c>
      <c r="K29" s="1">
        <f t="shared" si="15"/>
        <v>1.0739999999999543E-2</v>
      </c>
      <c r="L29" s="1">
        <f t="shared" si="15"/>
        <v>1.180104132590218E-35</v>
      </c>
      <c r="N29" s="1">
        <f t="shared" si="20"/>
        <v>0.97966717882946563</v>
      </c>
      <c r="O29" s="1">
        <f t="shared" si="16"/>
        <v>1.1416126665593047</v>
      </c>
      <c r="P29" s="1">
        <f t="shared" si="16"/>
        <v>3.8525564803809282E-3</v>
      </c>
      <c r="R29" s="1">
        <f t="shared" si="21"/>
        <v>2.9652420057347528E-2</v>
      </c>
      <c r="S29" s="1">
        <f t="shared" si="17"/>
        <v>1.1534759999999511E-2</v>
      </c>
      <c r="T29" s="1">
        <f t="shared" si="17"/>
        <v>1.2037062152420224E-35</v>
      </c>
      <c r="V29">
        <v>25.740100000000002</v>
      </c>
      <c r="W29">
        <v>26.8</v>
      </c>
      <c r="X29">
        <v>25.5</v>
      </c>
    </row>
    <row r="30" spans="1:24" x14ac:dyDescent="0.3">
      <c r="A30">
        <v>25.5748</v>
      </c>
      <c r="B30">
        <v>26.9</v>
      </c>
      <c r="C30">
        <v>25.5</v>
      </c>
      <c r="D30">
        <f t="shared" si="18"/>
        <v>0.98050174235159626</v>
      </c>
      <c r="E30">
        <f t="shared" si="18"/>
        <v>0.927643784786642</v>
      </c>
      <c r="F30">
        <f t="shared" si="18"/>
        <v>0.98425196850393704</v>
      </c>
      <c r="G30">
        <f t="shared" si="19"/>
        <v>-0.15838829580000044</v>
      </c>
      <c r="H30">
        <f t="shared" si="19"/>
        <v>0.10780000000000152</v>
      </c>
      <c r="I30">
        <f t="shared" si="19"/>
        <v>-0.20319999999999927</v>
      </c>
      <c r="J30" s="1">
        <f t="shared" si="15"/>
        <v>2.5396651280686699E-2</v>
      </c>
      <c r="K30" s="1">
        <f t="shared" si="15"/>
        <v>1.0780000000000305E-2</v>
      </c>
      <c r="L30" s="1">
        <f t="shared" si="15"/>
        <v>4.0639999999999704E-2</v>
      </c>
      <c r="N30" s="1">
        <f t="shared" si="20"/>
        <v>0.67976954482946617</v>
      </c>
      <c r="O30" s="1">
        <f t="shared" si="16"/>
        <v>1.3653052182834349</v>
      </c>
      <c r="P30" s="1">
        <f t="shared" si="16"/>
        <v>3.8525564803809282E-3</v>
      </c>
      <c r="R30" s="1">
        <f t="shared" si="21"/>
        <v>2.590168908805443E-2</v>
      </c>
      <c r="S30" s="1">
        <f t="shared" si="17"/>
        <v>1.1620840000000328E-2</v>
      </c>
      <c r="T30" s="1">
        <f t="shared" si="17"/>
        <v>4.1290239999999701E-2</v>
      </c>
      <c r="V30">
        <v>25.5748</v>
      </c>
      <c r="W30">
        <v>26.9</v>
      </c>
      <c r="X30">
        <v>25.5</v>
      </c>
    </row>
    <row r="31" spans="1:24" x14ac:dyDescent="0.3">
      <c r="A31">
        <v>25.419499999999999</v>
      </c>
      <c r="B31">
        <v>27</v>
      </c>
      <c r="C31">
        <v>25.3</v>
      </c>
      <c r="D31">
        <f t="shared" si="18"/>
        <v>0.98883799669332573</v>
      </c>
      <c r="E31">
        <f t="shared" si="18"/>
        <v>0.92421441774491675</v>
      </c>
      <c r="F31">
        <f t="shared" si="18"/>
        <v>0.99206349206349198</v>
      </c>
      <c r="G31">
        <f t="shared" si="19"/>
        <v>-0.27769968479999951</v>
      </c>
      <c r="H31">
        <f t="shared" si="19"/>
        <v>0.10820000000000154</v>
      </c>
      <c r="I31">
        <f t="shared" si="19"/>
        <v>-0.20159999999999931</v>
      </c>
      <c r="J31" s="1">
        <f t="shared" si="15"/>
        <v>7.7664177358973616E-2</v>
      </c>
      <c r="K31" s="1">
        <f t="shared" si="15"/>
        <v>1.0820000000000307E-2</v>
      </c>
      <c r="L31" s="1">
        <f t="shared" si="15"/>
        <v>4.0319999999999724E-2</v>
      </c>
      <c r="N31" s="1">
        <f t="shared" si="20"/>
        <v>0.44780371841567673</v>
      </c>
      <c r="O31" s="1">
        <f t="shared" si="16"/>
        <v>1.6089977700075733</v>
      </c>
      <c r="P31" s="1">
        <f t="shared" si="16"/>
        <v>6.8680142687278484E-2</v>
      </c>
      <c r="R31" s="1">
        <f t="shared" si="21"/>
        <v>7.8540850593001713E-2</v>
      </c>
      <c r="S31" s="1">
        <f t="shared" si="17"/>
        <v>1.1707240000000334E-2</v>
      </c>
      <c r="T31" s="1">
        <f t="shared" si="17"/>
        <v>4.0642559999999724E-2</v>
      </c>
      <c r="V31">
        <v>25.419499999999999</v>
      </c>
      <c r="W31">
        <v>27</v>
      </c>
      <c r="X31">
        <v>25.3</v>
      </c>
    </row>
    <row r="32" spans="1:24" x14ac:dyDescent="0.3">
      <c r="A32">
        <v>25.1449</v>
      </c>
      <c r="B32">
        <v>27.1</v>
      </c>
      <c r="C32">
        <v>25.1</v>
      </c>
      <c r="D32">
        <f t="shared" si="18"/>
        <v>0.99657576566916062</v>
      </c>
      <c r="E32">
        <f t="shared" si="18"/>
        <v>0.92081031307550654</v>
      </c>
      <c r="F32">
        <f t="shared" si="18"/>
        <v>0.99800399201596801</v>
      </c>
      <c r="G32">
        <f t="shared" si="19"/>
        <v>-0.11840544799999857</v>
      </c>
      <c r="H32">
        <f t="shared" si="19"/>
        <v>0.10859999999999767</v>
      </c>
      <c r="I32">
        <f t="shared" si="19"/>
        <v>-0.10020000000000143</v>
      </c>
      <c r="J32" s="1">
        <f t="shared" si="15"/>
        <v>1.4580538064184263E-2</v>
      </c>
      <c r="K32" s="1">
        <f t="shared" si="15"/>
        <v>1.0859999999999535E-2</v>
      </c>
      <c r="L32" s="1">
        <f t="shared" si="15"/>
        <v>1.0020000000000286E-2</v>
      </c>
      <c r="N32" s="1">
        <f t="shared" si="20"/>
        <v>0.15569446489844349</v>
      </c>
      <c r="O32" s="1">
        <f t="shared" si="20"/>
        <v>1.8726903217317121</v>
      </c>
      <c r="P32" s="1">
        <f t="shared" si="20"/>
        <v>0.21350772889417549</v>
      </c>
      <c r="R32" s="1">
        <f t="shared" si="21"/>
        <v>1.4630636792972803E-2</v>
      </c>
      <c r="S32" s="1">
        <f t="shared" si="21"/>
        <v>1.1793959999999494E-2</v>
      </c>
      <c r="T32" s="1">
        <f t="shared" si="21"/>
        <v>1.0040040000000286E-2</v>
      </c>
      <c r="V32">
        <v>25.1449</v>
      </c>
      <c r="W32">
        <v>27.1</v>
      </c>
      <c r="X32">
        <v>25.1</v>
      </c>
    </row>
    <row r="33" spans="1:24" x14ac:dyDescent="0.3">
      <c r="A33">
        <v>25.026900000000001</v>
      </c>
      <c r="B33">
        <v>27.2</v>
      </c>
      <c r="C33">
        <v>25</v>
      </c>
      <c r="D33">
        <f t="shared" si="18"/>
        <v>1.0059046603562913</v>
      </c>
      <c r="E33">
        <f t="shared" si="18"/>
        <v>0.92250922509225086</v>
      </c>
      <c r="F33">
        <f t="shared" si="18"/>
        <v>0.99800399201596801</v>
      </c>
      <c r="G33">
        <f t="shared" si="19"/>
        <v>-0.34526134900000066</v>
      </c>
      <c r="H33">
        <f t="shared" si="19"/>
        <v>-0.21679999999999924</v>
      </c>
      <c r="I33">
        <f t="shared" si="19"/>
        <v>0.10020000000000143</v>
      </c>
      <c r="J33" s="1">
        <f t="shared" si="15"/>
        <v>0.12168824181619295</v>
      </c>
      <c r="K33" s="1">
        <f t="shared" si="15"/>
        <v>4.3359999999999697E-2</v>
      </c>
      <c r="L33" s="1">
        <f t="shared" si="15"/>
        <v>1.0020000000000286E-2</v>
      </c>
      <c r="N33" s="1">
        <f t="shared" si="20"/>
        <v>7.649725938120612E-2</v>
      </c>
      <c r="O33" s="1">
        <f t="shared" si="20"/>
        <v>2.1563828734558412</v>
      </c>
      <c r="P33" s="1">
        <f t="shared" si="20"/>
        <v>0.31592152199762574</v>
      </c>
      <c r="R33" s="1">
        <f t="shared" si="21"/>
        <v>0.12097393183673191</v>
      </c>
      <c r="S33" s="1">
        <f t="shared" si="21"/>
        <v>4.7002239999999675E-2</v>
      </c>
      <c r="T33" s="1">
        <f t="shared" si="21"/>
        <v>1.0040040000000286E-2</v>
      </c>
      <c r="V33">
        <v>25.026900000000001</v>
      </c>
      <c r="W33">
        <v>27.2</v>
      </c>
      <c r="X33">
        <v>25</v>
      </c>
    </row>
    <row r="34" spans="1:24" x14ac:dyDescent="0.3">
      <c r="A34">
        <v>24.679600000000001</v>
      </c>
      <c r="B34">
        <v>27</v>
      </c>
      <c r="C34">
        <v>25.1</v>
      </c>
      <c r="D34">
        <f t="shared" si="18"/>
        <v>1.0247728590957814</v>
      </c>
      <c r="E34">
        <f t="shared" si="18"/>
        <v>0.92421441774491675</v>
      </c>
      <c r="F34">
        <f t="shared" si="18"/>
        <v>0.99601593625497997</v>
      </c>
      <c r="G34">
        <f t="shared" si="19"/>
        <v>-0.55417158540000155</v>
      </c>
      <c r="H34">
        <f t="shared" si="19"/>
        <v>0.10820000000000154</v>
      </c>
      <c r="I34">
        <f t="shared" si="19"/>
        <v>0</v>
      </c>
      <c r="J34" s="1">
        <f t="shared" si="15"/>
        <v>0.31761896092880465</v>
      </c>
      <c r="K34" s="1">
        <f t="shared" si="15"/>
        <v>1.0820000000000307E-2</v>
      </c>
      <c r="L34" s="1">
        <f t="shared" si="15"/>
        <v>1.1989105729502214E-35</v>
      </c>
      <c r="N34" s="1">
        <f t="shared" si="20"/>
        <v>5.0011233122491307E-3</v>
      </c>
      <c r="O34" s="1">
        <f t="shared" si="20"/>
        <v>1.6089977700075733</v>
      </c>
      <c r="P34" s="1">
        <f t="shared" si="20"/>
        <v>0.21350772889417549</v>
      </c>
      <c r="R34" s="1">
        <f t="shared" si="21"/>
        <v>0.30994084016731172</v>
      </c>
      <c r="S34" s="1">
        <f t="shared" si="21"/>
        <v>1.1707240000000334E-2</v>
      </c>
      <c r="T34" s="1">
        <f t="shared" si="21"/>
        <v>1.2037062152420224E-35</v>
      </c>
      <c r="V34">
        <v>24.679600000000001</v>
      </c>
      <c r="W34">
        <v>27</v>
      </c>
      <c r="X34">
        <v>25.1</v>
      </c>
    </row>
    <row r="35" spans="1:24" x14ac:dyDescent="0.3">
      <c r="A35">
        <v>24.111699999999999</v>
      </c>
      <c r="B35">
        <v>27.1</v>
      </c>
      <c r="C35">
        <v>25.1</v>
      </c>
      <c r="D35">
        <f t="shared" si="18"/>
        <v>1.042663713843029</v>
      </c>
      <c r="E35">
        <f t="shared" si="18"/>
        <v>0.92081031307550654</v>
      </c>
      <c r="F35">
        <f t="shared" si="18"/>
        <v>0.99403578528827041</v>
      </c>
      <c r="G35">
        <f t="shared" si="19"/>
        <v>-0.25828078259999776</v>
      </c>
      <c r="H35">
        <f t="shared" si="19"/>
        <v>0.10859999999999767</v>
      </c>
      <c r="I35">
        <f t="shared" si="19"/>
        <v>0.10059999999999786</v>
      </c>
      <c r="J35" s="1">
        <f t="shared" si="15"/>
        <v>7.0936160896210243E-2</v>
      </c>
      <c r="K35" s="1">
        <f t="shared" si="15"/>
        <v>1.0859999999999535E-2</v>
      </c>
      <c r="L35" s="1">
        <f t="shared" si="15"/>
        <v>1.0059999999999571E-2</v>
      </c>
      <c r="N35" s="1">
        <f t="shared" si="20"/>
        <v>0.40783374269157607</v>
      </c>
      <c r="O35" s="1">
        <f t="shared" si="20"/>
        <v>1.8726903217317121</v>
      </c>
      <c r="P35" s="1">
        <f t="shared" si="20"/>
        <v>0.21350772889417549</v>
      </c>
      <c r="R35" s="1">
        <f t="shared" si="21"/>
        <v>6.8033595064659114E-2</v>
      </c>
      <c r="S35" s="1">
        <f t="shared" si="21"/>
        <v>1.1793959999999494E-2</v>
      </c>
      <c r="T35" s="1">
        <f t="shared" si="21"/>
        <v>1.0120359999999568E-2</v>
      </c>
      <c r="V35">
        <v>24.111699999999999</v>
      </c>
      <c r="W35">
        <v>27.1</v>
      </c>
      <c r="X35">
        <v>25.1</v>
      </c>
    </row>
    <row r="36" spans="1:24" x14ac:dyDescent="0.3">
      <c r="A36">
        <v>23.842400000000001</v>
      </c>
      <c r="B36">
        <v>27.2</v>
      </c>
      <c r="C36">
        <v>25.2</v>
      </c>
      <c r="D36">
        <f t="shared" si="18"/>
        <v>1.0528931397694583</v>
      </c>
      <c r="E36">
        <f t="shared" si="18"/>
        <v>0.92250922509225086</v>
      </c>
      <c r="F36">
        <f t="shared" si="18"/>
        <v>0.99403578528827041</v>
      </c>
      <c r="G36">
        <f t="shared" si="19"/>
        <v>-0.18672360240000013</v>
      </c>
      <c r="H36">
        <f t="shared" si="19"/>
        <v>-0.21679999999999924</v>
      </c>
      <c r="I36">
        <f t="shared" si="19"/>
        <v>-0.10059999999999786</v>
      </c>
      <c r="J36" s="1">
        <f t="shared" si="15"/>
        <v>3.7720052710791617E-2</v>
      </c>
      <c r="K36" s="1">
        <f t="shared" si="15"/>
        <v>4.3359999999999697E-2</v>
      </c>
      <c r="L36" s="1">
        <f t="shared" si="15"/>
        <v>1.0059999999999571E-2</v>
      </c>
      <c r="N36" s="1">
        <f t="shared" si="20"/>
        <v>0.82431622179502784</v>
      </c>
      <c r="O36" s="1">
        <f t="shared" si="20"/>
        <v>2.1563828734558412</v>
      </c>
      <c r="P36" s="1">
        <f t="shared" si="20"/>
        <v>0.13109393579072834</v>
      </c>
      <c r="R36" s="1">
        <f t="shared" si="21"/>
        <v>3.5825148142812298E-2</v>
      </c>
      <c r="S36" s="1">
        <f t="shared" si="21"/>
        <v>4.7002239999999675E-2</v>
      </c>
      <c r="T36" s="1">
        <f t="shared" si="21"/>
        <v>1.0120359999999568E-2</v>
      </c>
      <c r="V36">
        <v>23.842400000000001</v>
      </c>
      <c r="W36">
        <v>27.2</v>
      </c>
      <c r="X36">
        <v>25.2</v>
      </c>
    </row>
    <row r="37" spans="1:24" x14ac:dyDescent="0.3">
      <c r="A37">
        <v>23.645800000000001</v>
      </c>
      <c r="B37">
        <v>27</v>
      </c>
      <c r="C37">
        <v>25.1</v>
      </c>
      <c r="D37">
        <f t="shared" si="18"/>
        <v>1.062597626156903</v>
      </c>
      <c r="E37">
        <f t="shared" si="18"/>
        <v>0.92421441774491675</v>
      </c>
      <c r="F37">
        <f t="shared" si="18"/>
        <v>0.99800399201596801</v>
      </c>
      <c r="G37">
        <f t="shared" si="19"/>
        <v>-0.22313243900000157</v>
      </c>
      <c r="H37">
        <f t="shared" si="19"/>
        <v>0.10820000000000154</v>
      </c>
      <c r="I37">
        <f t="shared" si="19"/>
        <v>-0.10020000000000143</v>
      </c>
      <c r="J37" s="1">
        <f t="shared" si="15"/>
        <v>5.4121646375743425E-2</v>
      </c>
      <c r="K37" s="1">
        <f t="shared" si="15"/>
        <v>1.0820000000000307E-2</v>
      </c>
      <c r="L37" s="1">
        <f t="shared" si="15"/>
        <v>1.0020000000000286E-2</v>
      </c>
      <c r="N37" s="1">
        <f t="shared" si="20"/>
        <v>1.2199613834502052</v>
      </c>
      <c r="O37" s="1">
        <f t="shared" si="20"/>
        <v>1.6089977700075733</v>
      </c>
      <c r="P37" s="1">
        <f t="shared" si="20"/>
        <v>0.21350772889417549</v>
      </c>
      <c r="R37" s="1">
        <f t="shared" si="21"/>
        <v>5.0933340187748387E-2</v>
      </c>
      <c r="S37" s="1">
        <f t="shared" si="21"/>
        <v>1.1707240000000334E-2</v>
      </c>
      <c r="T37" s="1">
        <f t="shared" si="21"/>
        <v>1.0040040000000286E-2</v>
      </c>
      <c r="V37">
        <v>23.645800000000001</v>
      </c>
      <c r="W37">
        <v>27</v>
      </c>
      <c r="X37">
        <v>25.1</v>
      </c>
    </row>
    <row r="38" spans="1:24" x14ac:dyDescent="0.3">
      <c r="A38">
        <v>23.4087</v>
      </c>
      <c r="B38">
        <v>27.1</v>
      </c>
      <c r="C38">
        <v>25</v>
      </c>
      <c r="D38">
        <f t="shared" si="18"/>
        <v>1.0705789905296583</v>
      </c>
      <c r="E38">
        <f t="shared" si="18"/>
        <v>0.92081031307550654</v>
      </c>
      <c r="F38">
        <f t="shared" si="18"/>
        <v>1</v>
      </c>
      <c r="G38">
        <f t="shared" si="19"/>
        <v>-0.10620421379999805</v>
      </c>
      <c r="H38">
        <f t="shared" si="19"/>
        <v>0.10859999999999767</v>
      </c>
      <c r="I38">
        <f t="shared" si="19"/>
        <v>0</v>
      </c>
      <c r="J38" s="1">
        <f t="shared" si="15"/>
        <v>1.2662651362311121E-2</v>
      </c>
      <c r="K38" s="1">
        <f t="shared" si="15"/>
        <v>1.0859999999999535E-2</v>
      </c>
      <c r="L38" s="1">
        <f t="shared" si="15"/>
        <v>1.2037062152420224E-35</v>
      </c>
      <c r="N38" s="1">
        <f t="shared" si="20"/>
        <v>1.7999405233812498</v>
      </c>
      <c r="O38" s="1">
        <f t="shared" si="20"/>
        <v>1.8726903217317121</v>
      </c>
      <c r="P38" s="1">
        <f t="shared" si="20"/>
        <v>0.31592152199762574</v>
      </c>
      <c r="R38" s="1">
        <f t="shared" si="21"/>
        <v>1.1827853408599397E-2</v>
      </c>
      <c r="S38" s="1">
        <f t="shared" si="21"/>
        <v>1.1793959999999494E-2</v>
      </c>
      <c r="T38" s="1">
        <f t="shared" si="21"/>
        <v>1.2037062152420224E-35</v>
      </c>
      <c r="V38">
        <v>23.4087</v>
      </c>
      <c r="W38">
        <v>27.1</v>
      </c>
      <c r="X38">
        <v>25</v>
      </c>
    </row>
    <row r="39" spans="1:24" x14ac:dyDescent="0.3">
      <c r="A39">
        <v>23.295000000000002</v>
      </c>
      <c r="B39">
        <v>27.2</v>
      </c>
      <c r="C39">
        <v>25</v>
      </c>
      <c r="D39">
        <f t="shared" si="18"/>
        <v>1.0637754667846748</v>
      </c>
      <c r="E39">
        <f t="shared" si="18"/>
        <v>0.91743119266055051</v>
      </c>
      <c r="F39">
        <f t="shared" si="18"/>
        <v>1</v>
      </c>
      <c r="G39">
        <f t="shared" si="19"/>
        <v>0.38767579519999823</v>
      </c>
      <c r="H39">
        <f t="shared" si="19"/>
        <v>0.10900000000000154</v>
      </c>
      <c r="I39">
        <f t="shared" si="19"/>
        <v>0</v>
      </c>
      <c r="J39" s="1">
        <f t="shared" si="15"/>
        <v>0.15777976479482289</v>
      </c>
      <c r="K39" s="1">
        <f t="shared" si="15"/>
        <v>1.0900000000000309E-2</v>
      </c>
      <c r="L39" s="1">
        <f t="shared" si="15"/>
        <v>1.2037062152420224E-35</v>
      </c>
      <c r="N39" s="1">
        <f t="shared" si="20"/>
        <v>2.1179522877260744</v>
      </c>
      <c r="O39" s="1">
        <f t="shared" si="20"/>
        <v>2.1563828734558412</v>
      </c>
      <c r="P39" s="1">
        <f t="shared" si="20"/>
        <v>0.31592152199762574</v>
      </c>
      <c r="R39" s="1">
        <f t="shared" si="21"/>
        <v>0.14832055233584368</v>
      </c>
      <c r="S39" s="1">
        <f t="shared" si="21"/>
        <v>1.1881000000000336E-2</v>
      </c>
      <c r="T39" s="1">
        <f t="shared" si="21"/>
        <v>1.2037062152420224E-35</v>
      </c>
      <c r="V39">
        <v>23.295000000000002</v>
      </c>
      <c r="W39">
        <v>27.2</v>
      </c>
      <c r="X39">
        <v>25</v>
      </c>
    </row>
    <row r="40" spans="1:24" x14ac:dyDescent="0.3">
      <c r="A40">
        <v>23.7074</v>
      </c>
      <c r="B40">
        <v>27.3</v>
      </c>
      <c r="C40">
        <v>25</v>
      </c>
      <c r="D40">
        <f t="shared" si="18"/>
        <v>1.0431901589613164</v>
      </c>
      <c r="E40">
        <f t="shared" si="18"/>
        <v>0.91743119266055051</v>
      </c>
      <c r="F40">
        <f t="shared" si="18"/>
        <v>1</v>
      </c>
      <c r="G40">
        <f t="shared" si="19"/>
        <v>0.49377382980000034</v>
      </c>
      <c r="H40">
        <f t="shared" si="19"/>
        <v>-0.10900000000000154</v>
      </c>
      <c r="I40">
        <f t="shared" si="19"/>
        <v>0</v>
      </c>
      <c r="J40" s="1">
        <f t="shared" si="15"/>
        <v>0.25172090900284405</v>
      </c>
      <c r="K40" s="1">
        <f t="shared" si="15"/>
        <v>1.0900000000000309E-2</v>
      </c>
      <c r="L40" s="1">
        <f t="shared" si="15"/>
        <v>1.2037062152420224E-35</v>
      </c>
      <c r="N40" s="1">
        <f t="shared" si="20"/>
        <v>1.0876792493812413</v>
      </c>
      <c r="O40" s="1">
        <f t="shared" si="20"/>
        <v>2.4600754251799803</v>
      </c>
      <c r="P40" s="1">
        <f t="shared" si="20"/>
        <v>0.31592152199762574</v>
      </c>
      <c r="R40" s="1">
        <f t="shared" si="21"/>
        <v>0.2412991599283083</v>
      </c>
      <c r="S40" s="1">
        <f t="shared" si="21"/>
        <v>1.1881000000000336E-2</v>
      </c>
      <c r="T40" s="1">
        <f t="shared" si="21"/>
        <v>1.2037062152420224E-35</v>
      </c>
      <c r="V40">
        <v>23.7074</v>
      </c>
      <c r="W40">
        <v>27.3</v>
      </c>
      <c r="X40">
        <v>25</v>
      </c>
    </row>
    <row r="41" spans="1:24" x14ac:dyDescent="0.3">
      <c r="A41">
        <v>24.2225</v>
      </c>
      <c r="B41">
        <v>27.2</v>
      </c>
      <c r="C41">
        <v>25</v>
      </c>
      <c r="D41">
        <f t="shared" si="18"/>
        <v>1.0208623428382424</v>
      </c>
      <c r="E41">
        <f t="shared" si="18"/>
        <v>0.92081031307550654</v>
      </c>
      <c r="F41">
        <f t="shared" si="18"/>
        <v>1</v>
      </c>
      <c r="G41">
        <f t="shared" si="19"/>
        <v>0.52230352480000075</v>
      </c>
      <c r="H41">
        <f t="shared" si="19"/>
        <v>-0.10859999999999767</v>
      </c>
      <c r="I41">
        <f t="shared" si="19"/>
        <v>0</v>
      </c>
      <c r="J41" s="1">
        <f t="shared" si="15"/>
        <v>0.27577773100428205</v>
      </c>
      <c r="K41" s="1">
        <f t="shared" si="15"/>
        <v>1.0859999999999535E-2</v>
      </c>
      <c r="L41" s="1">
        <f t="shared" si="15"/>
        <v>1.2037062152420224E-35</v>
      </c>
      <c r="N41" s="1">
        <f t="shared" si="20"/>
        <v>0.2785924963467441</v>
      </c>
      <c r="O41" s="1">
        <f t="shared" si="20"/>
        <v>2.1563828734558412</v>
      </c>
      <c r="P41" s="1">
        <f t="shared" si="20"/>
        <v>0.31592152199762574</v>
      </c>
      <c r="R41" s="1">
        <f t="shared" si="21"/>
        <v>0.27014193729347852</v>
      </c>
      <c r="S41" s="1">
        <f t="shared" si="21"/>
        <v>1.1793959999999494E-2</v>
      </c>
      <c r="T41" s="1">
        <f t="shared" si="21"/>
        <v>1.2037062152420224E-35</v>
      </c>
      <c r="V41">
        <v>24.2225</v>
      </c>
      <c r="W41">
        <v>27.2</v>
      </c>
      <c r="X41">
        <v>25</v>
      </c>
    </row>
    <row r="42" spans="1:24" x14ac:dyDescent="0.3">
      <c r="A42">
        <v>24.755700000000001</v>
      </c>
      <c r="B42">
        <v>27.1</v>
      </c>
      <c r="C42">
        <v>25</v>
      </c>
      <c r="D42">
        <f t="shared" si="18"/>
        <v>0.99753807602836198</v>
      </c>
      <c r="E42">
        <f t="shared" si="18"/>
        <v>0.92081031307550654</v>
      </c>
      <c r="F42">
        <f t="shared" si="18"/>
        <v>1</v>
      </c>
      <c r="G42">
        <f t="shared" si="19"/>
        <v>0.61351041599999834</v>
      </c>
      <c r="H42">
        <f t="shared" si="19"/>
        <v>0.10859999999999767</v>
      </c>
      <c r="I42">
        <f t="shared" si="19"/>
        <v>0</v>
      </c>
      <c r="J42" s="1">
        <f t="shared" si="15"/>
        <v>0.372351563033056</v>
      </c>
      <c r="K42" s="1">
        <f t="shared" si="15"/>
        <v>1.0859999999999535E-2</v>
      </c>
      <c r="L42" s="1">
        <f t="shared" si="15"/>
        <v>1.2037062152420224E-35</v>
      </c>
      <c r="N42" s="1">
        <f t="shared" si="20"/>
        <v>2.8959243281672915E-5</v>
      </c>
      <c r="O42" s="1">
        <f t="shared" si="20"/>
        <v>1.8726903217317121</v>
      </c>
      <c r="P42" s="1">
        <f t="shared" si="20"/>
        <v>0.31592152199762574</v>
      </c>
      <c r="R42" s="1">
        <f t="shared" si="21"/>
        <v>0.37327052669062161</v>
      </c>
      <c r="S42" s="1">
        <f t="shared" si="21"/>
        <v>1.1793959999999494E-2</v>
      </c>
      <c r="T42" s="1">
        <f t="shared" si="21"/>
        <v>1.2037062152420224E-35</v>
      </c>
      <c r="V42">
        <v>24.755700000000001</v>
      </c>
      <c r="W42">
        <v>27.1</v>
      </c>
      <c r="X42">
        <v>25</v>
      </c>
    </row>
    <row r="43" spans="1:24" x14ac:dyDescent="0.3">
      <c r="A43">
        <v>25.367699999999999</v>
      </c>
      <c r="B43">
        <v>27.2</v>
      </c>
      <c r="C43">
        <v>25</v>
      </c>
      <c r="D43">
        <f t="shared" si="18"/>
        <v>0.97567257989294909</v>
      </c>
      <c r="E43">
        <f t="shared" si="18"/>
        <v>0.91575091575091583</v>
      </c>
      <c r="F43">
        <f t="shared" si="18"/>
        <v>1</v>
      </c>
      <c r="G43">
        <f t="shared" si="19"/>
        <v>0.52404875420000219</v>
      </c>
      <c r="H43">
        <f t="shared" si="19"/>
        <v>0.21839999999999921</v>
      </c>
      <c r="I43">
        <f t="shared" si="19"/>
        <v>0</v>
      </c>
      <c r="J43" s="1">
        <f t="shared" si="15"/>
        <v>0.26534309075087331</v>
      </c>
      <c r="K43" s="1">
        <f t="shared" si="15"/>
        <v>4.3679999999999684E-2</v>
      </c>
      <c r="L43" s="1">
        <f t="shared" si="15"/>
        <v>1.2037062152420224E-35</v>
      </c>
      <c r="N43" s="1">
        <f t="shared" si="20"/>
        <v>0.38115976751912639</v>
      </c>
      <c r="O43" s="1">
        <f t="shared" si="20"/>
        <v>2.1563828734558412</v>
      </c>
      <c r="P43" s="1">
        <f t="shared" si="20"/>
        <v>0.31592152199762574</v>
      </c>
      <c r="R43" s="1">
        <f t="shared" si="21"/>
        <v>0.27195915537565563</v>
      </c>
      <c r="S43" s="1">
        <f t="shared" si="21"/>
        <v>4.7698559999999654E-2</v>
      </c>
      <c r="T43" s="1">
        <f t="shared" si="21"/>
        <v>1.2037062152420224E-35</v>
      </c>
      <c r="V43">
        <v>25.367699999999999</v>
      </c>
      <c r="W43">
        <v>27.2</v>
      </c>
      <c r="X43">
        <v>25</v>
      </c>
    </row>
    <row r="44" spans="1:24" x14ac:dyDescent="0.3">
      <c r="A44">
        <v>25.879000000000001</v>
      </c>
      <c r="B44">
        <v>27.4</v>
      </c>
      <c r="C44">
        <v>25</v>
      </c>
      <c r="D44">
        <f t="shared" si="18"/>
        <v>0.9705477577435152</v>
      </c>
      <c r="E44">
        <f t="shared" si="18"/>
        <v>0.90909090909090906</v>
      </c>
      <c r="F44">
        <f t="shared" si="18"/>
        <v>1</v>
      </c>
      <c r="G44">
        <f t="shared" si="19"/>
        <v>-0.2480042822000004</v>
      </c>
      <c r="H44">
        <f t="shared" si="19"/>
        <v>0.22000000000000314</v>
      </c>
      <c r="I44">
        <f t="shared" si="19"/>
        <v>0</v>
      </c>
      <c r="J44" s="1">
        <f t="shared" si="15"/>
        <v>6.0929348844792529E-2</v>
      </c>
      <c r="K44" s="1">
        <f t="shared" si="15"/>
        <v>4.4000000000001253E-2</v>
      </c>
      <c r="L44" s="1">
        <f t="shared" si="15"/>
        <v>1.2037062152420224E-35</v>
      </c>
      <c r="N44" s="1">
        <f t="shared" si="20"/>
        <v>1.2739216560018751</v>
      </c>
      <c r="O44" s="1">
        <f t="shared" si="20"/>
        <v>2.7837679769041084</v>
      </c>
      <c r="P44" s="1">
        <f t="shared" si="20"/>
        <v>0.31592152199762574</v>
      </c>
      <c r="R44" s="1">
        <f t="shared" si="21"/>
        <v>6.2778310864836609E-2</v>
      </c>
      <c r="S44" s="1">
        <f t="shared" si="21"/>
        <v>4.8400000000001379E-2</v>
      </c>
      <c r="T44" s="1">
        <f t="shared" si="21"/>
        <v>1.2037062152420224E-35</v>
      </c>
      <c r="V44">
        <v>25.879000000000001</v>
      </c>
      <c r="W44">
        <v>27.4</v>
      </c>
      <c r="X44">
        <v>25</v>
      </c>
    </row>
    <row r="45" spans="1:24" x14ac:dyDescent="0.3">
      <c r="A45">
        <v>25.638300000000001</v>
      </c>
      <c r="B45">
        <v>27.6</v>
      </c>
      <c r="C45">
        <v>25</v>
      </c>
      <c r="D45">
        <f t="shared" si="18"/>
        <v>0.97962958246227938</v>
      </c>
      <c r="E45">
        <f t="shared" si="18"/>
        <v>0.90285301552907182</v>
      </c>
      <c r="F45">
        <f t="shared" si="18"/>
        <v>1</v>
      </c>
      <c r="G45">
        <f t="shared" si="19"/>
        <v>-0.24182609860000215</v>
      </c>
      <c r="H45">
        <f t="shared" si="19"/>
        <v>0.19936799999999968</v>
      </c>
      <c r="I45">
        <f t="shared" si="19"/>
        <v>0</v>
      </c>
      <c r="J45" s="1">
        <f t="shared" si="15"/>
        <v>5.8503986930409181E-2</v>
      </c>
      <c r="K45" s="1">
        <f t="shared" si="15"/>
        <v>3.5886239999999882E-2</v>
      </c>
      <c r="L45" s="1">
        <f t="shared" si="15"/>
        <v>1.2037062152420224E-35</v>
      </c>
      <c r="N45" s="1">
        <f t="shared" si="20"/>
        <v>0.78851093000188044</v>
      </c>
      <c r="O45" s="1">
        <f t="shared" si="20"/>
        <v>3.4911530803523885</v>
      </c>
      <c r="P45" s="1">
        <f t="shared" si="20"/>
        <v>0.31592152199762574</v>
      </c>
      <c r="R45" s="1">
        <f t="shared" si="21"/>
        <v>5.9720518834640107E-2</v>
      </c>
      <c r="S45" s="1">
        <f t="shared" si="21"/>
        <v>3.9747599423999871E-2</v>
      </c>
      <c r="T45" s="1">
        <f t="shared" si="21"/>
        <v>1.2037062152420224E-35</v>
      </c>
      <c r="V45">
        <v>25.638300000000001</v>
      </c>
      <c r="W45">
        <v>27.6</v>
      </c>
      <c r="X45">
        <v>25</v>
      </c>
    </row>
    <row r="46" spans="1:24" x14ac:dyDescent="0.3">
      <c r="A46">
        <v>25.401399999999999</v>
      </c>
      <c r="B46">
        <v>27.78</v>
      </c>
      <c r="C46">
        <v>25</v>
      </c>
      <c r="D46">
        <f t="shared" si="18"/>
        <v>0.98207902200642672</v>
      </c>
      <c r="E46">
        <f t="shared" si="18"/>
        <v>0.90285301552907182</v>
      </c>
      <c r="F46">
        <f t="shared" si="18"/>
        <v>1</v>
      </c>
      <c r="G46">
        <f t="shared" si="19"/>
        <v>0.11159998080000037</v>
      </c>
      <c r="H46">
        <f t="shared" si="19"/>
        <v>-0.19936799999999968</v>
      </c>
      <c r="I46">
        <f t="shared" si="19"/>
        <v>0</v>
      </c>
      <c r="J46" s="1">
        <f t="shared" si="15"/>
        <v>1.1678415190488215E-2</v>
      </c>
      <c r="K46" s="1">
        <f t="shared" si="15"/>
        <v>3.5886239999999882E-2</v>
      </c>
      <c r="L46" s="1">
        <f t="shared" si="15"/>
        <v>1.2037062152420224E-35</v>
      </c>
      <c r="N46" s="1">
        <f t="shared" si="20"/>
        <v>0.42390696248464216</v>
      </c>
      <c r="O46" s="1">
        <f t="shared" si="20"/>
        <v>4.1961996734558307</v>
      </c>
      <c r="P46" s="1">
        <f t="shared" si="20"/>
        <v>0.31592152199762574</v>
      </c>
      <c r="R46" s="1">
        <f t="shared" si="21"/>
        <v>1.1891522910884245E-2</v>
      </c>
      <c r="S46" s="1">
        <f t="shared" si="21"/>
        <v>3.9747599423999871E-2</v>
      </c>
      <c r="T46" s="1">
        <f t="shared" si="21"/>
        <v>1.2037062152420224E-35</v>
      </c>
      <c r="V46">
        <v>25.401399999999999</v>
      </c>
      <c r="W46">
        <v>27.78</v>
      </c>
      <c r="X46">
        <v>25</v>
      </c>
    </row>
    <row r="47" spans="1:24" x14ac:dyDescent="0.3">
      <c r="A47">
        <v>25.510999999999999</v>
      </c>
      <c r="B47">
        <v>27.6</v>
      </c>
      <c r="C47">
        <v>25</v>
      </c>
      <c r="D47">
        <f t="shared" si="18"/>
        <v>0.97824959842853987</v>
      </c>
      <c r="E47">
        <f t="shared" si="18"/>
        <v>0.90909090909090906</v>
      </c>
      <c r="F47">
        <f t="shared" si="18"/>
        <v>1</v>
      </c>
      <c r="G47">
        <f t="shared" si="19"/>
        <v>9.1694389800000567E-2</v>
      </c>
      <c r="H47">
        <f t="shared" si="19"/>
        <v>-0.22000000000000314</v>
      </c>
      <c r="I47">
        <f t="shared" si="19"/>
        <v>0</v>
      </c>
      <c r="J47" s="1">
        <f t="shared" si="15"/>
        <v>7.7735776311639582E-3</v>
      </c>
      <c r="K47" s="1">
        <f t="shared" si="15"/>
        <v>4.4000000000001253E-2</v>
      </c>
      <c r="L47" s="1">
        <f t="shared" si="15"/>
        <v>1.2037062152420224E-35</v>
      </c>
      <c r="N47" s="1">
        <f t="shared" si="20"/>
        <v>0.57863616082946712</v>
      </c>
      <c r="O47" s="1">
        <f t="shared" si="20"/>
        <v>3.4911530803523885</v>
      </c>
      <c r="P47" s="1">
        <f t="shared" si="20"/>
        <v>0.31592152199762574</v>
      </c>
      <c r="R47" s="1">
        <f t="shared" si="21"/>
        <v>7.946415356215257E-3</v>
      </c>
      <c r="S47" s="1">
        <f t="shared" si="21"/>
        <v>4.8400000000001379E-2</v>
      </c>
      <c r="T47" s="1">
        <f t="shared" si="21"/>
        <v>1.2037062152420224E-35</v>
      </c>
      <c r="V47">
        <v>25.510999999999999</v>
      </c>
      <c r="W47">
        <v>27.6</v>
      </c>
      <c r="X47">
        <v>25</v>
      </c>
    </row>
    <row r="48" spans="1:24" x14ac:dyDescent="0.3">
      <c r="A48">
        <v>25.6007</v>
      </c>
      <c r="B48">
        <v>27.4</v>
      </c>
      <c r="C48">
        <v>25</v>
      </c>
      <c r="D48">
        <f t="shared" si="18"/>
        <v>0.98653770645767858</v>
      </c>
      <c r="E48">
        <f t="shared" si="18"/>
        <v>0.91575091575091583</v>
      </c>
      <c r="F48">
        <f t="shared" si="18"/>
        <v>1</v>
      </c>
      <c r="G48">
        <f t="shared" si="19"/>
        <v>-0.52618363859999806</v>
      </c>
      <c r="H48">
        <f t="shared" si="19"/>
        <v>-0.21839999999999921</v>
      </c>
      <c r="I48">
        <f t="shared" si="19"/>
        <v>0</v>
      </c>
      <c r="J48" s="1">
        <f t="shared" si="15"/>
        <v>0.27579754742356499</v>
      </c>
      <c r="K48" s="1">
        <f t="shared" si="15"/>
        <v>4.3679999999999684E-2</v>
      </c>
      <c r="L48" s="1">
        <f t="shared" si="15"/>
        <v>1.2037062152420224E-35</v>
      </c>
      <c r="N48" s="1">
        <f t="shared" si="20"/>
        <v>0.72314849027774142</v>
      </c>
      <c r="O48" s="1">
        <f t="shared" si="20"/>
        <v>2.7837679769041084</v>
      </c>
      <c r="P48" s="1">
        <f t="shared" si="20"/>
        <v>0.31592152199762574</v>
      </c>
      <c r="R48" s="1">
        <f t="shared" si="21"/>
        <v>0.27956108075570696</v>
      </c>
      <c r="S48" s="1">
        <f t="shared" si="21"/>
        <v>4.7698559999999654E-2</v>
      </c>
      <c r="T48" s="1">
        <f t="shared" si="21"/>
        <v>1.2037062152420224E-35</v>
      </c>
      <c r="V48">
        <v>25.6007</v>
      </c>
      <c r="W48">
        <v>27.4</v>
      </c>
      <c r="X48">
        <v>25</v>
      </c>
    </row>
    <row r="49" spans="1:24" x14ac:dyDescent="0.3">
      <c r="A49">
        <v>25.081600000000002</v>
      </c>
      <c r="B49">
        <v>27.2</v>
      </c>
      <c r="C49">
        <v>25</v>
      </c>
      <c r="D49">
        <f t="shared" si="18"/>
        <v>1.0052554756265757</v>
      </c>
      <c r="E49">
        <f t="shared" si="18"/>
        <v>0.92250922509225086</v>
      </c>
      <c r="F49">
        <f t="shared" si="18"/>
        <v>1</v>
      </c>
      <c r="G49">
        <f t="shared" si="19"/>
        <v>-0.42238019120000164</v>
      </c>
      <c r="H49">
        <f t="shared" si="19"/>
        <v>-0.21679999999999924</v>
      </c>
      <c r="I49">
        <f t="shared" si="19"/>
        <v>0</v>
      </c>
      <c r="J49" s="1">
        <f t="shared" si="15"/>
        <v>0.18151609637023949</v>
      </c>
      <c r="K49" s="1">
        <f t="shared" si="15"/>
        <v>4.3359999999999697E-2</v>
      </c>
      <c r="L49" s="1">
        <f t="shared" si="15"/>
        <v>1.2037062152420224E-35</v>
      </c>
      <c r="N49" s="1">
        <f t="shared" si="20"/>
        <v>0.10974735227775678</v>
      </c>
      <c r="O49" s="1">
        <f t="shared" si="20"/>
        <v>2.1563828734558412</v>
      </c>
      <c r="P49" s="1">
        <f t="shared" si="20"/>
        <v>0.31592152199762574</v>
      </c>
      <c r="R49" s="1">
        <f t="shared" si="21"/>
        <v>0.18056713021841589</v>
      </c>
      <c r="S49" s="1">
        <f t="shared" si="21"/>
        <v>4.7002239999999675E-2</v>
      </c>
      <c r="T49" s="1">
        <f t="shared" si="21"/>
        <v>1.2037062152420224E-35</v>
      </c>
      <c r="V49">
        <v>25.081600000000002</v>
      </c>
      <c r="W49">
        <v>27.2</v>
      </c>
      <c r="X49">
        <v>25</v>
      </c>
    </row>
    <row r="50" spans="1:24" x14ac:dyDescent="0.3">
      <c r="A50">
        <v>24.657</v>
      </c>
      <c r="B50">
        <v>27</v>
      </c>
      <c r="C50">
        <v>25</v>
      </c>
      <c r="D50">
        <f t="shared" si="18"/>
        <v>1.0205185458835344</v>
      </c>
      <c r="E50">
        <f t="shared" si="18"/>
        <v>0.92421441774491675</v>
      </c>
      <c r="F50">
        <f t="shared" si="18"/>
        <v>1</v>
      </c>
      <c r="G50">
        <f t="shared" si="19"/>
        <v>-0.31288015419999837</v>
      </c>
      <c r="H50">
        <f t="shared" si="19"/>
        <v>0.10820000000000154</v>
      </c>
      <c r="I50">
        <f t="shared" si="19"/>
        <v>0</v>
      </c>
      <c r="J50" s="1">
        <f t="shared" si="15"/>
        <v>0.10153880730967156</v>
      </c>
      <c r="K50" s="1">
        <f t="shared" si="15"/>
        <v>1.0820000000000307E-2</v>
      </c>
      <c r="L50" s="1">
        <f t="shared" si="15"/>
        <v>1.2037062152420224E-35</v>
      </c>
      <c r="N50" s="1">
        <f t="shared" si="20"/>
        <v>8.7083649674222375E-3</v>
      </c>
      <c r="O50" s="1">
        <f t="shared" si="20"/>
        <v>1.6089977700075733</v>
      </c>
      <c r="P50" s="1">
        <f t="shared" si="20"/>
        <v>0.31592152199762574</v>
      </c>
      <c r="R50" s="1">
        <f t="shared" si="21"/>
        <v>9.9497268049903304E-2</v>
      </c>
      <c r="S50" s="1">
        <f t="shared" si="21"/>
        <v>1.1707240000000334E-2</v>
      </c>
      <c r="T50" s="1">
        <f t="shared" si="21"/>
        <v>1.2037062152420224E-35</v>
      </c>
      <c r="V50">
        <v>24.657</v>
      </c>
      <c r="W50">
        <v>27</v>
      </c>
      <c r="X50">
        <v>25</v>
      </c>
    </row>
    <row r="51" spans="1:24" x14ac:dyDescent="0.3">
      <c r="A51">
        <v>24.337700000000002</v>
      </c>
      <c r="B51">
        <v>27.1</v>
      </c>
      <c r="C51">
        <v>25</v>
      </c>
      <c r="D51">
        <f t="shared" si="18"/>
        <v>1.03717870796574</v>
      </c>
      <c r="E51">
        <f t="shared" si="18"/>
        <v>0.92081031307550654</v>
      </c>
      <c r="F51">
        <f t="shared" si="18"/>
        <v>1</v>
      </c>
      <c r="G51">
        <f t="shared" si="19"/>
        <v>-0.4509348258000006</v>
      </c>
      <c r="H51">
        <f t="shared" si="19"/>
        <v>0.10859999999999767</v>
      </c>
      <c r="I51">
        <f t="shared" si="19"/>
        <v>0</v>
      </c>
      <c r="J51" s="1">
        <f t="shared" si="15"/>
        <v>0.21329585144627564</v>
      </c>
      <c r="K51" s="1">
        <f t="shared" si="15"/>
        <v>1.0859999999999535E-2</v>
      </c>
      <c r="L51" s="1">
        <f t="shared" si="15"/>
        <v>1.2037062152420224E-35</v>
      </c>
      <c r="N51" s="1">
        <f t="shared" si="20"/>
        <v>0.17025412613984323</v>
      </c>
      <c r="O51" s="1">
        <f t="shared" si="20"/>
        <v>1.8726903217317121</v>
      </c>
      <c r="P51" s="1">
        <f t="shared" si="20"/>
        <v>0.31592152199762574</v>
      </c>
      <c r="R51" s="1">
        <f t="shared" si="21"/>
        <v>0.20565004835533243</v>
      </c>
      <c r="S51" s="1">
        <f t="shared" si="21"/>
        <v>1.1793959999999494E-2</v>
      </c>
      <c r="T51" s="1">
        <f t="shared" si="21"/>
        <v>1.2037062152420224E-35</v>
      </c>
      <c r="V51">
        <v>24.337700000000002</v>
      </c>
      <c r="W51">
        <v>27.1</v>
      </c>
      <c r="X51">
        <v>25</v>
      </c>
    </row>
    <row r="52" spans="1:24" x14ac:dyDescent="0.3">
      <c r="A52">
        <v>23.87</v>
      </c>
      <c r="B52">
        <v>27.2</v>
      </c>
      <c r="C52">
        <v>25</v>
      </c>
      <c r="D52">
        <f t="shared" si="18"/>
        <v>1.0594297725192392</v>
      </c>
      <c r="E52">
        <f t="shared" si="18"/>
        <v>0.91743119266055051</v>
      </c>
      <c r="F52">
        <f t="shared" si="18"/>
        <v>0.99601593625497997</v>
      </c>
      <c r="G52">
        <f t="shared" si="19"/>
        <v>-0.5142388992000021</v>
      </c>
      <c r="H52">
        <f t="shared" si="19"/>
        <v>0.10900000000000154</v>
      </c>
      <c r="I52">
        <f t="shared" si="19"/>
        <v>0.20079999999999931</v>
      </c>
      <c r="J52" s="1">
        <f t="shared" si="15"/>
        <v>0.28294460600346877</v>
      </c>
      <c r="K52" s="1">
        <f t="shared" si="15"/>
        <v>1.0900000000000309E-2</v>
      </c>
      <c r="L52" s="1">
        <f t="shared" si="15"/>
        <v>4.0159999999999724E-2</v>
      </c>
      <c r="N52" s="1">
        <f t="shared" si="20"/>
        <v>0.77496087393295887</v>
      </c>
      <c r="O52" s="1">
        <f t="shared" si="20"/>
        <v>2.1563828734558412</v>
      </c>
      <c r="P52" s="1">
        <f t="shared" si="20"/>
        <v>0.31592152199762574</v>
      </c>
      <c r="R52" s="1">
        <f t="shared" si="21"/>
        <v>0.26707254538509817</v>
      </c>
      <c r="S52" s="1">
        <f t="shared" si="21"/>
        <v>1.1881000000000336E-2</v>
      </c>
      <c r="T52" s="1">
        <f t="shared" si="21"/>
        <v>4.0320639999999727E-2</v>
      </c>
      <c r="V52">
        <v>23.87</v>
      </c>
      <c r="W52">
        <v>27.2</v>
      </c>
      <c r="X52">
        <v>25</v>
      </c>
    </row>
    <row r="53" spans="1:24" x14ac:dyDescent="0.3">
      <c r="A53">
        <v>23.325199999999999</v>
      </c>
      <c r="B53">
        <v>27.3</v>
      </c>
      <c r="C53">
        <v>25.2</v>
      </c>
      <c r="D53">
        <f t="shared" si="18"/>
        <v>1.0834729207612914</v>
      </c>
      <c r="E53">
        <f t="shared" si="18"/>
        <v>0.91407678244972568</v>
      </c>
      <c r="F53">
        <f t="shared" si="18"/>
        <v>0.99009900990099009</v>
      </c>
      <c r="G53">
        <f t="shared" si="19"/>
        <v>-0.46378639499999791</v>
      </c>
      <c r="H53">
        <f t="shared" si="19"/>
        <v>0.10939999999999768</v>
      </c>
      <c r="I53">
        <f t="shared" si="19"/>
        <v>0.10100000000000144</v>
      </c>
      <c r="J53" s="1">
        <f t="shared" si="15"/>
        <v>0.23562419814075677</v>
      </c>
      <c r="K53" s="1">
        <f t="shared" si="15"/>
        <v>1.0939999999999535E-2</v>
      </c>
      <c r="L53" s="1">
        <f t="shared" si="15"/>
        <v>1.0100000000000288E-2</v>
      </c>
      <c r="N53" s="1">
        <f t="shared" si="20"/>
        <v>2.0309630830364269</v>
      </c>
      <c r="O53" s="1">
        <f t="shared" si="20"/>
        <v>2.4600754251799803</v>
      </c>
      <c r="P53" s="1">
        <f t="shared" si="20"/>
        <v>0.13109393579072834</v>
      </c>
      <c r="R53" s="1">
        <f t="shared" si="21"/>
        <v>0.2174712386675966</v>
      </c>
      <c r="S53" s="1">
        <f t="shared" si="21"/>
        <v>1.1968359999999493E-2</v>
      </c>
      <c r="T53" s="1">
        <f t="shared" si="21"/>
        <v>1.020100000000029E-2</v>
      </c>
      <c r="V53">
        <v>23.325199999999999</v>
      </c>
      <c r="W53">
        <v>27.3</v>
      </c>
      <c r="X53">
        <v>25.2</v>
      </c>
    </row>
    <row r="54" spans="1:24" x14ac:dyDescent="0.3">
      <c r="A54">
        <v>22.822700000000001</v>
      </c>
      <c r="B54">
        <v>27.4</v>
      </c>
      <c r="C54">
        <v>25.3</v>
      </c>
      <c r="D54">
        <f t="shared" si="18"/>
        <v>1.1098557409507912</v>
      </c>
      <c r="E54">
        <f t="shared" si="18"/>
        <v>0.91575091575091583</v>
      </c>
      <c r="F54">
        <f t="shared" si="18"/>
        <v>0.98814229249011853</v>
      </c>
      <c r="G54">
        <f t="shared" si="19"/>
        <v>-0.53565520100000008</v>
      </c>
      <c r="H54">
        <f t="shared" si="19"/>
        <v>-0.21839999999999921</v>
      </c>
      <c r="I54">
        <f t="shared" si="19"/>
        <v>0</v>
      </c>
      <c r="J54" s="1">
        <f t="shared" si="15"/>
        <v>0.32148824014372374</v>
      </c>
      <c r="K54" s="1">
        <f t="shared" si="15"/>
        <v>4.3679999999999684E-2</v>
      </c>
      <c r="L54" s="1">
        <f t="shared" si="15"/>
        <v>1.1894330190138561E-35</v>
      </c>
      <c r="N54" s="1">
        <f t="shared" si="20"/>
        <v>3.7157135468295364</v>
      </c>
      <c r="O54" s="1">
        <f t="shared" si="20"/>
        <v>2.7837679769041084</v>
      </c>
      <c r="P54" s="1">
        <f t="shared" si="20"/>
        <v>6.8680142687278484E-2</v>
      </c>
      <c r="R54" s="1">
        <f t="shared" si="21"/>
        <v>0.28966669115781768</v>
      </c>
      <c r="S54" s="1">
        <f t="shared" si="21"/>
        <v>4.7698559999999654E-2</v>
      </c>
      <c r="T54" s="1">
        <f t="shared" si="21"/>
        <v>1.2037062152420224E-35</v>
      </c>
      <c r="V54">
        <v>22.822700000000001</v>
      </c>
      <c r="W54">
        <v>27.4</v>
      </c>
      <c r="X54">
        <v>25.3</v>
      </c>
    </row>
    <row r="55" spans="1:24" x14ac:dyDescent="0.3">
      <c r="A55">
        <v>22.228200000000001</v>
      </c>
      <c r="B55">
        <v>27.2</v>
      </c>
      <c r="C55">
        <v>25.3</v>
      </c>
      <c r="D55">
        <f t="shared" si="18"/>
        <v>1.1357673585004238</v>
      </c>
      <c r="E55">
        <f t="shared" si="18"/>
        <v>0.92250922509225086</v>
      </c>
      <c r="F55">
        <f t="shared" si="18"/>
        <v>0.98814229249011853</v>
      </c>
      <c r="G55">
        <f t="shared" si="19"/>
        <v>-0.38150418460000229</v>
      </c>
      <c r="H55">
        <f t="shared" si="19"/>
        <v>-0.21679999999999924</v>
      </c>
      <c r="I55">
        <f t="shared" si="19"/>
        <v>0</v>
      </c>
      <c r="J55" s="1">
        <f t="shared" si="15"/>
        <v>0.1675244801232374</v>
      </c>
      <c r="K55" s="1">
        <f t="shared" si="15"/>
        <v>4.3359999999999697E-2</v>
      </c>
      <c r="L55" s="1">
        <f t="shared" si="15"/>
        <v>1.1894330190138561E-35</v>
      </c>
      <c r="N55" s="1">
        <f t="shared" si="20"/>
        <v>6.3610823368295506</v>
      </c>
      <c r="O55" s="1">
        <f t="shared" si="20"/>
        <v>2.1563828734558412</v>
      </c>
      <c r="P55" s="1">
        <f t="shared" si="20"/>
        <v>6.8680142687278484E-2</v>
      </c>
      <c r="R55" s="1">
        <f t="shared" si="21"/>
        <v>0.14749893881826584</v>
      </c>
      <c r="S55" s="1">
        <f t="shared" si="21"/>
        <v>4.7002239999999675E-2</v>
      </c>
      <c r="T55" s="1">
        <f t="shared" si="21"/>
        <v>1.2037062152420224E-35</v>
      </c>
      <c r="V55">
        <v>22.228200000000001</v>
      </c>
      <c r="W55">
        <v>27.2</v>
      </c>
      <c r="X55">
        <v>25.3</v>
      </c>
    </row>
    <row r="56" spans="1:24" x14ac:dyDescent="0.3">
      <c r="A56">
        <v>21.794899999999998</v>
      </c>
      <c r="B56">
        <v>27</v>
      </c>
      <c r="C56">
        <v>25.3</v>
      </c>
      <c r="D56">
        <f t="shared" si="18"/>
        <v>1.1539402443583862</v>
      </c>
      <c r="E56">
        <f t="shared" si="18"/>
        <v>0.92936802973977695</v>
      </c>
      <c r="F56">
        <f t="shared" si="18"/>
        <v>0.98619329388560151</v>
      </c>
      <c r="G56">
        <f t="shared" si="19"/>
        <v>-0.22531495999999826</v>
      </c>
      <c r="H56">
        <f t="shared" si="19"/>
        <v>-0.21519999999999923</v>
      </c>
      <c r="I56">
        <f t="shared" si="19"/>
        <v>0.10139999999999784</v>
      </c>
      <c r="J56" s="1">
        <f t="shared" si="15"/>
        <v>5.9916298279577E-2</v>
      </c>
      <c r="K56" s="1">
        <f t="shared" si="15"/>
        <v>4.303999999999969E-2</v>
      </c>
      <c r="L56" s="1">
        <f t="shared" si="15"/>
        <v>1.0139999999999568E-2</v>
      </c>
      <c r="N56" s="1">
        <f t="shared" si="20"/>
        <v>8.7344992235192329</v>
      </c>
      <c r="O56" s="1">
        <f t="shared" si="20"/>
        <v>1.6089977700075733</v>
      </c>
      <c r="P56" s="1">
        <f t="shared" si="20"/>
        <v>6.8680142687278484E-2</v>
      </c>
      <c r="R56" s="1">
        <f t="shared" si="21"/>
        <v>5.192322442388831E-2</v>
      </c>
      <c r="S56" s="1">
        <f t="shared" si="21"/>
        <v>4.6311039999999665E-2</v>
      </c>
      <c r="T56" s="1">
        <f t="shared" si="21"/>
        <v>1.0281959999999563E-2</v>
      </c>
      <c r="V56">
        <v>21.794899999999998</v>
      </c>
      <c r="W56">
        <v>27</v>
      </c>
      <c r="X56">
        <v>25.3</v>
      </c>
    </row>
    <row r="57" spans="1:24" x14ac:dyDescent="0.3">
      <c r="A57">
        <v>21.5349</v>
      </c>
      <c r="B57">
        <v>26.8</v>
      </c>
      <c r="C57">
        <v>25.4</v>
      </c>
      <c r="D57">
        <f t="shared" si="18"/>
        <v>1.1655364847885832</v>
      </c>
      <c r="E57">
        <f t="shared" si="18"/>
        <v>0.93632958801498123</v>
      </c>
      <c r="F57">
        <f t="shared" si="18"/>
        <v>0.9784735812133073</v>
      </c>
      <c r="G57">
        <f t="shared" si="19"/>
        <v>-0.14679935139999928</v>
      </c>
      <c r="H57">
        <f t="shared" si="19"/>
        <v>-0.21359999999999926</v>
      </c>
      <c r="I57">
        <f t="shared" si="19"/>
        <v>0.30660000000000071</v>
      </c>
      <c r="J57" s="1">
        <f t="shared" si="15"/>
        <v>2.5998157172251561E-2</v>
      </c>
      <c r="K57" s="1">
        <f t="shared" si="15"/>
        <v>4.2719999999999703E-2</v>
      </c>
      <c r="L57" s="1">
        <f t="shared" si="15"/>
        <v>9.1980000000000423E-2</v>
      </c>
      <c r="N57" s="1">
        <f t="shared" si="20"/>
        <v>10.338916906277849</v>
      </c>
      <c r="O57" s="1">
        <f t="shared" si="20"/>
        <v>1.1416126665593047</v>
      </c>
      <c r="P57" s="1">
        <f t="shared" si="20"/>
        <v>2.6266349583830357E-2</v>
      </c>
      <c r="R57" s="1">
        <f t="shared" si="21"/>
        <v>2.2305742901705363E-2</v>
      </c>
      <c r="S57" s="1">
        <f t="shared" si="21"/>
        <v>4.5624959999999687E-2</v>
      </c>
      <c r="T57" s="1">
        <f t="shared" si="21"/>
        <v>9.400356000000043E-2</v>
      </c>
      <c r="V57">
        <v>21.5349</v>
      </c>
      <c r="W57">
        <v>26.8</v>
      </c>
      <c r="X57">
        <v>25.4</v>
      </c>
    </row>
    <row r="58" spans="1:24" x14ac:dyDescent="0.3">
      <c r="A58">
        <v>21.363800000000001</v>
      </c>
      <c r="B58">
        <v>26.6</v>
      </c>
      <c r="C58">
        <v>25.7</v>
      </c>
      <c r="D58">
        <f t="shared" si="18"/>
        <v>1.1619287087021488</v>
      </c>
      <c r="E58">
        <f t="shared" si="18"/>
        <v>0.94339622641509435</v>
      </c>
      <c r="F58">
        <f t="shared" si="18"/>
        <v>0.970873786407767</v>
      </c>
      <c r="G58">
        <f t="shared" si="19"/>
        <v>0.26189214339999811</v>
      </c>
      <c r="H58">
        <f t="shared" si="19"/>
        <v>-0.21200000000000302</v>
      </c>
      <c r="I58">
        <f t="shared" si="19"/>
        <v>0.10300000000000147</v>
      </c>
      <c r="J58" s="1">
        <f t="shared" si="15"/>
        <v>7.8148367328585558E-2</v>
      </c>
      <c r="K58" s="1">
        <f t="shared" si="15"/>
        <v>4.2400000000001208E-2</v>
      </c>
      <c r="L58" s="1">
        <f t="shared" si="15"/>
        <v>1.0300000000000293E-2</v>
      </c>
      <c r="N58" s="1">
        <f t="shared" si="20"/>
        <v>11.468508368277847</v>
      </c>
      <c r="O58" s="1">
        <f t="shared" si="20"/>
        <v>0.75422756311103556</v>
      </c>
      <c r="P58" s="1">
        <f t="shared" si="20"/>
        <v>1.9024970273482798E-2</v>
      </c>
      <c r="R58" s="1">
        <f t="shared" si="21"/>
        <v>6.725745456093922E-2</v>
      </c>
      <c r="S58" s="1">
        <f t="shared" si="21"/>
        <v>4.4944000000001282E-2</v>
      </c>
      <c r="T58" s="1">
        <f t="shared" si="21"/>
        <v>1.0609000000000302E-2</v>
      </c>
      <c r="V58">
        <v>21.363800000000001</v>
      </c>
      <c r="W58">
        <v>26.6</v>
      </c>
      <c r="X58">
        <v>25.7</v>
      </c>
    </row>
    <row r="59" spans="1:24" x14ac:dyDescent="0.3">
      <c r="A59">
        <v>21.668099999999999</v>
      </c>
      <c r="B59">
        <v>26.4</v>
      </c>
      <c r="C59">
        <v>25.8</v>
      </c>
      <c r="D59">
        <f t="shared" si="18"/>
        <v>1.1468179243054297</v>
      </c>
      <c r="E59">
        <f t="shared" si="18"/>
        <v>0.95057034220532333</v>
      </c>
      <c r="F59">
        <f t="shared" si="18"/>
        <v>0.96711798839458407</v>
      </c>
      <c r="G59">
        <f t="shared" si="19"/>
        <v>0.22906862060000208</v>
      </c>
      <c r="H59">
        <f t="shared" si="19"/>
        <v>-0.21039999999999923</v>
      </c>
      <c r="I59">
        <f t="shared" si="19"/>
        <v>0.1033999999999978</v>
      </c>
      <c r="J59" s="1">
        <f t="shared" si="15"/>
        <v>5.8843119541019347E-2</v>
      </c>
      <c r="K59" s="1">
        <f t="shared" si="15"/>
        <v>4.2079999999999694E-2</v>
      </c>
      <c r="L59" s="1">
        <f t="shared" si="15"/>
        <v>1.033999999999956E-2</v>
      </c>
      <c r="N59" s="1">
        <f t="shared" si="20"/>
        <v>9.5000716257261288</v>
      </c>
      <c r="O59" s="1">
        <f t="shared" si="20"/>
        <v>0.44684245966276109</v>
      </c>
      <c r="P59" s="1">
        <f t="shared" si="20"/>
        <v>5.6611177170034367E-2</v>
      </c>
      <c r="R59" s="1">
        <f t="shared" si="21"/>
        <v>5.1309905691138968E-2</v>
      </c>
      <c r="S59" s="1">
        <f t="shared" si="21"/>
        <v>4.4268159999999675E-2</v>
      </c>
      <c r="T59" s="1">
        <f t="shared" si="21"/>
        <v>1.0691559999999545E-2</v>
      </c>
      <c r="V59">
        <v>21.668099999999999</v>
      </c>
      <c r="W59">
        <v>26.4</v>
      </c>
      <c r="X59">
        <v>25.8</v>
      </c>
    </row>
    <row r="60" spans="1:24" x14ac:dyDescent="0.3">
      <c r="A60">
        <v>21.930800000000001</v>
      </c>
      <c r="B60">
        <v>26.2</v>
      </c>
      <c r="C60">
        <v>25.9</v>
      </c>
      <c r="D60">
        <f t="shared" si="18"/>
        <v>1.1273702960474397</v>
      </c>
      <c r="E60">
        <f t="shared" si="18"/>
        <v>0.95785440613026818</v>
      </c>
      <c r="F60">
        <f t="shared" si="18"/>
        <v>0.95969289827255289</v>
      </c>
      <c r="G60">
        <f t="shared" si="19"/>
        <v>0.43410758799999988</v>
      </c>
      <c r="H60">
        <f t="shared" si="19"/>
        <v>-0.20879999999999926</v>
      </c>
      <c r="I60">
        <f t="shared" si="19"/>
        <v>0.31260000000000071</v>
      </c>
      <c r="J60" s="1">
        <f t="shared" si="15"/>
        <v>0.20996196943286916</v>
      </c>
      <c r="K60" s="1">
        <f t="shared" si="15"/>
        <v>4.1759999999999707E-2</v>
      </c>
      <c r="L60" s="1">
        <f t="shared" si="15"/>
        <v>9.3780000000000432E-2</v>
      </c>
      <c r="N60" s="1">
        <f t="shared" si="20"/>
        <v>7.9496852524157635</v>
      </c>
      <c r="O60" s="1">
        <f t="shared" si="20"/>
        <v>0.21945735621449228</v>
      </c>
      <c r="P60" s="1">
        <f t="shared" si="20"/>
        <v>0.1141973840665841</v>
      </c>
      <c r="R60" s="1">
        <f t="shared" si="21"/>
        <v>0.18624046612634362</v>
      </c>
      <c r="S60" s="1">
        <f t="shared" si="21"/>
        <v>4.3597439999999696E-2</v>
      </c>
      <c r="T60" s="1">
        <f t="shared" si="21"/>
        <v>9.7718760000000446E-2</v>
      </c>
      <c r="V60">
        <v>21.930800000000001</v>
      </c>
      <c r="W60">
        <v>26.2</v>
      </c>
      <c r="X60">
        <v>25.9</v>
      </c>
    </row>
    <row r="61" spans="1:24" x14ac:dyDescent="0.3">
      <c r="A61">
        <v>22.420200000000001</v>
      </c>
      <c r="B61">
        <v>26</v>
      </c>
      <c r="C61">
        <v>26.2</v>
      </c>
      <c r="D61">
        <f t="shared" si="18"/>
        <v>1.1001681056865489</v>
      </c>
      <c r="E61">
        <f t="shared" si="18"/>
        <v>0.96525096525096532</v>
      </c>
      <c r="F61">
        <f t="shared" si="18"/>
        <v>0.95057034220532333</v>
      </c>
      <c r="G61">
        <f t="shared" si="19"/>
        <v>0.55191565439999901</v>
      </c>
      <c r="H61">
        <f t="shared" si="19"/>
        <v>-0.20719999999999925</v>
      </c>
      <c r="I61">
        <f t="shared" si="19"/>
        <v>0.21039999999999923</v>
      </c>
      <c r="J61" s="1">
        <f t="shared" si="15"/>
        <v>0.33203153856973366</v>
      </c>
      <c r="K61" s="1">
        <f t="shared" si="15"/>
        <v>4.1439999999999699E-2</v>
      </c>
      <c r="L61" s="1">
        <f t="shared" si="15"/>
        <v>4.2079999999999694E-2</v>
      </c>
      <c r="N61" s="1">
        <f t="shared" si="20"/>
        <v>5.4294527864847177</v>
      </c>
      <c r="O61" s="1">
        <f t="shared" si="20"/>
        <v>7.2072252766222894E-2</v>
      </c>
      <c r="P61" s="1">
        <f t="shared" si="20"/>
        <v>0.40695600475623728</v>
      </c>
      <c r="R61" s="1">
        <f t="shared" si="21"/>
        <v>0.30180073104603655</v>
      </c>
      <c r="S61" s="1">
        <f t="shared" si="21"/>
        <v>4.2931839999999687E-2</v>
      </c>
      <c r="T61" s="1">
        <f t="shared" si="21"/>
        <v>4.4268159999999675E-2</v>
      </c>
      <c r="V61">
        <v>22.420200000000001</v>
      </c>
      <c r="W61">
        <v>26</v>
      </c>
      <c r="X61">
        <v>26.2</v>
      </c>
    </row>
    <row r="62" spans="1:24" x14ac:dyDescent="0.3">
      <c r="A62">
        <v>23.0274</v>
      </c>
      <c r="B62">
        <v>25.8</v>
      </c>
      <c r="C62">
        <v>26.4</v>
      </c>
      <c r="D62">
        <f t="shared" si="18"/>
        <v>1.0891205569326881</v>
      </c>
      <c r="E62">
        <f t="shared" si="18"/>
        <v>0.97276264591439676</v>
      </c>
      <c r="F62">
        <f t="shared" si="18"/>
        <v>0.94517958412098302</v>
      </c>
      <c r="G62">
        <f t="shared" si="19"/>
        <v>-0.1342367464000003</v>
      </c>
      <c r="H62">
        <f t="shared" si="19"/>
        <v>-0.20559999999999928</v>
      </c>
      <c r="I62">
        <f t="shared" si="19"/>
        <v>0.1058000000000015</v>
      </c>
      <c r="J62" s="1">
        <f t="shared" si="15"/>
        <v>2.0378627187536955E-2</v>
      </c>
      <c r="K62" s="1">
        <f t="shared" si="15"/>
        <v>4.1119999999999705E-2</v>
      </c>
      <c r="L62" s="1">
        <f t="shared" si="15"/>
        <v>1.0580000000000301E-2</v>
      </c>
      <c r="N62" s="1">
        <f t="shared" si="20"/>
        <v>2.9684485735191899</v>
      </c>
      <c r="O62" s="1">
        <f t="shared" si="20"/>
        <v>4.687149317952926E-3</v>
      </c>
      <c r="P62" s="1">
        <f t="shared" si="20"/>
        <v>0.70212841854933783</v>
      </c>
      <c r="R62" s="1">
        <f t="shared" si="21"/>
        <v>1.871108488203518E-2</v>
      </c>
      <c r="S62" s="1">
        <f t="shared" si="21"/>
        <v>4.2271359999999703E-2</v>
      </c>
      <c r="T62" s="1">
        <f t="shared" si="21"/>
        <v>1.1193640000000319E-2</v>
      </c>
      <c r="V62">
        <v>23.0274</v>
      </c>
      <c r="W62">
        <v>25.8</v>
      </c>
      <c r="X62">
        <v>26.4</v>
      </c>
    </row>
    <row r="63" spans="1:24" x14ac:dyDescent="0.3">
      <c r="A63">
        <v>22.8812</v>
      </c>
      <c r="B63">
        <v>25.6</v>
      </c>
      <c r="C63">
        <v>26.5</v>
      </c>
      <c r="D63">
        <f t="shared" si="18"/>
        <v>1.0988890231975472</v>
      </c>
      <c r="E63">
        <f t="shared" si="18"/>
        <v>0.98039215686274506</v>
      </c>
      <c r="F63">
        <f t="shared" si="18"/>
        <v>0.94161958568738224</v>
      </c>
      <c r="G63">
        <f t="shared" si="19"/>
        <v>-0.23833161900000063</v>
      </c>
      <c r="H63">
        <f t="shared" si="19"/>
        <v>-0.2040000000000029</v>
      </c>
      <c r="I63">
        <f t="shared" si="19"/>
        <v>0.10620000000000152</v>
      </c>
      <c r="J63" s="1">
        <f t="shared" si="15"/>
        <v>6.376279778243929E-2</v>
      </c>
      <c r="K63" s="1">
        <f t="shared" si="15"/>
        <v>4.0800000000001162E-2</v>
      </c>
      <c r="L63" s="1">
        <f t="shared" si="15"/>
        <v>1.0620000000000303E-2</v>
      </c>
      <c r="N63" s="1">
        <f t="shared" si="20"/>
        <v>3.4936044182088501</v>
      </c>
      <c r="O63" s="1">
        <f t="shared" si="20"/>
        <v>1.7302045869682398E-2</v>
      </c>
      <c r="P63" s="1">
        <f t="shared" si="20"/>
        <v>0.8797146254458913</v>
      </c>
      <c r="R63" s="1">
        <f t="shared" si="21"/>
        <v>5.8024783609997577E-2</v>
      </c>
      <c r="S63" s="1">
        <f t="shared" si="21"/>
        <v>4.1616000000001187E-2</v>
      </c>
      <c r="T63" s="1">
        <f t="shared" si="21"/>
        <v>1.1278440000000322E-2</v>
      </c>
      <c r="V63">
        <v>22.8812</v>
      </c>
      <c r="W63">
        <v>25.6</v>
      </c>
      <c r="X63">
        <v>26.5</v>
      </c>
    </row>
    <row r="64" spans="1:24" x14ac:dyDescent="0.3">
      <c r="A64">
        <v>22.619299999999999</v>
      </c>
      <c r="B64">
        <v>25.4</v>
      </c>
      <c r="C64">
        <v>26.6</v>
      </c>
      <c r="D64">
        <f t="shared" si="18"/>
        <v>1.0993335839813905</v>
      </c>
      <c r="E64">
        <f t="shared" si="18"/>
        <v>0.98814229249011865</v>
      </c>
      <c r="F64">
        <f t="shared" si="18"/>
        <v>0.94339622641509435</v>
      </c>
      <c r="G64">
        <f t="shared" si="19"/>
        <v>0.22149782700000087</v>
      </c>
      <c r="H64">
        <f t="shared" si="19"/>
        <v>-0.20239999999999927</v>
      </c>
      <c r="I64">
        <f t="shared" si="19"/>
        <v>-0.21200000000000302</v>
      </c>
      <c r="J64" s="1">
        <f t="shared" si="15"/>
        <v>5.2699190695999709E-2</v>
      </c>
      <c r="K64" s="1">
        <f t="shared" si="15"/>
        <v>4.0479999999999711E-2</v>
      </c>
      <c r="L64" s="1">
        <f t="shared" si="15"/>
        <v>4.2400000000001208E-2</v>
      </c>
      <c r="N64" s="1">
        <f t="shared" si="20"/>
        <v>4.5412403617261017</v>
      </c>
      <c r="O64" s="1">
        <f t="shared" si="20"/>
        <v>0.10991694242141366</v>
      </c>
      <c r="P64" s="1">
        <f t="shared" si="20"/>
        <v>1.0773008323424453</v>
      </c>
      <c r="R64" s="1">
        <f t="shared" si="21"/>
        <v>4.7937397223090567E-2</v>
      </c>
      <c r="S64" s="1">
        <f t="shared" si="21"/>
        <v>4.0965759999999705E-2</v>
      </c>
      <c r="T64" s="1">
        <f t="shared" si="21"/>
        <v>4.4944000000001282E-2</v>
      </c>
      <c r="V64">
        <v>22.619299999999999</v>
      </c>
      <c r="W64">
        <v>25.4</v>
      </c>
      <c r="X64">
        <v>26.6</v>
      </c>
    </row>
    <row r="65" spans="1:24" x14ac:dyDescent="0.3">
      <c r="A65">
        <v>22.8628</v>
      </c>
      <c r="B65">
        <v>25.2</v>
      </c>
      <c r="C65">
        <v>26.4</v>
      </c>
      <c r="D65">
        <f t="shared" si="18"/>
        <v>1.0975261759992976</v>
      </c>
      <c r="E65">
        <f t="shared" si="18"/>
        <v>0.99601593625497997</v>
      </c>
      <c r="F65">
        <f t="shared" si="18"/>
        <v>0.94696969696969702</v>
      </c>
      <c r="G65">
        <f t="shared" si="19"/>
        <v>-0.15361820400000128</v>
      </c>
      <c r="H65">
        <f t="shared" si="19"/>
        <v>-0.20079999999999931</v>
      </c>
      <c r="I65">
        <f t="shared" si="19"/>
        <v>0</v>
      </c>
      <c r="J65" s="1">
        <f t="shared" si="15"/>
        <v>2.6767615901607863E-2</v>
      </c>
      <c r="K65" s="1">
        <f t="shared" si="15"/>
        <v>4.0159999999999724E-2</v>
      </c>
      <c r="L65" s="1">
        <f t="shared" si="15"/>
        <v>1.1398733098882789E-35</v>
      </c>
      <c r="N65" s="1">
        <f t="shared" si="20"/>
        <v>3.5627265434502289</v>
      </c>
      <c r="O65" s="1">
        <f t="shared" si="20"/>
        <v>0.28253183897314343</v>
      </c>
      <c r="P65" s="1">
        <f t="shared" si="20"/>
        <v>0.70212841854933783</v>
      </c>
      <c r="R65" s="1">
        <f t="shared" si="21"/>
        <v>2.4389045552590988E-2</v>
      </c>
      <c r="S65" s="1">
        <f t="shared" si="21"/>
        <v>4.0320639999999727E-2</v>
      </c>
      <c r="T65" s="1">
        <f t="shared" si="21"/>
        <v>1.2037062152420224E-35</v>
      </c>
      <c r="V65">
        <v>22.8628</v>
      </c>
      <c r="W65">
        <v>25.2</v>
      </c>
      <c r="X65">
        <v>26.4</v>
      </c>
    </row>
    <row r="66" spans="1:24" x14ac:dyDescent="0.3">
      <c r="A66">
        <v>22.694199999999999</v>
      </c>
      <c r="B66">
        <v>25</v>
      </c>
      <c r="C66">
        <v>26.4</v>
      </c>
      <c r="D66">
        <f t="shared" si="18"/>
        <v>1.0917745703867066</v>
      </c>
      <c r="E66">
        <f t="shared" si="18"/>
        <v>0.99601593625497997</v>
      </c>
      <c r="F66">
        <f t="shared" si="18"/>
        <v>0.94339622641509435</v>
      </c>
      <c r="G66">
        <f t="shared" si="19"/>
        <v>0.37425308399999985</v>
      </c>
      <c r="H66">
        <f t="shared" si="19"/>
        <v>0.20079999999999931</v>
      </c>
      <c r="I66">
        <f t="shared" si="19"/>
        <v>0.21200000000000302</v>
      </c>
      <c r="J66" s="1">
        <f t="shared" si="15"/>
        <v>0.15084165236828498</v>
      </c>
      <c r="K66" s="1">
        <f t="shared" si="15"/>
        <v>4.0159999999999724E-2</v>
      </c>
      <c r="L66" s="1">
        <f t="shared" si="15"/>
        <v>4.2400000000001208E-2</v>
      </c>
      <c r="N66" s="1">
        <f t="shared" si="20"/>
        <v>4.2276237823467913</v>
      </c>
      <c r="O66" s="1">
        <f t="shared" si="20"/>
        <v>0.53514673552487257</v>
      </c>
      <c r="P66" s="1">
        <f t="shared" si="20"/>
        <v>0.70212841854933783</v>
      </c>
      <c r="R66" s="1">
        <f t="shared" si="21"/>
        <v>0.13816190307020695</v>
      </c>
      <c r="S66" s="1">
        <f t="shared" si="21"/>
        <v>4.0320639999999727E-2</v>
      </c>
      <c r="T66" s="1">
        <f t="shared" si="21"/>
        <v>4.4944000000001282E-2</v>
      </c>
      <c r="V66">
        <v>22.694199999999999</v>
      </c>
      <c r="W66">
        <v>25</v>
      </c>
      <c r="X66">
        <v>26.4</v>
      </c>
    </row>
    <row r="67" spans="1:24" x14ac:dyDescent="0.3">
      <c r="A67">
        <v>23.102799999999998</v>
      </c>
      <c r="B67">
        <v>25.2</v>
      </c>
      <c r="C67">
        <v>26.6</v>
      </c>
      <c r="D67">
        <f t="shared" si="18"/>
        <v>1.0672153576558829</v>
      </c>
      <c r="E67">
        <f t="shared" si="18"/>
        <v>0.99601593625497997</v>
      </c>
      <c r="F67">
        <f t="shared" si="18"/>
        <v>0.93808630393996251</v>
      </c>
      <c r="G67">
        <f t="shared" si="19"/>
        <v>0.60465771540000224</v>
      </c>
      <c r="H67">
        <f t="shared" si="19"/>
        <v>-0.20079999999999931</v>
      </c>
      <c r="I67">
        <f t="shared" si="19"/>
        <v>0.10659999999999772</v>
      </c>
      <c r="J67" s="1">
        <f t="shared" si="15"/>
        <v>0.38689932124181448</v>
      </c>
      <c r="K67" s="1">
        <f t="shared" si="15"/>
        <v>4.0159999999999724E-2</v>
      </c>
      <c r="L67" s="1">
        <f t="shared" si="15"/>
        <v>1.0659999999999545E-2</v>
      </c>
      <c r="N67" s="1">
        <f t="shared" si="20"/>
        <v>2.7143176055191933</v>
      </c>
      <c r="O67" s="1">
        <f t="shared" si="20"/>
        <v>0.28253183897314343</v>
      </c>
      <c r="P67" s="1">
        <f t="shared" si="20"/>
        <v>1.0773008323424453</v>
      </c>
      <c r="R67" s="1">
        <f t="shared" si="21"/>
        <v>0.36253162819136248</v>
      </c>
      <c r="S67" s="1">
        <f t="shared" si="21"/>
        <v>4.0320639999999727E-2</v>
      </c>
      <c r="T67" s="1">
        <f t="shared" si="21"/>
        <v>1.1363559999999514E-2</v>
      </c>
      <c r="V67">
        <v>23.102799999999998</v>
      </c>
      <c r="W67">
        <v>25.2</v>
      </c>
      <c r="X67">
        <v>26.6</v>
      </c>
    </row>
    <row r="68" spans="1:24" x14ac:dyDescent="0.3">
      <c r="A68">
        <v>23.748100000000001</v>
      </c>
      <c r="B68">
        <v>25</v>
      </c>
      <c r="C68">
        <v>26.7</v>
      </c>
      <c r="D68">
        <f t="shared" si="18"/>
        <v>1.0466316254398469</v>
      </c>
      <c r="E68">
        <f t="shared" si="18"/>
        <v>1</v>
      </c>
      <c r="F68">
        <f t="shared" si="18"/>
        <v>0.93283582089552253</v>
      </c>
      <c r="G68">
        <f t="shared" si="19"/>
        <v>0.26379864059999958</v>
      </c>
      <c r="H68">
        <f t="shared" si="19"/>
        <v>0</v>
      </c>
      <c r="I68">
        <f t="shared" si="19"/>
        <v>0.2143999999999992</v>
      </c>
      <c r="J68" s="1">
        <f t="shared" si="15"/>
        <v>7.1432559108379923E-2</v>
      </c>
      <c r="K68" s="1">
        <f t="shared" si="15"/>
        <v>8.3590709391807122E-36</v>
      </c>
      <c r="L68" s="1">
        <f t="shared" si="15"/>
        <v>4.2879999999999689E-2</v>
      </c>
      <c r="N68" s="1">
        <f t="shared" si="20"/>
        <v>1.0044421636571002</v>
      </c>
      <c r="O68" s="1">
        <f t="shared" si="20"/>
        <v>0.53514673552487257</v>
      </c>
      <c r="P68" s="1">
        <f t="shared" si="20"/>
        <v>1.2948870392389917</v>
      </c>
      <c r="R68" s="1">
        <f t="shared" si="21"/>
        <v>6.8249952869865169E-2</v>
      </c>
      <c r="S68" s="1">
        <f t="shared" si="21"/>
        <v>8.3590709391807122E-36</v>
      </c>
      <c r="T68" s="1">
        <f t="shared" si="21"/>
        <v>4.5967359999999659E-2</v>
      </c>
      <c r="V68">
        <v>23.748100000000001</v>
      </c>
      <c r="W68">
        <v>25</v>
      </c>
      <c r="X68">
        <v>26.7</v>
      </c>
    </row>
    <row r="69" spans="1:24" x14ac:dyDescent="0.3">
      <c r="A69">
        <v>24.0242</v>
      </c>
      <c r="B69">
        <v>25</v>
      </c>
      <c r="C69">
        <v>26.9</v>
      </c>
      <c r="D69">
        <f t="shared" si="18"/>
        <v>1.0419532037977111</v>
      </c>
      <c r="E69">
        <f t="shared" si="18"/>
        <v>1</v>
      </c>
      <c r="F69">
        <f t="shared" si="18"/>
        <v>0.92592592592592593</v>
      </c>
      <c r="G69">
        <f t="shared" si="19"/>
        <v>-5.9119737600002012E-2</v>
      </c>
      <c r="H69">
        <f t="shared" si="19"/>
        <v>0</v>
      </c>
      <c r="I69">
        <f t="shared" si="19"/>
        <v>0.21600000000000308</v>
      </c>
      <c r="J69" s="1">
        <f t="shared" si="15"/>
        <v>3.9629323446109073E-3</v>
      </c>
      <c r="K69" s="1">
        <f t="shared" si="15"/>
        <v>8.3590709391807122E-36</v>
      </c>
      <c r="L69" s="1">
        <f t="shared" si="15"/>
        <v>4.320000000000123E-2</v>
      </c>
      <c r="N69" s="1">
        <f t="shared" si="20"/>
        <v>0.52724825131226616</v>
      </c>
      <c r="O69" s="1">
        <f t="shared" si="20"/>
        <v>0.53514673552487257</v>
      </c>
      <c r="P69" s="1">
        <f t="shared" si="20"/>
        <v>1.7900594530320917</v>
      </c>
      <c r="R69" s="1">
        <f t="shared" si="21"/>
        <v>3.8033688366874933E-3</v>
      </c>
      <c r="S69" s="1">
        <f t="shared" si="21"/>
        <v>8.3590709391807122E-36</v>
      </c>
      <c r="T69" s="1">
        <f t="shared" si="21"/>
        <v>4.6656000000001328E-2</v>
      </c>
      <c r="V69">
        <v>24.0242</v>
      </c>
      <c r="W69">
        <v>25</v>
      </c>
      <c r="X69">
        <v>26.9</v>
      </c>
    </row>
    <row r="70" spans="1:24" x14ac:dyDescent="0.3">
      <c r="A70">
        <v>23.962599999999998</v>
      </c>
      <c r="B70">
        <v>25</v>
      </c>
      <c r="C70">
        <v>27.1</v>
      </c>
      <c r="D70">
        <f t="shared" si="18"/>
        <v>1.0456291655251881</v>
      </c>
      <c r="E70">
        <f t="shared" si="18"/>
        <v>1</v>
      </c>
      <c r="F70">
        <f t="shared" si="18"/>
        <v>0.92592592592592593</v>
      </c>
      <c r="G70">
        <f t="shared" si="19"/>
        <v>-0.10242637019999913</v>
      </c>
      <c r="H70">
        <f t="shared" si="19"/>
        <v>0</v>
      </c>
      <c r="I70">
        <f t="shared" si="19"/>
        <v>-0.21600000000000308</v>
      </c>
      <c r="J70" s="1">
        <f t="shared" si="15"/>
        <v>1.1523251325841453E-2</v>
      </c>
      <c r="K70" s="1">
        <f t="shared" si="15"/>
        <v>8.3590709391807122E-36</v>
      </c>
      <c r="L70" s="1">
        <f t="shared" si="15"/>
        <v>4.320000000000123E-2</v>
      </c>
      <c r="N70" s="1">
        <f t="shared" si="20"/>
        <v>0.62050062538123663</v>
      </c>
      <c r="O70" s="1">
        <f t="shared" si="20"/>
        <v>0.53514673552487257</v>
      </c>
      <c r="P70" s="1">
        <f t="shared" si="20"/>
        <v>2.3652318668252019</v>
      </c>
      <c r="R70" s="1">
        <f t="shared" si="21"/>
        <v>1.1020399684484384E-2</v>
      </c>
      <c r="S70" s="1">
        <f t="shared" si="21"/>
        <v>8.3590709391807122E-36</v>
      </c>
      <c r="T70" s="1">
        <f t="shared" si="21"/>
        <v>4.6656000000001328E-2</v>
      </c>
      <c r="V70">
        <v>23.962599999999998</v>
      </c>
      <c r="W70">
        <v>25</v>
      </c>
      <c r="X70">
        <v>27.1</v>
      </c>
    </row>
    <row r="71" spans="1:24" x14ac:dyDescent="0.3">
      <c r="A71">
        <v>23.855499999999999</v>
      </c>
      <c r="B71">
        <v>25</v>
      </c>
      <c r="C71">
        <v>26.9</v>
      </c>
      <c r="D71">
        <f t="shared" si="18"/>
        <v>1.0419988037853731</v>
      </c>
      <c r="E71">
        <f t="shared" si="18"/>
        <v>1</v>
      </c>
      <c r="F71">
        <f t="shared" si="18"/>
        <v>0.93283582089552253</v>
      </c>
      <c r="G71">
        <f t="shared" si="19"/>
        <v>0.26266824780000159</v>
      </c>
      <c r="H71">
        <f t="shared" si="19"/>
        <v>0</v>
      </c>
      <c r="I71">
        <f t="shared" si="19"/>
        <v>-0.2143999999999992</v>
      </c>
      <c r="J71" s="1">
        <f t="shared" si="15"/>
        <v>7.0502271957975829E-2</v>
      </c>
      <c r="K71" s="1">
        <f t="shared" si="15"/>
        <v>8.3590709391807122E-36</v>
      </c>
      <c r="L71" s="1">
        <f t="shared" si="15"/>
        <v>4.2879999999999689E-2</v>
      </c>
      <c r="N71" s="1">
        <f t="shared" si="20"/>
        <v>0.80070036393296229</v>
      </c>
      <c r="O71" s="1">
        <f t="shared" si="20"/>
        <v>0.53514673552487257</v>
      </c>
      <c r="P71" s="1">
        <f t="shared" si="20"/>
        <v>1.7900594530320917</v>
      </c>
      <c r="R71" s="1">
        <f t="shared" si="21"/>
        <v>6.766060738443766E-2</v>
      </c>
      <c r="S71" s="1">
        <f t="shared" si="21"/>
        <v>8.3590709391807122E-36</v>
      </c>
      <c r="T71" s="1">
        <f t="shared" si="21"/>
        <v>4.5967359999999659E-2</v>
      </c>
      <c r="V71">
        <v>23.855499999999999</v>
      </c>
      <c r="W71">
        <v>25</v>
      </c>
      <c r="X71">
        <v>26.9</v>
      </c>
    </row>
    <row r="72" spans="1:24" x14ac:dyDescent="0.3">
      <c r="A72">
        <v>24.129200000000001</v>
      </c>
      <c r="B72">
        <v>25</v>
      </c>
      <c r="C72">
        <v>26.7</v>
      </c>
      <c r="D72">
        <f t="shared" si="18"/>
        <v>1.0272466912384075</v>
      </c>
      <c r="E72">
        <f t="shared" si="18"/>
        <v>1</v>
      </c>
      <c r="F72">
        <f t="shared" si="18"/>
        <v>0.93984962406015038</v>
      </c>
      <c r="G72">
        <f t="shared" si="19"/>
        <v>0.40438193039999826</v>
      </c>
      <c r="H72">
        <f t="shared" si="19"/>
        <v>0</v>
      </c>
      <c r="I72">
        <f t="shared" si="19"/>
        <v>-0.21279999999999924</v>
      </c>
      <c r="J72" s="1">
        <f t="shared" si="15"/>
        <v>0.16586697256586841</v>
      </c>
      <c r="K72" s="1">
        <f t="shared" si="15"/>
        <v>8.3590709391807122E-36</v>
      </c>
      <c r="L72" s="1">
        <f t="shared" si="15"/>
        <v>4.2559999999999702E-2</v>
      </c>
      <c r="N72" s="1">
        <f t="shared" si="20"/>
        <v>0.38578834096743531</v>
      </c>
      <c r="O72" s="1">
        <f t="shared" si="20"/>
        <v>0.53514673552487257</v>
      </c>
      <c r="P72" s="1">
        <f t="shared" si="20"/>
        <v>1.2948870392389917</v>
      </c>
      <c r="R72" s="1">
        <f t="shared" si="21"/>
        <v>0.16146751698553133</v>
      </c>
      <c r="S72" s="1">
        <f t="shared" si="21"/>
        <v>8.3590709391807122E-36</v>
      </c>
      <c r="T72" s="1">
        <f t="shared" si="21"/>
        <v>4.528383999999968E-2</v>
      </c>
      <c r="V72">
        <v>24.129200000000001</v>
      </c>
      <c r="W72">
        <v>25</v>
      </c>
      <c r="X72">
        <v>26.7</v>
      </c>
    </row>
    <row r="73" spans="1:24" x14ac:dyDescent="0.3">
      <c r="A73">
        <v>24.544599999999999</v>
      </c>
      <c r="B73">
        <v>25</v>
      </c>
      <c r="C73">
        <v>26.5</v>
      </c>
      <c r="D73">
        <f t="shared" si="18"/>
        <v>1.0084325126709546</v>
      </c>
      <c r="E73">
        <f t="shared" si="18"/>
        <v>1</v>
      </c>
      <c r="F73">
        <f t="shared" si="18"/>
        <v>0.94696969696969702</v>
      </c>
      <c r="G73">
        <f t="shared" si="19"/>
        <v>0.48858004259999921</v>
      </c>
      <c r="H73">
        <f t="shared" si="19"/>
        <v>0</v>
      </c>
      <c r="I73">
        <f t="shared" si="19"/>
        <v>-0.21119999999999925</v>
      </c>
      <c r="J73" s="1">
        <f t="shared" si="15"/>
        <v>0.2382154870570693</v>
      </c>
      <c r="K73" s="1">
        <f t="shared" si="15"/>
        <v>8.3590709391807122E-36</v>
      </c>
      <c r="L73" s="1">
        <f t="shared" si="15"/>
        <v>4.2239999999999701E-2</v>
      </c>
      <c r="N73" s="1">
        <f t="shared" si="20"/>
        <v>4.232015089846012E-2</v>
      </c>
      <c r="O73" s="1">
        <f t="shared" si="20"/>
        <v>0.53514673552487257</v>
      </c>
      <c r="P73" s="1">
        <f t="shared" si="20"/>
        <v>0.8797146254458913</v>
      </c>
      <c r="R73" s="1">
        <f t="shared" si="21"/>
        <v>0.23622352915429806</v>
      </c>
      <c r="S73" s="1">
        <f t="shared" si="21"/>
        <v>8.3590709391807122E-36</v>
      </c>
      <c r="T73" s="1">
        <f t="shared" si="21"/>
        <v>4.4605439999999684E-2</v>
      </c>
      <c r="V73">
        <v>24.544599999999999</v>
      </c>
      <c r="W73">
        <v>25</v>
      </c>
      <c r="X73">
        <v>26.5</v>
      </c>
    </row>
    <row r="74" spans="1:24" x14ac:dyDescent="0.3">
      <c r="A74">
        <v>25.037299999999998</v>
      </c>
      <c r="B74">
        <v>25</v>
      </c>
      <c r="C74">
        <v>26.3</v>
      </c>
      <c r="D74">
        <f t="shared" si="18"/>
        <v>0.99842249246191028</v>
      </c>
      <c r="E74">
        <f t="shared" si="18"/>
        <v>1</v>
      </c>
      <c r="F74">
        <f t="shared" si="18"/>
        <v>0.95419847328244267</v>
      </c>
      <c r="G74">
        <f t="shared" si="19"/>
        <v>4.4069520000004038E-3</v>
      </c>
      <c r="H74">
        <f t="shared" si="19"/>
        <v>0</v>
      </c>
      <c r="I74">
        <f t="shared" si="19"/>
        <v>-0.20959999999999926</v>
      </c>
      <c r="J74" s="1">
        <f t="shared" si="15"/>
        <v>3.4364515423101702E-6</v>
      </c>
      <c r="K74" s="1">
        <f t="shared" si="15"/>
        <v>8.3590709391807122E-36</v>
      </c>
      <c r="L74" s="1">
        <f t="shared" si="15"/>
        <v>4.1919999999999701E-2</v>
      </c>
      <c r="N74" s="1">
        <f t="shared" si="20"/>
        <v>8.2358312070859363E-2</v>
      </c>
      <c r="O74" s="1">
        <f t="shared" si="20"/>
        <v>0.53514673552487257</v>
      </c>
      <c r="P74" s="1">
        <f t="shared" si="20"/>
        <v>0.54454221165279026</v>
      </c>
      <c r="R74" s="1">
        <f t="shared" si="21"/>
        <v>3.4418811357470198E-6</v>
      </c>
      <c r="S74" s="1">
        <f t="shared" si="21"/>
        <v>8.3590709391807122E-36</v>
      </c>
      <c r="T74" s="1">
        <f t="shared" si="21"/>
        <v>4.3932159999999693E-2</v>
      </c>
      <c r="V74">
        <v>25.037299999999998</v>
      </c>
      <c r="W74">
        <v>25</v>
      </c>
      <c r="X74">
        <v>26.3</v>
      </c>
    </row>
    <row r="75" spans="1:24" x14ac:dyDescent="0.3">
      <c r="A75">
        <v>25.041699999999999</v>
      </c>
      <c r="B75">
        <v>25</v>
      </c>
      <c r="C75">
        <v>26.1</v>
      </c>
      <c r="D75">
        <f t="shared" si="18"/>
        <v>1.0029687876113293</v>
      </c>
      <c r="E75">
        <f t="shared" si="18"/>
        <v>0.99403578528827041</v>
      </c>
      <c r="F75">
        <f t="shared" si="18"/>
        <v>0.96153846153846156</v>
      </c>
      <c r="G75">
        <f t="shared" si="19"/>
        <v>-0.23071505599999723</v>
      </c>
      <c r="H75">
        <f t="shared" si="19"/>
        <v>0.30180000000000068</v>
      </c>
      <c r="I75">
        <f t="shared" si="19"/>
        <v>-0.20800000000000296</v>
      </c>
      <c r="J75" s="1">
        <f t="shared" si="15"/>
        <v>5.4574931164847761E-2</v>
      </c>
      <c r="K75" s="1">
        <f t="shared" si="15"/>
        <v>9.0540000000000412E-2</v>
      </c>
      <c r="L75" s="1">
        <f t="shared" si="15"/>
        <v>4.1600000000001185E-2</v>
      </c>
      <c r="N75" s="1">
        <f t="shared" si="20"/>
        <v>8.490310820879049E-2</v>
      </c>
      <c r="O75" s="1">
        <f t="shared" si="20"/>
        <v>0.53514673552487257</v>
      </c>
      <c r="P75" s="1">
        <f t="shared" si="20"/>
        <v>0.28936979785968864</v>
      </c>
      <c r="R75" s="1">
        <f t="shared" si="21"/>
        <v>5.4413389368599824E-2</v>
      </c>
      <c r="S75" s="1">
        <f t="shared" si="21"/>
        <v>9.1083240000000412E-2</v>
      </c>
      <c r="T75" s="1">
        <f t="shared" si="21"/>
        <v>4.3264000000001232E-2</v>
      </c>
      <c r="V75">
        <v>25.041699999999999</v>
      </c>
      <c r="W75">
        <v>25</v>
      </c>
      <c r="X75">
        <v>26.1</v>
      </c>
    </row>
    <row r="76" spans="1:24" x14ac:dyDescent="0.3">
      <c r="A76">
        <v>24.810300000000002</v>
      </c>
      <c r="B76">
        <v>25.3</v>
      </c>
      <c r="C76">
        <v>25.9</v>
      </c>
      <c r="D76">
        <f t="shared" si="18"/>
        <v>1.0135450155883223</v>
      </c>
      <c r="E76">
        <f t="shared" si="18"/>
        <v>0.98619329388560151</v>
      </c>
      <c r="F76">
        <f t="shared" si="18"/>
        <v>0.970873786407767</v>
      </c>
      <c r="G76">
        <f t="shared" si="19"/>
        <v>-0.2849404768000019</v>
      </c>
      <c r="H76">
        <f t="shared" si="19"/>
        <v>0.10139999999999784</v>
      </c>
      <c r="I76">
        <f t="shared" si="19"/>
        <v>-0.30899999999999705</v>
      </c>
      <c r="J76" s="1">
        <f t="shared" si="15"/>
        <v>8.377128337058605E-2</v>
      </c>
      <c r="K76" s="1">
        <f t="shared" si="15"/>
        <v>1.0139999999999568E-2</v>
      </c>
      <c r="L76" s="1">
        <f t="shared" si="15"/>
        <v>9.2699999999998228E-2</v>
      </c>
      <c r="N76" s="1">
        <f t="shared" si="20"/>
        <v>3.5977658639700415E-3</v>
      </c>
      <c r="O76" s="1">
        <f t="shared" si="20"/>
        <v>0.18622439069727706</v>
      </c>
      <c r="P76" s="1">
        <f t="shared" si="20"/>
        <v>0.1141973840665841</v>
      </c>
      <c r="R76" s="1">
        <f t="shared" si="21"/>
        <v>8.2651763939621536E-2</v>
      </c>
      <c r="S76" s="1">
        <f t="shared" si="21"/>
        <v>1.0281959999999563E-2</v>
      </c>
      <c r="T76" s="1">
        <f t="shared" si="21"/>
        <v>9.5480999999998178E-2</v>
      </c>
      <c r="V76">
        <v>24.810300000000002</v>
      </c>
      <c r="W76">
        <v>25.3</v>
      </c>
      <c r="X76">
        <v>25.9</v>
      </c>
    </row>
    <row r="77" spans="1:24" x14ac:dyDescent="0.3">
      <c r="A77">
        <v>24.5215</v>
      </c>
      <c r="B77">
        <v>25.4</v>
      </c>
      <c r="C77">
        <v>25.6</v>
      </c>
      <c r="D77">
        <f t="shared" si="18"/>
        <v>1.0242270670438554</v>
      </c>
      <c r="E77">
        <f t="shared" si="18"/>
        <v>0.98619329388560151</v>
      </c>
      <c r="F77">
        <f t="shared" si="18"/>
        <v>0.98039215686274506</v>
      </c>
      <c r="G77">
        <f t="shared" si="19"/>
        <v>-0.22036129219999978</v>
      </c>
      <c r="H77">
        <f t="shared" si="19"/>
        <v>-0.10139999999999784</v>
      </c>
      <c r="I77">
        <f t="shared" si="19"/>
        <v>-0.2040000000000029</v>
      </c>
      <c r="J77" s="1">
        <f t="shared" si="15"/>
        <v>5.0894059652377116E-2</v>
      </c>
      <c r="K77" s="1">
        <f t="shared" si="15"/>
        <v>1.0139999999999568E-2</v>
      </c>
      <c r="L77" s="1">
        <f t="shared" si="15"/>
        <v>4.0800000000001162E-2</v>
      </c>
      <c r="N77" s="1">
        <f t="shared" si="20"/>
        <v>5.2357961174322599E-2</v>
      </c>
      <c r="O77" s="1">
        <f t="shared" si="20"/>
        <v>0.10991694242141366</v>
      </c>
      <c r="P77" s="1">
        <f t="shared" si="20"/>
        <v>1.4387633769320693E-3</v>
      </c>
      <c r="R77" s="1">
        <f t="shared" si="21"/>
        <v>4.9690211565359785E-2</v>
      </c>
      <c r="S77" s="1">
        <f t="shared" si="21"/>
        <v>1.0281959999999563E-2</v>
      </c>
      <c r="T77" s="1">
        <f t="shared" si="21"/>
        <v>4.1616000000001187E-2</v>
      </c>
      <c r="V77">
        <v>24.5215</v>
      </c>
      <c r="W77">
        <v>25.4</v>
      </c>
      <c r="X77">
        <v>25.6</v>
      </c>
    </row>
    <row r="78" spans="1:24" x14ac:dyDescent="0.3">
      <c r="A78">
        <v>24.2958</v>
      </c>
      <c r="B78">
        <v>25.3</v>
      </c>
      <c r="C78">
        <v>25.4</v>
      </c>
      <c r="D78">
        <f t="shared" si="18"/>
        <v>1.0269492009308268</v>
      </c>
      <c r="E78">
        <f t="shared" si="18"/>
        <v>0.98814229249011853</v>
      </c>
      <c r="F78">
        <f t="shared" si="18"/>
        <v>0.98814229249011865</v>
      </c>
      <c r="G78">
        <f t="shared" si="19"/>
        <v>9.3772895399999404E-2</v>
      </c>
      <c r="H78">
        <f t="shared" si="19"/>
        <v>0</v>
      </c>
      <c r="I78">
        <f t="shared" si="19"/>
        <v>-0.20239999999999927</v>
      </c>
      <c r="J78" s="1">
        <f t="shared" si="15"/>
        <v>8.545555069436675E-3</v>
      </c>
      <c r="K78" s="1">
        <f t="shared" si="15"/>
        <v>8.2599515209295572E-36</v>
      </c>
      <c r="L78" s="1">
        <f t="shared" si="15"/>
        <v>4.0479999999999711E-2</v>
      </c>
      <c r="N78" s="1">
        <f t="shared" si="20"/>
        <v>0.20658717655363898</v>
      </c>
      <c r="O78" s="1">
        <f t="shared" si="20"/>
        <v>0.18622439069727706</v>
      </c>
      <c r="P78" s="1">
        <f t="shared" si="20"/>
        <v>2.6266349583830357E-2</v>
      </c>
      <c r="R78" s="1">
        <f t="shared" si="21"/>
        <v>8.3213026133045175E-3</v>
      </c>
      <c r="S78" s="1">
        <f t="shared" si="21"/>
        <v>8.3590709391807122E-36</v>
      </c>
      <c r="T78" s="1">
        <f t="shared" si="21"/>
        <v>4.0965759999999705E-2</v>
      </c>
      <c r="V78">
        <v>24.2958</v>
      </c>
      <c r="W78">
        <v>25.3</v>
      </c>
      <c r="X78">
        <v>25.4</v>
      </c>
    </row>
    <row r="79" spans="1:24" x14ac:dyDescent="0.3">
      <c r="A79">
        <v>24.392099999999999</v>
      </c>
      <c r="B79">
        <v>25.3</v>
      </c>
      <c r="C79">
        <v>25.2</v>
      </c>
      <c r="D79">
        <f t="shared" si="18"/>
        <v>1.0181744132769943</v>
      </c>
      <c r="E79">
        <f t="shared" si="18"/>
        <v>0.98814229249011853</v>
      </c>
      <c r="F79">
        <f t="shared" si="18"/>
        <v>0.99601593625497997</v>
      </c>
      <c r="G79">
        <f t="shared" si="19"/>
        <v>0.31752909499999971</v>
      </c>
      <c r="H79">
        <f t="shared" si="19"/>
        <v>0</v>
      </c>
      <c r="I79">
        <f t="shared" si="19"/>
        <v>-0.20079999999999931</v>
      </c>
      <c r="J79" s="1">
        <f t="shared" si="15"/>
        <v>0.10101384307330548</v>
      </c>
      <c r="K79" s="1">
        <f t="shared" si="15"/>
        <v>8.2599515209295572E-36</v>
      </c>
      <c r="L79" s="1">
        <f t="shared" si="15"/>
        <v>4.0159999999999724E-2</v>
      </c>
      <c r="N79" s="1">
        <f t="shared" si="20"/>
        <v>0.12832058020880921</v>
      </c>
      <c r="O79" s="1">
        <f t="shared" si="20"/>
        <v>0.18622439069727706</v>
      </c>
      <c r="P79" s="1">
        <f t="shared" si="20"/>
        <v>0.13109393579072834</v>
      </c>
      <c r="R79" s="1">
        <f t="shared" si="21"/>
        <v>9.9210745974446984E-2</v>
      </c>
      <c r="S79" s="1">
        <f t="shared" si="21"/>
        <v>8.3590709391807122E-36</v>
      </c>
      <c r="T79" s="1">
        <f t="shared" si="21"/>
        <v>4.0320639999999727E-2</v>
      </c>
      <c r="V79">
        <v>24.392099999999999</v>
      </c>
      <c r="W79">
        <v>25.3</v>
      </c>
      <c r="X79">
        <v>25.2</v>
      </c>
    </row>
    <row r="80" spans="1:24" x14ac:dyDescent="0.3">
      <c r="A80">
        <v>24.715399999999999</v>
      </c>
      <c r="B80">
        <v>25.3</v>
      </c>
      <c r="C80">
        <v>25</v>
      </c>
      <c r="D80">
        <f t="shared" si="18"/>
        <v>1.0053666471625538</v>
      </c>
      <c r="E80">
        <f t="shared" si="18"/>
        <v>0.98814229249011853</v>
      </c>
      <c r="F80">
        <f t="shared" si="18"/>
        <v>1</v>
      </c>
      <c r="G80">
        <f t="shared" si="19"/>
        <v>0.30068632260000244</v>
      </c>
      <c r="H80">
        <f t="shared" si="19"/>
        <v>0</v>
      </c>
      <c r="I80">
        <f t="shared" si="19"/>
        <v>0</v>
      </c>
      <c r="J80" s="1">
        <f t="shared" ref="J80:L143" si="22">(G80-G$12)^2*D80</f>
        <v>8.9361250879318663E-2</v>
      </c>
      <c r="K80" s="1">
        <f t="shared" si="22"/>
        <v>8.2599515209295572E-36</v>
      </c>
      <c r="L80" s="1">
        <f t="shared" si="22"/>
        <v>1.2037062152420224E-35</v>
      </c>
      <c r="N80" s="1">
        <f t="shared" si="20"/>
        <v>1.2193100708690265E-3</v>
      </c>
      <c r="O80" s="1">
        <f t="shared" si="20"/>
        <v>0.18622439069727706</v>
      </c>
      <c r="P80" s="1">
        <f t="shared" si="20"/>
        <v>0.31592152199762574</v>
      </c>
      <c r="R80" s="1">
        <f t="shared" si="21"/>
        <v>8.888424052212486E-2</v>
      </c>
      <c r="S80" s="1">
        <f t="shared" si="21"/>
        <v>8.3590709391807122E-36</v>
      </c>
      <c r="T80" s="1">
        <f t="shared" si="21"/>
        <v>1.2037062152420224E-35</v>
      </c>
      <c r="V80">
        <v>24.715399999999999</v>
      </c>
      <c r="W80">
        <v>25.3</v>
      </c>
      <c r="X80">
        <v>25</v>
      </c>
    </row>
    <row r="81" spans="1:24" x14ac:dyDescent="0.3">
      <c r="A81">
        <v>25.017700000000001</v>
      </c>
      <c r="B81">
        <v>25.3</v>
      </c>
      <c r="C81">
        <v>25</v>
      </c>
      <c r="D81">
        <f t="shared" ref="D81:F144" si="23">50/(A81+A82)</f>
        <v>0.99537350395362356</v>
      </c>
      <c r="E81">
        <f t="shared" si="23"/>
        <v>0.98814229249011853</v>
      </c>
      <c r="F81">
        <f t="shared" si="23"/>
        <v>0.99601593625497997</v>
      </c>
      <c r="G81">
        <f t="shared" ref="G81:I144" si="24">(A82-A81)/D81</f>
        <v>0.19791565599999916</v>
      </c>
      <c r="H81">
        <f t="shared" si="24"/>
        <v>0</v>
      </c>
      <c r="I81">
        <f t="shared" si="24"/>
        <v>0.20079999999999931</v>
      </c>
      <c r="J81" s="1">
        <f t="shared" si="22"/>
        <v>3.799048721642001E-2</v>
      </c>
      <c r="K81" s="1">
        <f t="shared" si="22"/>
        <v>8.2599515209295572E-36</v>
      </c>
      <c r="L81" s="1">
        <f t="shared" si="22"/>
        <v>4.0159999999999724E-2</v>
      </c>
      <c r="N81" s="1">
        <f t="shared" ref="N81:P144" si="25">(A81-A$12)^2</f>
        <v>7.1492802001896061E-2</v>
      </c>
      <c r="O81" s="1">
        <f t="shared" si="25"/>
        <v>0.18622439069727706</v>
      </c>
      <c r="P81" s="1">
        <f t="shared" si="25"/>
        <v>0.31592152199762574</v>
      </c>
      <c r="R81" s="1">
        <f t="shared" ref="R81:T144" si="26">(G81-G$12)^2</f>
        <v>3.8167067001001934E-2</v>
      </c>
      <c r="S81" s="1">
        <f t="shared" si="26"/>
        <v>8.3590709391807122E-36</v>
      </c>
      <c r="T81" s="1">
        <f t="shared" si="26"/>
        <v>4.0320639999999727E-2</v>
      </c>
      <c r="V81">
        <v>25.017700000000001</v>
      </c>
      <c r="W81">
        <v>25.3</v>
      </c>
      <c r="X81">
        <v>25</v>
      </c>
    </row>
    <row r="82" spans="1:24" x14ac:dyDescent="0.3">
      <c r="A82">
        <v>25.214700000000001</v>
      </c>
      <c r="B82">
        <v>25.3</v>
      </c>
      <c r="C82">
        <v>25.2</v>
      </c>
      <c r="D82">
        <f t="shared" si="23"/>
        <v>0.9946962794380364</v>
      </c>
      <c r="E82">
        <f t="shared" si="23"/>
        <v>0.98814229249011853</v>
      </c>
      <c r="F82">
        <f t="shared" si="23"/>
        <v>0.99601593625497997</v>
      </c>
      <c r="G82">
        <f t="shared" si="24"/>
        <v>-0.16366804960000073</v>
      </c>
      <c r="H82">
        <f t="shared" si="24"/>
        <v>0</v>
      </c>
      <c r="I82">
        <f t="shared" si="24"/>
        <v>-0.20079999999999931</v>
      </c>
      <c r="J82" s="1">
        <f t="shared" si="22"/>
        <v>2.7482475661201225E-2</v>
      </c>
      <c r="K82" s="1">
        <f t="shared" si="22"/>
        <v>8.2599515209295572E-36</v>
      </c>
      <c r="L82" s="1">
        <f t="shared" si="22"/>
        <v>4.0159999999999724E-2</v>
      </c>
      <c r="N82" s="1">
        <f t="shared" si="25"/>
        <v>0.21565006545016641</v>
      </c>
      <c r="O82" s="1">
        <f t="shared" si="25"/>
        <v>0.18622439069727706</v>
      </c>
      <c r="P82" s="1">
        <f t="shared" si="25"/>
        <v>0.13109393579072834</v>
      </c>
      <c r="R82" s="1">
        <f t="shared" si="26"/>
        <v>2.762901222142675E-2</v>
      </c>
      <c r="S82" s="1">
        <f t="shared" si="26"/>
        <v>8.3590709391807122E-36</v>
      </c>
      <c r="T82" s="1">
        <f t="shared" si="26"/>
        <v>4.0320639999999727E-2</v>
      </c>
      <c r="V82">
        <v>25.214700000000001</v>
      </c>
      <c r="W82">
        <v>25.3</v>
      </c>
      <c r="X82">
        <v>25.2</v>
      </c>
    </row>
    <row r="83" spans="1:24" x14ac:dyDescent="0.3">
      <c r="A83">
        <v>25.0519</v>
      </c>
      <c r="B83">
        <v>25.3</v>
      </c>
      <c r="C83">
        <v>25</v>
      </c>
      <c r="D83">
        <f t="shared" si="23"/>
        <v>0.99720185160439812</v>
      </c>
      <c r="E83">
        <f t="shared" si="23"/>
        <v>0.98814229249011853</v>
      </c>
      <c r="F83">
        <f t="shared" si="23"/>
        <v>0.99601593625497997</v>
      </c>
      <c r="G83">
        <f t="shared" si="24"/>
        <v>3.6602419000000198E-2</v>
      </c>
      <c r="H83">
        <f t="shared" si="24"/>
        <v>0</v>
      </c>
      <c r="I83">
        <f t="shared" si="24"/>
        <v>0.20079999999999931</v>
      </c>
      <c r="J83" s="1">
        <f t="shared" si="22"/>
        <v>1.1562057040562859E-3</v>
      </c>
      <c r="K83" s="1">
        <f t="shared" si="22"/>
        <v>8.2599515209295572E-36</v>
      </c>
      <c r="L83" s="1">
        <f t="shared" si="22"/>
        <v>4.0159999999999724E-2</v>
      </c>
      <c r="N83" s="1">
        <f t="shared" si="25"/>
        <v>9.0951328346721885E-2</v>
      </c>
      <c r="O83" s="1">
        <f t="shared" si="25"/>
        <v>0.18622439069727706</v>
      </c>
      <c r="P83" s="1">
        <f t="shared" si="25"/>
        <v>0.31592152199762574</v>
      </c>
      <c r="R83" s="1">
        <f t="shared" si="26"/>
        <v>1.1594500172618677E-3</v>
      </c>
      <c r="S83" s="1">
        <f t="shared" si="26"/>
        <v>8.3590709391807122E-36</v>
      </c>
      <c r="T83" s="1">
        <f t="shared" si="26"/>
        <v>4.0320639999999727E-2</v>
      </c>
      <c r="V83">
        <v>25.0519</v>
      </c>
      <c r="W83">
        <v>25.3</v>
      </c>
      <c r="X83">
        <v>25</v>
      </c>
    </row>
    <row r="84" spans="1:24" x14ac:dyDescent="0.3">
      <c r="A84">
        <v>25.0884</v>
      </c>
      <c r="B84">
        <v>25.3</v>
      </c>
      <c r="C84">
        <v>25.2</v>
      </c>
      <c r="D84">
        <f t="shared" si="23"/>
        <v>0.98954251470460164</v>
      </c>
      <c r="E84">
        <f t="shared" si="23"/>
        <v>0.98814229249011853</v>
      </c>
      <c r="F84">
        <f t="shared" si="23"/>
        <v>0.99403578528827041</v>
      </c>
      <c r="G84">
        <f t="shared" si="24"/>
        <v>0.3553157088000013</v>
      </c>
      <c r="H84">
        <f t="shared" si="24"/>
        <v>0</v>
      </c>
      <c r="I84">
        <f t="shared" si="24"/>
        <v>-0.10059999999999786</v>
      </c>
      <c r="J84" s="1">
        <f t="shared" si="22"/>
        <v>0.12314107602078973</v>
      </c>
      <c r="K84" s="1">
        <f t="shared" si="22"/>
        <v>8.2599515209295572E-36</v>
      </c>
      <c r="L84" s="1">
        <f t="shared" si="22"/>
        <v>1.0059999999999571E-2</v>
      </c>
      <c r="N84" s="1">
        <f t="shared" si="25"/>
        <v>0.11429901903637621</v>
      </c>
      <c r="O84" s="1">
        <f t="shared" si="25"/>
        <v>0.18622439069727706</v>
      </c>
      <c r="P84" s="1">
        <f t="shared" si="25"/>
        <v>0.13109393579072834</v>
      </c>
      <c r="R84" s="1">
        <f t="shared" si="26"/>
        <v>0.12444243091217745</v>
      </c>
      <c r="S84" s="1">
        <f t="shared" si="26"/>
        <v>8.3590709391807122E-36</v>
      </c>
      <c r="T84" s="1">
        <f t="shared" si="26"/>
        <v>1.0120359999999568E-2</v>
      </c>
      <c r="V84">
        <v>25.0884</v>
      </c>
      <c r="W84">
        <v>25.3</v>
      </c>
      <c r="X84">
        <v>25.2</v>
      </c>
    </row>
    <row r="85" spans="1:24" x14ac:dyDescent="0.3">
      <c r="A85">
        <v>25.44</v>
      </c>
      <c r="B85">
        <v>25.3</v>
      </c>
      <c r="C85">
        <v>25.1</v>
      </c>
      <c r="D85">
        <f t="shared" si="23"/>
        <v>0.98129648892116261</v>
      </c>
      <c r="E85">
        <f t="shared" si="23"/>
        <v>0.98814229249011853</v>
      </c>
      <c r="F85">
        <f t="shared" si="23"/>
        <v>0.99800399201596801</v>
      </c>
      <c r="G85">
        <f t="shared" si="24"/>
        <v>7.4391380000000409E-2</v>
      </c>
      <c r="H85">
        <f t="shared" si="24"/>
        <v>0</v>
      </c>
      <c r="I85">
        <f t="shared" si="24"/>
        <v>-0.10020000000000143</v>
      </c>
      <c r="J85" s="1">
        <f t="shared" si="22"/>
        <v>5.0644089350151203E-3</v>
      </c>
      <c r="K85" s="1">
        <f t="shared" si="22"/>
        <v>8.2599515209295572E-36</v>
      </c>
      <c r="L85" s="1">
        <f t="shared" si="22"/>
        <v>1.0020000000000286E-2</v>
      </c>
      <c r="N85" s="1">
        <f t="shared" si="25"/>
        <v>0.47566040496740297</v>
      </c>
      <c r="O85" s="1">
        <f t="shared" si="25"/>
        <v>0.18622439069727706</v>
      </c>
      <c r="P85" s="1">
        <f t="shared" si="25"/>
        <v>0.21350772889417549</v>
      </c>
      <c r="R85" s="1">
        <f t="shared" si="26"/>
        <v>5.1609365693165085E-3</v>
      </c>
      <c r="S85" s="1">
        <f t="shared" si="26"/>
        <v>8.3590709391807122E-36</v>
      </c>
      <c r="T85" s="1">
        <f t="shared" si="26"/>
        <v>1.0040040000000286E-2</v>
      </c>
      <c r="V85">
        <v>25.44</v>
      </c>
      <c r="W85">
        <v>25.3</v>
      </c>
      <c r="X85">
        <v>25.1</v>
      </c>
    </row>
    <row r="86" spans="1:24" x14ac:dyDescent="0.3">
      <c r="A86">
        <v>25.513000000000002</v>
      </c>
      <c r="B86">
        <v>25.3</v>
      </c>
      <c r="C86">
        <v>25</v>
      </c>
      <c r="D86">
        <f t="shared" si="23"/>
        <v>0.98470749263931157</v>
      </c>
      <c r="E86">
        <f t="shared" si="23"/>
        <v>0.98814229249011853</v>
      </c>
      <c r="F86">
        <f t="shared" si="23"/>
        <v>1</v>
      </c>
      <c r="G86">
        <f t="shared" si="24"/>
        <v>-0.25337473500000118</v>
      </c>
      <c r="H86">
        <f t="shared" si="24"/>
        <v>0</v>
      </c>
      <c r="I86">
        <f t="shared" si="24"/>
        <v>0</v>
      </c>
      <c r="J86" s="1">
        <f t="shared" si="22"/>
        <v>6.4496716993770534E-2</v>
      </c>
      <c r="K86" s="1">
        <f t="shared" si="22"/>
        <v>8.2599515209295572E-36</v>
      </c>
      <c r="L86" s="1">
        <f t="shared" si="22"/>
        <v>1.2037062152420224E-35</v>
      </c>
      <c r="N86" s="1">
        <f t="shared" si="25"/>
        <v>0.58168288634671217</v>
      </c>
      <c r="O86" s="1">
        <f t="shared" si="25"/>
        <v>0.18622439069727706</v>
      </c>
      <c r="P86" s="1">
        <f t="shared" si="25"/>
        <v>0.31592152199762574</v>
      </c>
      <c r="R86" s="1">
        <f t="shared" si="26"/>
        <v>6.5498351008683786E-2</v>
      </c>
      <c r="S86" s="1">
        <f t="shared" si="26"/>
        <v>8.3590709391807122E-36</v>
      </c>
      <c r="T86" s="1">
        <f t="shared" si="26"/>
        <v>1.2037062152420224E-35</v>
      </c>
      <c r="V86">
        <v>25.513000000000002</v>
      </c>
      <c r="W86">
        <v>25.3</v>
      </c>
      <c r="X86">
        <v>25</v>
      </c>
    </row>
    <row r="87" spans="1:24" x14ac:dyDescent="0.3">
      <c r="A87">
        <v>25.263500000000001</v>
      </c>
      <c r="B87">
        <v>25.3</v>
      </c>
      <c r="C87">
        <v>25</v>
      </c>
      <c r="D87">
        <f t="shared" si="23"/>
        <v>0.99381252323036773</v>
      </c>
      <c r="E87">
        <f t="shared" si="23"/>
        <v>0.98814229249011853</v>
      </c>
      <c r="F87">
        <f t="shared" si="23"/>
        <v>1</v>
      </c>
      <c r="G87">
        <f t="shared" si="24"/>
        <v>-0.21704294820000178</v>
      </c>
      <c r="H87">
        <f t="shared" si="24"/>
        <v>0</v>
      </c>
      <c r="I87">
        <f t="shared" si="24"/>
        <v>0</v>
      </c>
      <c r="J87" s="1">
        <f t="shared" si="22"/>
        <v>4.7923447466926464E-2</v>
      </c>
      <c r="K87" s="1">
        <f t="shared" si="22"/>
        <v>8.2599515209295572E-36</v>
      </c>
      <c r="L87" s="1">
        <f t="shared" si="22"/>
        <v>1.2037062152420224E-35</v>
      </c>
      <c r="N87" s="1">
        <f t="shared" si="25"/>
        <v>0.26335512807085476</v>
      </c>
      <c r="O87" s="1">
        <f t="shared" si="25"/>
        <v>0.18622439069727706</v>
      </c>
      <c r="P87" s="1">
        <f t="shared" si="25"/>
        <v>0.31592152199762574</v>
      </c>
      <c r="R87" s="1">
        <f t="shared" si="26"/>
        <v>4.8221818850855545E-2</v>
      </c>
      <c r="S87" s="1">
        <f t="shared" si="26"/>
        <v>8.3590709391807122E-36</v>
      </c>
      <c r="T87" s="1">
        <f t="shared" si="26"/>
        <v>1.2037062152420224E-35</v>
      </c>
      <c r="V87">
        <v>25.263500000000001</v>
      </c>
      <c r="W87">
        <v>25.3</v>
      </c>
      <c r="X87">
        <v>25</v>
      </c>
    </row>
    <row r="88" spans="1:24" x14ac:dyDescent="0.3">
      <c r="A88">
        <v>25.047799999999999</v>
      </c>
      <c r="B88">
        <v>25.3</v>
      </c>
      <c r="C88">
        <v>25</v>
      </c>
      <c r="D88">
        <f t="shared" si="23"/>
        <v>0.99805180288077677</v>
      </c>
      <c r="E88">
        <f t="shared" si="23"/>
        <v>0.98814229249011853</v>
      </c>
      <c r="F88">
        <f t="shared" si="23"/>
        <v>0.99800399201596801</v>
      </c>
      <c r="G88">
        <f t="shared" si="24"/>
        <v>2.0039040000024489E-3</v>
      </c>
      <c r="H88">
        <f t="shared" si="24"/>
        <v>0</v>
      </c>
      <c r="I88">
        <f t="shared" si="24"/>
        <v>0.10020000000000143</v>
      </c>
      <c r="J88" s="1">
        <f t="shared" si="22"/>
        <v>2.9951907815433418E-7</v>
      </c>
      <c r="K88" s="1">
        <f t="shared" si="22"/>
        <v>8.2599515209295572E-36</v>
      </c>
      <c r="L88" s="1">
        <f t="shared" si="22"/>
        <v>1.0020000000000286E-2</v>
      </c>
      <c r="N88" s="1">
        <f t="shared" si="25"/>
        <v>8.8495171036376524E-2</v>
      </c>
      <c r="O88" s="1">
        <f t="shared" si="25"/>
        <v>0.18622439069727706</v>
      </c>
      <c r="P88" s="1">
        <f t="shared" si="25"/>
        <v>0.31592152199762574</v>
      </c>
      <c r="R88" s="1">
        <f t="shared" si="26"/>
        <v>3.0010373939489142E-7</v>
      </c>
      <c r="S88" s="1">
        <f t="shared" si="26"/>
        <v>8.3590709391807122E-36</v>
      </c>
      <c r="T88" s="1">
        <f t="shared" si="26"/>
        <v>1.0040040000000286E-2</v>
      </c>
      <c r="V88">
        <v>25.047799999999999</v>
      </c>
      <c r="W88">
        <v>25.3</v>
      </c>
      <c r="X88">
        <v>25</v>
      </c>
    </row>
    <row r="89" spans="1:24" x14ac:dyDescent="0.3">
      <c r="A89">
        <v>25.049800000000001</v>
      </c>
      <c r="B89">
        <v>25.3</v>
      </c>
      <c r="C89">
        <v>25.1</v>
      </c>
      <c r="D89">
        <f t="shared" si="23"/>
        <v>1.0009509033581903</v>
      </c>
      <c r="E89">
        <f t="shared" si="23"/>
        <v>0.98814229249011853</v>
      </c>
      <c r="F89">
        <f t="shared" si="23"/>
        <v>0.99403578528827041</v>
      </c>
      <c r="G89">
        <f t="shared" si="24"/>
        <v>-0.14696025500000179</v>
      </c>
      <c r="H89">
        <f t="shared" si="24"/>
        <v>0</v>
      </c>
      <c r="I89">
        <f t="shared" si="24"/>
        <v>0.10059999999999786</v>
      </c>
      <c r="J89" s="1">
        <f t="shared" si="22"/>
        <v>2.2375087375187529E-2</v>
      </c>
      <c r="K89" s="1">
        <f t="shared" si="22"/>
        <v>8.2599515209295572E-36</v>
      </c>
      <c r="L89" s="1">
        <f t="shared" si="22"/>
        <v>1.0059999999999571E-2</v>
      </c>
      <c r="N89" s="1">
        <f t="shared" si="25"/>
        <v>8.9689096553619299E-2</v>
      </c>
      <c r="O89" s="1">
        <f t="shared" si="25"/>
        <v>0.18622439069727706</v>
      </c>
      <c r="P89" s="1">
        <f t="shared" si="25"/>
        <v>0.21350772889417549</v>
      </c>
      <c r="R89" s="1">
        <f t="shared" si="26"/>
        <v>2.23538310421811E-2</v>
      </c>
      <c r="S89" s="1">
        <f t="shared" si="26"/>
        <v>8.3590709391807122E-36</v>
      </c>
      <c r="T89" s="1">
        <f t="shared" si="26"/>
        <v>1.0120359999999568E-2</v>
      </c>
      <c r="V89">
        <v>25.049800000000001</v>
      </c>
      <c r="W89">
        <v>25.3</v>
      </c>
      <c r="X89">
        <v>25.1</v>
      </c>
    </row>
    <row r="90" spans="1:24" x14ac:dyDescent="0.3">
      <c r="A90">
        <v>24.902699999999999</v>
      </c>
      <c r="B90">
        <v>25.3</v>
      </c>
      <c r="C90">
        <v>25.2</v>
      </c>
      <c r="D90">
        <f t="shared" si="23"/>
        <v>1.0086990203515116</v>
      </c>
      <c r="E90">
        <f t="shared" si="23"/>
        <v>0.98814229249011853</v>
      </c>
      <c r="F90">
        <f t="shared" si="23"/>
        <v>0.99403578528827041</v>
      </c>
      <c r="G90">
        <f t="shared" si="24"/>
        <v>-0.23455956159999922</v>
      </c>
      <c r="H90">
        <f t="shared" si="24"/>
        <v>0</v>
      </c>
      <c r="I90">
        <f t="shared" si="24"/>
        <v>-0.10059999999999786</v>
      </c>
      <c r="J90" s="1">
        <f t="shared" si="22"/>
        <v>5.6710834693166207E-2</v>
      </c>
      <c r="K90" s="1">
        <f t="shared" si="22"/>
        <v>8.2599515209295572E-36</v>
      </c>
      <c r="L90" s="1">
        <f t="shared" si="22"/>
        <v>1.0059999999999571E-2</v>
      </c>
      <c r="N90" s="1">
        <f t="shared" si="25"/>
        <v>2.322008476051891E-2</v>
      </c>
      <c r="O90" s="1">
        <f t="shared" si="25"/>
        <v>0.18622439069727706</v>
      </c>
      <c r="P90" s="1">
        <f t="shared" si="25"/>
        <v>0.13109393579072834</v>
      </c>
      <c r="R90" s="1">
        <f t="shared" si="26"/>
        <v>5.6221760454772333E-2</v>
      </c>
      <c r="S90" s="1">
        <f t="shared" si="26"/>
        <v>8.3590709391807122E-36</v>
      </c>
      <c r="T90" s="1">
        <f t="shared" si="26"/>
        <v>1.0120359999999568E-2</v>
      </c>
      <c r="V90">
        <v>24.902699999999999</v>
      </c>
      <c r="W90">
        <v>25.3</v>
      </c>
      <c r="X90">
        <v>25.2</v>
      </c>
    </row>
    <row r="91" spans="1:24" x14ac:dyDescent="0.3">
      <c r="A91">
        <v>24.6661</v>
      </c>
      <c r="B91">
        <v>25.3</v>
      </c>
      <c r="C91">
        <v>25.1</v>
      </c>
      <c r="D91">
        <f t="shared" si="23"/>
        <v>1.0182117350938893</v>
      </c>
      <c r="E91">
        <f t="shared" si="23"/>
        <v>0.98814229249011853</v>
      </c>
      <c r="F91">
        <f t="shared" si="23"/>
        <v>0.99800399201596801</v>
      </c>
      <c r="G91">
        <f t="shared" si="24"/>
        <v>-0.22244882100000146</v>
      </c>
      <c r="H91">
        <f t="shared" si="24"/>
        <v>0</v>
      </c>
      <c r="I91">
        <f t="shared" si="24"/>
        <v>-0.10020000000000143</v>
      </c>
      <c r="J91" s="1">
        <f t="shared" si="22"/>
        <v>5.1547217545819216E-2</v>
      </c>
      <c r="K91" s="1">
        <f t="shared" si="22"/>
        <v>8.2599515209295572E-36</v>
      </c>
      <c r="L91" s="1">
        <f t="shared" si="22"/>
        <v>1.0020000000000286E-2</v>
      </c>
      <c r="N91" s="1">
        <f t="shared" si="25"/>
        <v>7.0927760708702518E-3</v>
      </c>
      <c r="O91" s="1">
        <f t="shared" si="25"/>
        <v>0.18622439069727706</v>
      </c>
      <c r="P91" s="1">
        <f t="shared" si="25"/>
        <v>0.21350772889417549</v>
      </c>
      <c r="R91" s="1">
        <f t="shared" si="26"/>
        <v>5.0625244012794696E-2</v>
      </c>
      <c r="S91" s="1">
        <f t="shared" si="26"/>
        <v>8.3590709391807122E-36</v>
      </c>
      <c r="T91" s="1">
        <f t="shared" si="26"/>
        <v>1.0040040000000286E-2</v>
      </c>
      <c r="V91">
        <v>24.6661</v>
      </c>
      <c r="W91">
        <v>25.3</v>
      </c>
      <c r="X91">
        <v>25.1</v>
      </c>
    </row>
    <row r="92" spans="1:24" x14ac:dyDescent="0.3">
      <c r="A92">
        <v>24.439599999999999</v>
      </c>
      <c r="B92">
        <v>25.3</v>
      </c>
      <c r="C92">
        <v>25</v>
      </c>
      <c r="D92">
        <f t="shared" si="23"/>
        <v>1.0234262263204756</v>
      </c>
      <c r="E92">
        <f t="shared" si="23"/>
        <v>0.98814229249011853</v>
      </c>
      <c r="F92">
        <f t="shared" si="23"/>
        <v>1</v>
      </c>
      <c r="G92">
        <f t="shared" si="24"/>
        <v>-2.3157506999998103E-2</v>
      </c>
      <c r="H92">
        <f t="shared" si="24"/>
        <v>0</v>
      </c>
      <c r="I92">
        <f t="shared" si="24"/>
        <v>0</v>
      </c>
      <c r="J92" s="1">
        <f t="shared" si="22"/>
        <v>6.7644831923785551E-4</v>
      </c>
      <c r="K92" s="1">
        <f t="shared" si="22"/>
        <v>8.2599515209295572E-36</v>
      </c>
      <c r="L92" s="1">
        <f t="shared" si="22"/>
        <v>1.2037062152420224E-35</v>
      </c>
      <c r="N92" s="1">
        <f t="shared" si="25"/>
        <v>9.6546061243290987E-2</v>
      </c>
      <c r="O92" s="1">
        <f t="shared" si="25"/>
        <v>0.18622439069727706</v>
      </c>
      <c r="P92" s="1">
        <f t="shared" si="25"/>
        <v>0.31592152199762574</v>
      </c>
      <c r="R92" s="1">
        <f t="shared" si="26"/>
        <v>6.6096441721050106E-4</v>
      </c>
      <c r="S92" s="1">
        <f t="shared" si="26"/>
        <v>8.3590709391807122E-36</v>
      </c>
      <c r="T92" s="1">
        <f t="shared" si="26"/>
        <v>1.2037062152420224E-35</v>
      </c>
      <c r="V92">
        <v>24.439599999999999</v>
      </c>
      <c r="W92">
        <v>25.3</v>
      </c>
      <c r="X92">
        <v>25</v>
      </c>
    </row>
    <row r="93" spans="1:24" x14ac:dyDescent="0.3">
      <c r="A93">
        <v>24.415900000000001</v>
      </c>
      <c r="B93">
        <v>25.3</v>
      </c>
      <c r="C93">
        <v>25</v>
      </c>
      <c r="D93">
        <f t="shared" si="23"/>
        <v>1.0273353386919144</v>
      </c>
      <c r="E93">
        <f t="shared" si="23"/>
        <v>0.98814229249011853</v>
      </c>
      <c r="F93">
        <f t="shared" si="23"/>
        <v>1</v>
      </c>
      <c r="G93">
        <f t="shared" si="24"/>
        <v>-0.15788418240000207</v>
      </c>
      <c r="H93">
        <f t="shared" si="24"/>
        <v>0</v>
      </c>
      <c r="I93">
        <f t="shared" si="24"/>
        <v>0</v>
      </c>
      <c r="J93" s="1">
        <f t="shared" si="22"/>
        <v>2.6443282028199067E-2</v>
      </c>
      <c r="K93" s="1">
        <f t="shared" si="22"/>
        <v>8.2599515209295572E-36</v>
      </c>
      <c r="L93" s="1">
        <f t="shared" si="22"/>
        <v>1.2037062152420224E-35</v>
      </c>
      <c r="N93" s="1">
        <f t="shared" si="25"/>
        <v>0.11183581386398003</v>
      </c>
      <c r="O93" s="1">
        <f t="shared" si="25"/>
        <v>0.18622439069727706</v>
      </c>
      <c r="P93" s="1">
        <f t="shared" si="25"/>
        <v>0.31592152199762574</v>
      </c>
      <c r="R93" s="1">
        <f t="shared" si="26"/>
        <v>2.5739679179992748E-2</v>
      </c>
      <c r="S93" s="1">
        <f t="shared" si="26"/>
        <v>8.3590709391807122E-36</v>
      </c>
      <c r="T93" s="1">
        <f t="shared" si="26"/>
        <v>1.2037062152420224E-35</v>
      </c>
      <c r="V93">
        <v>24.415900000000001</v>
      </c>
      <c r="W93">
        <v>25.3</v>
      </c>
      <c r="X93">
        <v>25</v>
      </c>
    </row>
    <row r="94" spans="1:24" x14ac:dyDescent="0.3">
      <c r="A94">
        <v>24.253699999999998</v>
      </c>
      <c r="B94">
        <v>25.3</v>
      </c>
      <c r="C94">
        <v>25</v>
      </c>
      <c r="D94">
        <f t="shared" si="23"/>
        <v>1.0347018299736566</v>
      </c>
      <c r="E94">
        <f t="shared" si="23"/>
        <v>0.98619329388560151</v>
      </c>
      <c r="F94">
        <f t="shared" si="23"/>
        <v>1</v>
      </c>
      <c r="G94">
        <f t="shared" si="24"/>
        <v>-0.17811894659999689</v>
      </c>
      <c r="H94">
        <f t="shared" si="24"/>
        <v>0.10139999999999784</v>
      </c>
      <c r="I94">
        <f t="shared" si="24"/>
        <v>0</v>
      </c>
      <c r="J94" s="1">
        <f t="shared" si="22"/>
        <v>3.3774623545844429E-2</v>
      </c>
      <c r="K94" s="1">
        <f t="shared" si="22"/>
        <v>1.0139999999999568E-2</v>
      </c>
      <c r="L94" s="1">
        <f t="shared" si="22"/>
        <v>1.2037062152420224E-35</v>
      </c>
      <c r="N94" s="1">
        <f t="shared" si="25"/>
        <v>0.24663005441571043</v>
      </c>
      <c r="O94" s="1">
        <f t="shared" si="25"/>
        <v>0.18622439069727706</v>
      </c>
      <c r="P94" s="1">
        <f t="shared" si="25"/>
        <v>0.31592152199762574</v>
      </c>
      <c r="R94" s="1">
        <f t="shared" si="26"/>
        <v>3.2641890221363899E-2</v>
      </c>
      <c r="S94" s="1">
        <f t="shared" si="26"/>
        <v>1.0281959999999563E-2</v>
      </c>
      <c r="T94" s="1">
        <f t="shared" si="26"/>
        <v>1.2037062152420224E-35</v>
      </c>
      <c r="V94">
        <v>24.253699999999998</v>
      </c>
      <c r="W94">
        <v>25.3</v>
      </c>
      <c r="X94">
        <v>25</v>
      </c>
    </row>
    <row r="95" spans="1:24" x14ac:dyDescent="0.3">
      <c r="A95">
        <v>24.069400000000002</v>
      </c>
      <c r="B95">
        <v>25.4</v>
      </c>
      <c r="C95">
        <v>25</v>
      </c>
      <c r="D95">
        <f t="shared" si="23"/>
        <v>1.0326226136091399</v>
      </c>
      <c r="E95">
        <f t="shared" si="23"/>
        <v>0.98619329388560151</v>
      </c>
      <c r="F95">
        <f t="shared" si="23"/>
        <v>1</v>
      </c>
      <c r="G95">
        <f t="shared" si="24"/>
        <v>0.27270369279999751</v>
      </c>
      <c r="H95">
        <f t="shared" si="24"/>
        <v>-0.10139999999999784</v>
      </c>
      <c r="I95">
        <f t="shared" si="24"/>
        <v>0</v>
      </c>
      <c r="J95" s="1">
        <f t="shared" si="22"/>
        <v>7.5362954180831471E-2</v>
      </c>
      <c r="K95" s="1">
        <f t="shared" si="22"/>
        <v>1.0139999999999568E-2</v>
      </c>
      <c r="L95" s="1">
        <f t="shared" si="22"/>
        <v>1.2037062152420224E-35</v>
      </c>
      <c r="N95" s="1">
        <f t="shared" si="25"/>
        <v>0.46365016800191849</v>
      </c>
      <c r="O95" s="1">
        <f t="shared" si="25"/>
        <v>0.10991694242141366</v>
      </c>
      <c r="P95" s="1">
        <f t="shared" si="25"/>
        <v>0.31592152199762574</v>
      </c>
      <c r="R95" s="1">
        <f t="shared" si="26"/>
        <v>7.2982087732350653E-2</v>
      </c>
      <c r="S95" s="1">
        <f t="shared" si="26"/>
        <v>1.0281959999999563E-2</v>
      </c>
      <c r="T95" s="1">
        <f t="shared" si="26"/>
        <v>1.2037062152420224E-35</v>
      </c>
      <c r="V95">
        <v>24.069400000000002</v>
      </c>
      <c r="W95">
        <v>25.4</v>
      </c>
      <c r="X95">
        <v>25</v>
      </c>
    </row>
    <row r="96" spans="1:24" x14ac:dyDescent="0.3">
      <c r="A96">
        <v>24.350999999999999</v>
      </c>
      <c r="B96">
        <v>25.3</v>
      </c>
      <c r="C96">
        <v>25</v>
      </c>
      <c r="D96">
        <f t="shared" si="23"/>
        <v>1.0219682290516952</v>
      </c>
      <c r="E96">
        <f t="shared" si="23"/>
        <v>0.99206349206349198</v>
      </c>
      <c r="F96">
        <f t="shared" si="23"/>
        <v>1</v>
      </c>
      <c r="G96">
        <f t="shared" si="24"/>
        <v>0.21840209280000203</v>
      </c>
      <c r="H96">
        <f t="shared" si="24"/>
        <v>-0.20159999999999931</v>
      </c>
      <c r="I96">
        <f t="shared" si="24"/>
        <v>0</v>
      </c>
      <c r="J96" s="1">
        <f t="shared" si="22"/>
        <v>4.7614913069618445E-2</v>
      </c>
      <c r="K96" s="1">
        <f t="shared" si="22"/>
        <v>4.0319999999999724E-2</v>
      </c>
      <c r="L96" s="1">
        <f t="shared" si="22"/>
        <v>1.2037062152420224E-35</v>
      </c>
      <c r="N96" s="1">
        <f t="shared" si="25"/>
        <v>0.15945536082950015</v>
      </c>
      <c r="O96" s="1">
        <f t="shared" si="25"/>
        <v>0.18622439069727706</v>
      </c>
      <c r="P96" s="1">
        <f t="shared" si="25"/>
        <v>0.31592152199762574</v>
      </c>
      <c r="R96" s="1">
        <f t="shared" si="26"/>
        <v>4.6591382898273928E-2</v>
      </c>
      <c r="S96" s="1">
        <f t="shared" si="26"/>
        <v>4.0642559999999724E-2</v>
      </c>
      <c r="T96" s="1">
        <f t="shared" si="26"/>
        <v>1.2037062152420224E-35</v>
      </c>
      <c r="V96">
        <v>24.350999999999999</v>
      </c>
      <c r="W96">
        <v>25.3</v>
      </c>
      <c r="X96">
        <v>25</v>
      </c>
    </row>
    <row r="97" spans="1:24" x14ac:dyDescent="0.3">
      <c r="A97">
        <v>24.574200000000001</v>
      </c>
      <c r="B97">
        <v>25.1</v>
      </c>
      <c r="C97">
        <v>25</v>
      </c>
      <c r="D97">
        <f t="shared" si="23"/>
        <v>1.0117873223048515</v>
      </c>
      <c r="E97">
        <f t="shared" si="23"/>
        <v>0.99800399201596801</v>
      </c>
      <c r="F97">
        <f t="shared" si="23"/>
        <v>1</v>
      </c>
      <c r="G97">
        <f t="shared" si="24"/>
        <v>0.26596498499999816</v>
      </c>
      <c r="H97">
        <f t="shared" si="24"/>
        <v>-0.10020000000000143</v>
      </c>
      <c r="I97">
        <f t="shared" si="24"/>
        <v>0</v>
      </c>
      <c r="J97" s="1">
        <f t="shared" si="22"/>
        <v>7.0204429118658443E-2</v>
      </c>
      <c r="K97" s="1">
        <f t="shared" si="22"/>
        <v>1.0020000000000286E-2</v>
      </c>
      <c r="L97" s="1">
        <f t="shared" si="22"/>
        <v>1.2037062152420224E-35</v>
      </c>
      <c r="N97" s="1">
        <f t="shared" si="25"/>
        <v>3.1017768553630955E-2</v>
      </c>
      <c r="O97" s="1">
        <f t="shared" si="25"/>
        <v>0.3988392872490058</v>
      </c>
      <c r="P97" s="1">
        <f t="shared" si="25"/>
        <v>0.31592152199762574</v>
      </c>
      <c r="R97" s="1">
        <f t="shared" si="26"/>
        <v>6.9386547519426078E-2</v>
      </c>
      <c r="S97" s="1">
        <f t="shared" si="26"/>
        <v>1.0040040000000286E-2</v>
      </c>
      <c r="T97" s="1">
        <f t="shared" si="26"/>
        <v>1.2037062152420224E-35</v>
      </c>
      <c r="V97">
        <v>24.574200000000001</v>
      </c>
      <c r="W97">
        <v>25.1</v>
      </c>
      <c r="X97">
        <v>25</v>
      </c>
    </row>
    <row r="98" spans="1:24" x14ac:dyDescent="0.3">
      <c r="A98">
        <v>24.843299999999999</v>
      </c>
      <c r="B98">
        <v>25</v>
      </c>
      <c r="C98">
        <v>25</v>
      </c>
      <c r="D98">
        <f t="shared" si="23"/>
        <v>1.0056780583172593</v>
      </c>
      <c r="E98">
        <f t="shared" si="23"/>
        <v>1</v>
      </c>
      <c r="F98">
        <f t="shared" si="23"/>
        <v>1</v>
      </c>
      <c r="G98">
        <f t="shared" si="24"/>
        <v>3.0924409400002111E-2</v>
      </c>
      <c r="H98">
        <f t="shared" si="24"/>
        <v>0</v>
      </c>
      <c r="I98">
        <f t="shared" si="24"/>
        <v>0</v>
      </c>
      <c r="J98" s="1">
        <f t="shared" si="22"/>
        <v>8.0958032336297709E-4</v>
      </c>
      <c r="K98" s="1">
        <f t="shared" si="22"/>
        <v>8.3590709391807122E-36</v>
      </c>
      <c r="L98" s="1">
        <f t="shared" si="22"/>
        <v>1.2037062152420224E-35</v>
      </c>
      <c r="N98" s="1">
        <f t="shared" si="25"/>
        <v>8.6455368984515897E-3</v>
      </c>
      <c r="O98" s="1">
        <f t="shared" si="25"/>
        <v>0.53514673552487257</v>
      </c>
      <c r="P98" s="1">
        <f t="shared" si="25"/>
        <v>0.31592152199762574</v>
      </c>
      <c r="R98" s="1">
        <f t="shared" si="26"/>
        <v>8.0500943285726964E-4</v>
      </c>
      <c r="S98" s="1">
        <f t="shared" si="26"/>
        <v>8.3590709391807122E-36</v>
      </c>
      <c r="T98" s="1">
        <f t="shared" si="26"/>
        <v>1.2037062152420224E-35</v>
      </c>
      <c r="V98">
        <v>24.843299999999999</v>
      </c>
      <c r="W98">
        <v>25</v>
      </c>
      <c r="X98">
        <v>25</v>
      </c>
    </row>
    <row r="99" spans="1:24" x14ac:dyDescent="0.3">
      <c r="A99">
        <v>24.874400000000001</v>
      </c>
      <c r="B99">
        <v>25</v>
      </c>
      <c r="C99">
        <v>25</v>
      </c>
      <c r="D99">
        <f t="shared" si="23"/>
        <v>1.003282741128974</v>
      </c>
      <c r="E99">
        <f t="shared" si="23"/>
        <v>1</v>
      </c>
      <c r="F99">
        <f t="shared" si="23"/>
        <v>1</v>
      </c>
      <c r="G99">
        <f t="shared" si="24"/>
        <v>8.7313372799998359E-2</v>
      </c>
      <c r="H99">
        <f t="shared" si="24"/>
        <v>0</v>
      </c>
      <c r="I99">
        <f t="shared" si="24"/>
        <v>0</v>
      </c>
      <c r="J99" s="1">
        <f t="shared" si="22"/>
        <v>7.2081225504684694E-3</v>
      </c>
      <c r="K99" s="1">
        <f t="shared" si="22"/>
        <v>8.3590709391807122E-36</v>
      </c>
      <c r="L99" s="1">
        <f t="shared" si="22"/>
        <v>1.2037062152420224E-35</v>
      </c>
      <c r="N99" s="1">
        <f t="shared" si="25"/>
        <v>1.5396188691554687E-2</v>
      </c>
      <c r="O99" s="1">
        <f t="shared" si="25"/>
        <v>0.53514673552487257</v>
      </c>
      <c r="P99" s="1">
        <f t="shared" si="25"/>
        <v>0.31592152199762574</v>
      </c>
      <c r="R99" s="1">
        <f t="shared" si="26"/>
        <v>7.1845375734833367E-3</v>
      </c>
      <c r="S99" s="1">
        <f t="shared" si="26"/>
        <v>8.3590709391807122E-36</v>
      </c>
      <c r="T99" s="1">
        <f t="shared" si="26"/>
        <v>1.2037062152420224E-35</v>
      </c>
      <c r="V99">
        <v>24.874400000000001</v>
      </c>
      <c r="W99">
        <v>25</v>
      </c>
      <c r="X99">
        <v>25</v>
      </c>
    </row>
    <row r="100" spans="1:24" x14ac:dyDescent="0.3">
      <c r="A100">
        <v>24.962</v>
      </c>
      <c r="B100">
        <v>25</v>
      </c>
      <c r="C100">
        <v>25</v>
      </c>
      <c r="D100">
        <f t="shared" si="23"/>
        <v>1.0004301849795412</v>
      </c>
      <c r="E100">
        <f t="shared" si="23"/>
        <v>1</v>
      </c>
      <c r="F100">
        <f t="shared" si="23"/>
        <v>1</v>
      </c>
      <c r="G100">
        <f t="shared" si="24"/>
        <v>5.4476565000000886E-2</v>
      </c>
      <c r="H100">
        <f t="shared" si="24"/>
        <v>0</v>
      </c>
      <c r="I100">
        <f t="shared" si="24"/>
        <v>0</v>
      </c>
      <c r="J100" s="1">
        <f t="shared" si="22"/>
        <v>2.6973492586432209E-3</v>
      </c>
      <c r="K100" s="1">
        <f t="shared" si="22"/>
        <v>8.3590709391807122E-36</v>
      </c>
      <c r="L100" s="1">
        <f t="shared" si="22"/>
        <v>1.2037062152420224E-35</v>
      </c>
      <c r="N100" s="1">
        <f t="shared" si="25"/>
        <v>4.4809006346724294E-2</v>
      </c>
      <c r="O100" s="1">
        <f t="shared" si="25"/>
        <v>0.53514673552487257</v>
      </c>
      <c r="P100" s="1">
        <f t="shared" si="25"/>
        <v>0.31592152199762574</v>
      </c>
      <c r="R100" s="1">
        <f t="shared" si="26"/>
        <v>2.6961893984620046E-3</v>
      </c>
      <c r="S100" s="1">
        <f t="shared" si="26"/>
        <v>8.3590709391807122E-36</v>
      </c>
      <c r="T100" s="1">
        <f t="shared" si="26"/>
        <v>1.2037062152420224E-35</v>
      </c>
      <c r="V100">
        <v>24.962</v>
      </c>
      <c r="W100">
        <v>25</v>
      </c>
      <c r="X100">
        <v>25</v>
      </c>
    </row>
    <row r="101" spans="1:24" x14ac:dyDescent="0.3">
      <c r="A101">
        <v>25.016500000000001</v>
      </c>
      <c r="B101">
        <v>25</v>
      </c>
      <c r="C101">
        <v>25</v>
      </c>
      <c r="D101">
        <f t="shared" si="23"/>
        <v>0.99983002889508787</v>
      </c>
      <c r="E101">
        <f t="shared" si="23"/>
        <v>1</v>
      </c>
      <c r="F101">
        <f t="shared" si="23"/>
        <v>1</v>
      </c>
      <c r="G101">
        <f t="shared" si="24"/>
        <v>-2.4504164999999745E-2</v>
      </c>
      <c r="H101">
        <f t="shared" si="24"/>
        <v>0</v>
      </c>
      <c r="I101">
        <f t="shared" si="24"/>
        <v>0</v>
      </c>
      <c r="J101" s="1">
        <f t="shared" si="22"/>
        <v>7.3189655835800491E-4</v>
      </c>
      <c r="K101" s="1">
        <f t="shared" si="22"/>
        <v>8.3590709391807122E-36</v>
      </c>
      <c r="L101" s="1">
        <f t="shared" si="22"/>
        <v>1.2037062152420224E-35</v>
      </c>
      <c r="N101" s="1">
        <f t="shared" si="25"/>
        <v>7.0852526691550857E-2</v>
      </c>
      <c r="O101" s="1">
        <f t="shared" si="25"/>
        <v>0.53514673552487257</v>
      </c>
      <c r="P101" s="1">
        <f t="shared" si="25"/>
        <v>0.31592152199762574</v>
      </c>
      <c r="R101" s="1">
        <f t="shared" si="26"/>
        <v>7.3202098077292577E-4</v>
      </c>
      <c r="S101" s="1">
        <f t="shared" si="26"/>
        <v>8.3590709391807122E-36</v>
      </c>
      <c r="T101" s="1">
        <f t="shared" si="26"/>
        <v>1.2037062152420224E-35</v>
      </c>
      <c r="V101">
        <v>25.016500000000001</v>
      </c>
      <c r="W101">
        <v>25</v>
      </c>
      <c r="X101">
        <v>25</v>
      </c>
    </row>
    <row r="102" spans="1:24" x14ac:dyDescent="0.3">
      <c r="A102">
        <v>24.992000000000001</v>
      </c>
      <c r="B102">
        <v>25</v>
      </c>
      <c r="C102">
        <v>25</v>
      </c>
      <c r="D102">
        <f t="shared" si="23"/>
        <v>0.99923258937136283</v>
      </c>
      <c r="E102">
        <f t="shared" si="23"/>
        <v>1</v>
      </c>
      <c r="F102">
        <f t="shared" si="23"/>
        <v>1</v>
      </c>
      <c r="G102">
        <f t="shared" si="24"/>
        <v>5.4441779199997556E-2</v>
      </c>
      <c r="H102">
        <f t="shared" si="24"/>
        <v>0</v>
      </c>
      <c r="I102">
        <f t="shared" si="24"/>
        <v>0</v>
      </c>
      <c r="J102" s="1">
        <f t="shared" si="22"/>
        <v>2.690511800990942E-3</v>
      </c>
      <c r="K102" s="1">
        <f t="shared" si="22"/>
        <v>8.3590709391807122E-36</v>
      </c>
      <c r="L102" s="1">
        <f t="shared" si="22"/>
        <v>1.2037062152420224E-35</v>
      </c>
      <c r="N102" s="1">
        <f t="shared" si="25"/>
        <v>5.8409889105344712E-2</v>
      </c>
      <c r="O102" s="1">
        <f t="shared" si="25"/>
        <v>0.53514673552487257</v>
      </c>
      <c r="P102" s="1">
        <f t="shared" si="25"/>
        <v>0.31592152199762574</v>
      </c>
      <c r="R102" s="1">
        <f t="shared" si="26"/>
        <v>2.6925781140541031E-3</v>
      </c>
      <c r="S102" s="1">
        <f t="shared" si="26"/>
        <v>8.3590709391807122E-36</v>
      </c>
      <c r="T102" s="1">
        <f t="shared" si="26"/>
        <v>1.2037062152420224E-35</v>
      </c>
      <c r="V102">
        <v>24.992000000000001</v>
      </c>
      <c r="W102">
        <v>25</v>
      </c>
      <c r="X102">
        <v>25</v>
      </c>
    </row>
    <row r="103" spans="1:24" x14ac:dyDescent="0.3">
      <c r="A103">
        <v>25.046399999999998</v>
      </c>
      <c r="B103">
        <v>25</v>
      </c>
      <c r="C103">
        <v>25</v>
      </c>
      <c r="D103">
        <f t="shared" si="23"/>
        <v>0.99078765637106192</v>
      </c>
      <c r="E103">
        <f t="shared" si="23"/>
        <v>1</v>
      </c>
      <c r="F103">
        <f t="shared" si="23"/>
        <v>1</v>
      </c>
      <c r="G103">
        <f t="shared" si="24"/>
        <v>0.37555978580000321</v>
      </c>
      <c r="H103">
        <f t="shared" si="24"/>
        <v>0</v>
      </c>
      <c r="I103">
        <f t="shared" si="24"/>
        <v>0</v>
      </c>
      <c r="J103" s="1">
        <f t="shared" si="22"/>
        <v>0.13785325663910891</v>
      </c>
      <c r="K103" s="1">
        <f t="shared" si="22"/>
        <v>8.3590709391807122E-36</v>
      </c>
      <c r="L103" s="1">
        <f t="shared" si="22"/>
        <v>1.2037062152420224E-35</v>
      </c>
      <c r="N103" s="1">
        <f t="shared" si="25"/>
        <v>8.7664183174307422E-2</v>
      </c>
      <c r="O103" s="1">
        <f t="shared" si="25"/>
        <v>0.53514673552487257</v>
      </c>
      <c r="P103" s="1">
        <f t="shared" si="25"/>
        <v>0.31592152199762574</v>
      </c>
      <c r="R103" s="1">
        <f t="shared" si="26"/>
        <v>0.13913501621933935</v>
      </c>
      <c r="S103" s="1">
        <f t="shared" si="26"/>
        <v>8.3590709391807122E-36</v>
      </c>
      <c r="T103" s="1">
        <f t="shared" si="26"/>
        <v>1.2037062152420224E-35</v>
      </c>
      <c r="V103">
        <v>25.046399999999998</v>
      </c>
      <c r="W103">
        <v>25</v>
      </c>
      <c r="X103">
        <v>25</v>
      </c>
    </row>
    <row r="104" spans="1:24" x14ac:dyDescent="0.3">
      <c r="A104">
        <v>25.418500000000002</v>
      </c>
      <c r="B104">
        <v>25</v>
      </c>
      <c r="C104">
        <v>25</v>
      </c>
      <c r="D104">
        <f t="shared" si="23"/>
        <v>0.98019996079200145</v>
      </c>
      <c r="E104">
        <f t="shared" si="23"/>
        <v>1</v>
      </c>
      <c r="F104">
        <f t="shared" si="23"/>
        <v>1</v>
      </c>
      <c r="G104">
        <f t="shared" si="24"/>
        <v>0.17649459999999825</v>
      </c>
      <c r="H104">
        <f t="shared" si="24"/>
        <v>0</v>
      </c>
      <c r="I104">
        <f t="shared" si="24"/>
        <v>0</v>
      </c>
      <c r="J104" s="1">
        <f t="shared" si="22"/>
        <v>2.9657052605211318E-2</v>
      </c>
      <c r="K104" s="1">
        <f t="shared" si="22"/>
        <v>8.3590709391807122E-36</v>
      </c>
      <c r="L104" s="1">
        <f t="shared" si="22"/>
        <v>1.2037062152420224E-35</v>
      </c>
      <c r="N104" s="1">
        <f t="shared" si="25"/>
        <v>0.44646635565705917</v>
      </c>
      <c r="O104" s="1">
        <f t="shared" si="25"/>
        <v>0.53514673552487257</v>
      </c>
      <c r="P104" s="1">
        <f t="shared" si="25"/>
        <v>0.31592152199762574</v>
      </c>
      <c r="R104" s="1">
        <f t="shared" si="26"/>
        <v>3.0256125067836592E-2</v>
      </c>
      <c r="S104" s="1">
        <f t="shared" si="26"/>
        <v>8.3590709391807122E-36</v>
      </c>
      <c r="T104" s="1">
        <f t="shared" si="26"/>
        <v>1.2037062152420224E-35</v>
      </c>
      <c r="V104">
        <v>25.418500000000002</v>
      </c>
      <c r="W104">
        <v>25</v>
      </c>
      <c r="X104">
        <v>25</v>
      </c>
    </row>
    <row r="105" spans="1:24" x14ac:dyDescent="0.3">
      <c r="A105">
        <v>25.5915</v>
      </c>
      <c r="B105">
        <v>25</v>
      </c>
      <c r="C105">
        <v>25</v>
      </c>
      <c r="D105">
        <f t="shared" si="23"/>
        <v>0.98230283217552561</v>
      </c>
      <c r="E105">
        <f t="shared" si="23"/>
        <v>1</v>
      </c>
      <c r="F105">
        <f t="shared" si="23"/>
        <v>1</v>
      </c>
      <c r="G105">
        <f t="shared" si="24"/>
        <v>-0.28728411519999958</v>
      </c>
      <c r="H105">
        <f t="shared" si="24"/>
        <v>0</v>
      </c>
      <c r="I105">
        <f t="shared" si="24"/>
        <v>0</v>
      </c>
      <c r="J105" s="1">
        <f t="shared" si="22"/>
        <v>8.2518164833038893E-2</v>
      </c>
      <c r="K105" s="1">
        <f t="shared" si="22"/>
        <v>8.3590709391807122E-36</v>
      </c>
      <c r="L105" s="1">
        <f t="shared" si="22"/>
        <v>1.2037062152420224E-35</v>
      </c>
      <c r="N105" s="1">
        <f t="shared" si="25"/>
        <v>0.70758611289843154</v>
      </c>
      <c r="O105" s="1">
        <f t="shared" si="25"/>
        <v>0.53514673552487257</v>
      </c>
      <c r="P105" s="1">
        <f t="shared" si="25"/>
        <v>0.31592152199762574</v>
      </c>
      <c r="R105" s="1">
        <f t="shared" si="26"/>
        <v>8.4004812090670927E-2</v>
      </c>
      <c r="S105" s="1">
        <f t="shared" si="26"/>
        <v>8.3590709391807122E-36</v>
      </c>
      <c r="T105" s="1">
        <f t="shared" si="26"/>
        <v>1.2037062152420224E-35</v>
      </c>
      <c r="V105">
        <v>25.5915</v>
      </c>
      <c r="W105">
        <v>25</v>
      </c>
      <c r="X105">
        <v>25</v>
      </c>
    </row>
    <row r="106" spans="1:24" x14ac:dyDescent="0.3">
      <c r="A106">
        <v>25.3093</v>
      </c>
      <c r="B106">
        <v>25</v>
      </c>
      <c r="C106">
        <v>25</v>
      </c>
      <c r="D106">
        <f t="shared" si="23"/>
        <v>0.99554196308928622</v>
      </c>
      <c r="E106">
        <f t="shared" si="23"/>
        <v>1</v>
      </c>
      <c r="F106">
        <f t="shared" si="23"/>
        <v>1</v>
      </c>
      <c r="G106">
        <f t="shared" si="24"/>
        <v>-0.39646746660000026</v>
      </c>
      <c r="H106">
        <f t="shared" si="24"/>
        <v>0</v>
      </c>
      <c r="I106">
        <f t="shared" si="24"/>
        <v>0</v>
      </c>
      <c r="J106" s="1">
        <f t="shared" si="22"/>
        <v>0.15850652007557539</v>
      </c>
      <c r="K106" s="1">
        <f t="shared" si="22"/>
        <v>8.3590709391807122E-36</v>
      </c>
      <c r="L106" s="1">
        <f t="shared" si="22"/>
        <v>1.2037062152420224E-35</v>
      </c>
      <c r="N106" s="1">
        <f t="shared" si="25"/>
        <v>0.31246018241568096</v>
      </c>
      <c r="O106" s="1">
        <f t="shared" si="25"/>
        <v>0.53514673552487257</v>
      </c>
      <c r="P106" s="1">
        <f t="shared" si="25"/>
        <v>0.31592152199762574</v>
      </c>
      <c r="R106" s="1">
        <f t="shared" si="26"/>
        <v>0.15921631227247382</v>
      </c>
      <c r="S106" s="1">
        <f t="shared" si="26"/>
        <v>8.3590709391807122E-36</v>
      </c>
      <c r="T106" s="1">
        <f t="shared" si="26"/>
        <v>1.2037062152420224E-35</v>
      </c>
      <c r="V106">
        <v>25.3093</v>
      </c>
      <c r="W106">
        <v>25</v>
      </c>
      <c r="X106">
        <v>25</v>
      </c>
    </row>
    <row r="107" spans="1:24" x14ac:dyDescent="0.3">
      <c r="A107">
        <v>24.9146</v>
      </c>
      <c r="B107">
        <v>25</v>
      </c>
      <c r="C107">
        <v>25</v>
      </c>
      <c r="D107">
        <f t="shared" si="23"/>
        <v>1.0113882314865386</v>
      </c>
      <c r="E107">
        <f t="shared" si="23"/>
        <v>0.99601593625497997</v>
      </c>
      <c r="F107">
        <f t="shared" si="23"/>
        <v>1</v>
      </c>
      <c r="G107">
        <f t="shared" si="24"/>
        <v>-0.38778382799999894</v>
      </c>
      <c r="H107">
        <f t="shared" si="24"/>
        <v>0.20079999999999931</v>
      </c>
      <c r="I107">
        <f t="shared" si="24"/>
        <v>0</v>
      </c>
      <c r="J107" s="1">
        <f t="shared" si="22"/>
        <v>0.15409697292341604</v>
      </c>
      <c r="K107" s="1">
        <f t="shared" si="22"/>
        <v>4.0159999999999724E-2</v>
      </c>
      <c r="L107" s="1">
        <f t="shared" si="22"/>
        <v>1.2037062152420224E-35</v>
      </c>
      <c r="N107" s="1">
        <f t="shared" si="25"/>
        <v>2.698837158810501E-2</v>
      </c>
      <c r="O107" s="1">
        <f t="shared" si="25"/>
        <v>0.53514673552487257</v>
      </c>
      <c r="P107" s="1">
        <f t="shared" si="25"/>
        <v>0.31592152199762574</v>
      </c>
      <c r="R107" s="1">
        <f t="shared" si="26"/>
        <v>0.15236184100829836</v>
      </c>
      <c r="S107" s="1">
        <f t="shared" si="26"/>
        <v>4.0320639999999727E-2</v>
      </c>
      <c r="T107" s="1">
        <f t="shared" si="26"/>
        <v>1.2037062152420224E-35</v>
      </c>
      <c r="V107">
        <v>24.9146</v>
      </c>
      <c r="W107">
        <v>25</v>
      </c>
      <c r="X107">
        <v>25</v>
      </c>
    </row>
    <row r="108" spans="1:24" x14ac:dyDescent="0.3">
      <c r="A108">
        <v>24.522400000000001</v>
      </c>
      <c r="B108">
        <v>25.2</v>
      </c>
      <c r="C108">
        <v>25</v>
      </c>
      <c r="D108">
        <f t="shared" si="23"/>
        <v>1.0235225963083587</v>
      </c>
      <c r="E108">
        <f t="shared" si="23"/>
        <v>0.99601593625497997</v>
      </c>
      <c r="F108">
        <f t="shared" si="23"/>
        <v>0.99601593625497997</v>
      </c>
      <c r="G108">
        <f t="shared" si="24"/>
        <v>-0.18944379020000277</v>
      </c>
      <c r="H108">
        <f t="shared" si="24"/>
        <v>-0.20079999999999931</v>
      </c>
      <c r="I108">
        <f t="shared" si="24"/>
        <v>0.20079999999999931</v>
      </c>
      <c r="J108" s="1">
        <f t="shared" si="22"/>
        <v>3.7729372864111148E-2</v>
      </c>
      <c r="K108" s="1">
        <f t="shared" si="22"/>
        <v>4.0159999999999724E-2</v>
      </c>
      <c r="L108" s="1">
        <f t="shared" si="22"/>
        <v>4.0159999999999724E-2</v>
      </c>
      <c r="N108" s="1">
        <f t="shared" si="25"/>
        <v>5.1946897657080535E-2</v>
      </c>
      <c r="O108" s="1">
        <f t="shared" si="25"/>
        <v>0.28253183897314343</v>
      </c>
      <c r="P108" s="1">
        <f t="shared" si="25"/>
        <v>0.31592152199762574</v>
      </c>
      <c r="R108" s="1">
        <f t="shared" si="26"/>
        <v>3.6862276416948142E-2</v>
      </c>
      <c r="S108" s="1">
        <f t="shared" si="26"/>
        <v>4.0320639999999727E-2</v>
      </c>
      <c r="T108" s="1">
        <f t="shared" si="26"/>
        <v>4.0320639999999727E-2</v>
      </c>
      <c r="V108">
        <v>24.522400000000001</v>
      </c>
      <c r="W108">
        <v>25.2</v>
      </c>
      <c r="X108">
        <v>25</v>
      </c>
    </row>
    <row r="109" spans="1:24" x14ac:dyDescent="0.3">
      <c r="A109">
        <v>24.328499999999998</v>
      </c>
      <c r="B109">
        <v>25</v>
      </c>
      <c r="C109">
        <v>25.2</v>
      </c>
      <c r="D109">
        <f t="shared" si="23"/>
        <v>1.0202228574809882</v>
      </c>
      <c r="E109">
        <f t="shared" si="23"/>
        <v>0.99601593625497997</v>
      </c>
      <c r="F109">
        <f t="shared" si="23"/>
        <v>0.99009900990099009</v>
      </c>
      <c r="G109">
        <f t="shared" si="24"/>
        <v>0.34492463820000052</v>
      </c>
      <c r="H109">
        <f t="shared" si="24"/>
        <v>0.20079999999999931</v>
      </c>
      <c r="I109">
        <f t="shared" si="24"/>
        <v>0.10100000000000144</v>
      </c>
      <c r="J109" s="1">
        <f t="shared" si="22"/>
        <v>0.11958972172488257</v>
      </c>
      <c r="K109" s="1">
        <f t="shared" si="22"/>
        <v>4.0159999999999724E-2</v>
      </c>
      <c r="L109" s="1">
        <f t="shared" si="22"/>
        <v>1.0100000000000288E-2</v>
      </c>
      <c r="N109" s="1">
        <f t="shared" si="25"/>
        <v>0.177930948760536</v>
      </c>
      <c r="O109" s="1">
        <f t="shared" si="25"/>
        <v>0.53514673552487257</v>
      </c>
      <c r="P109" s="1">
        <f t="shared" si="25"/>
        <v>0.13109393579072834</v>
      </c>
      <c r="R109" s="1">
        <f t="shared" si="26"/>
        <v>0.11721921426085194</v>
      </c>
      <c r="S109" s="1">
        <f t="shared" si="26"/>
        <v>4.0320639999999727E-2</v>
      </c>
      <c r="T109" s="1">
        <f t="shared" si="26"/>
        <v>1.020100000000029E-2</v>
      </c>
      <c r="V109">
        <v>24.328499999999998</v>
      </c>
      <c r="W109">
        <v>25</v>
      </c>
      <c r="X109">
        <v>25.2</v>
      </c>
    </row>
    <row r="110" spans="1:24" x14ac:dyDescent="0.3">
      <c r="A110">
        <v>24.680399999999999</v>
      </c>
      <c r="B110">
        <v>25.2</v>
      </c>
      <c r="C110">
        <v>25.3</v>
      </c>
      <c r="D110">
        <f t="shared" si="23"/>
        <v>1.0017390189368744</v>
      </c>
      <c r="E110">
        <f t="shared" si="23"/>
        <v>0.99206349206349209</v>
      </c>
      <c r="F110">
        <f t="shared" si="23"/>
        <v>0.98814229249011853</v>
      </c>
      <c r="G110">
        <f t="shared" si="24"/>
        <v>0.55144103360000218</v>
      </c>
      <c r="H110">
        <f t="shared" si="24"/>
        <v>0</v>
      </c>
      <c r="I110">
        <f t="shared" si="24"/>
        <v>0</v>
      </c>
      <c r="J110" s="1">
        <f t="shared" si="22"/>
        <v>0.30180340792822163</v>
      </c>
      <c r="K110" s="1">
        <f t="shared" si="22"/>
        <v>8.2927291063300717E-36</v>
      </c>
      <c r="L110" s="1">
        <f t="shared" si="22"/>
        <v>1.1894330190138561E-35</v>
      </c>
      <c r="N110" s="1">
        <f t="shared" si="25"/>
        <v>4.8886135191459233E-3</v>
      </c>
      <c r="O110" s="1">
        <f t="shared" si="25"/>
        <v>0.28253183897314343</v>
      </c>
      <c r="P110" s="1">
        <f t="shared" si="25"/>
        <v>6.8680142687278484E-2</v>
      </c>
      <c r="R110" s="1">
        <f t="shared" si="26"/>
        <v>0.30127947721205822</v>
      </c>
      <c r="S110" s="1">
        <f t="shared" si="26"/>
        <v>8.3590709391807122E-36</v>
      </c>
      <c r="T110" s="1">
        <f t="shared" si="26"/>
        <v>1.2037062152420224E-35</v>
      </c>
      <c r="V110">
        <v>24.680399999999999</v>
      </c>
      <c r="W110">
        <v>25.2</v>
      </c>
      <c r="X110">
        <v>25.3</v>
      </c>
    </row>
    <row r="111" spans="1:24" x14ac:dyDescent="0.3">
      <c r="A111">
        <v>25.232800000000001</v>
      </c>
      <c r="B111">
        <v>25.2</v>
      </c>
      <c r="C111">
        <v>25.3</v>
      </c>
      <c r="D111">
        <f t="shared" si="23"/>
        <v>0.98213882335840408</v>
      </c>
      <c r="E111">
        <f t="shared" si="23"/>
        <v>0.99601593625497997</v>
      </c>
      <c r="F111">
        <f t="shared" si="23"/>
        <v>0.98814229249011853</v>
      </c>
      <c r="G111">
        <f t="shared" si="24"/>
        <v>0.45176912819999976</v>
      </c>
      <c r="H111">
        <f t="shared" si="24"/>
        <v>-0.20079999999999931</v>
      </c>
      <c r="I111">
        <f t="shared" si="24"/>
        <v>0</v>
      </c>
      <c r="J111" s="1">
        <f t="shared" si="22"/>
        <v>0.19819195972728132</v>
      </c>
      <c r="K111" s="1">
        <f t="shared" si="22"/>
        <v>4.0159999999999724E-2</v>
      </c>
      <c r="L111" s="1">
        <f t="shared" si="22"/>
        <v>1.1894330190138561E-35</v>
      </c>
      <c r="N111" s="1">
        <f t="shared" si="25"/>
        <v>0.23278828138120086</v>
      </c>
      <c r="O111" s="1">
        <f t="shared" si="25"/>
        <v>0.28253183897314343</v>
      </c>
      <c r="P111" s="1">
        <f t="shared" si="25"/>
        <v>6.8680142687278484E-2</v>
      </c>
      <c r="R111" s="1">
        <f t="shared" si="26"/>
        <v>0.20179627870688166</v>
      </c>
      <c r="S111" s="1">
        <f t="shared" si="26"/>
        <v>4.0320639999999727E-2</v>
      </c>
      <c r="T111" s="1">
        <f t="shared" si="26"/>
        <v>1.2037062152420224E-35</v>
      </c>
      <c r="V111">
        <v>25.232800000000001</v>
      </c>
      <c r="W111">
        <v>25.2</v>
      </c>
      <c r="X111">
        <v>25.3</v>
      </c>
    </row>
    <row r="112" spans="1:24" x14ac:dyDescent="0.3">
      <c r="A112">
        <v>25.676500000000001</v>
      </c>
      <c r="B112">
        <v>25</v>
      </c>
      <c r="C112">
        <v>25.3</v>
      </c>
      <c r="D112">
        <f t="shared" si="23"/>
        <v>0.96469412443396574</v>
      </c>
      <c r="E112">
        <f t="shared" si="23"/>
        <v>1</v>
      </c>
      <c r="F112">
        <f t="shared" si="23"/>
        <v>0.98619329388560151</v>
      </c>
      <c r="G112">
        <f t="shared" si="24"/>
        <v>0.49435358620000058</v>
      </c>
      <c r="H112">
        <f t="shared" si="24"/>
        <v>0</v>
      </c>
      <c r="I112">
        <f t="shared" si="24"/>
        <v>0.10139999999999784</v>
      </c>
      <c r="J112" s="1">
        <f t="shared" si="22"/>
        <v>0.23332967492537954</v>
      </c>
      <c r="K112" s="1">
        <f t="shared" si="22"/>
        <v>8.3590709391807122E-36</v>
      </c>
      <c r="L112" s="1">
        <f t="shared" si="22"/>
        <v>1.0139999999999568E-2</v>
      </c>
      <c r="N112" s="1">
        <f t="shared" si="25"/>
        <v>0.85781194738118938</v>
      </c>
      <c r="O112" s="1">
        <f t="shared" si="25"/>
        <v>0.53514673552487257</v>
      </c>
      <c r="P112" s="1">
        <f t="shared" si="25"/>
        <v>6.8680142687278484E-2</v>
      </c>
      <c r="R112" s="1">
        <f t="shared" si="26"/>
        <v>0.24186907436829858</v>
      </c>
      <c r="S112" s="1">
        <f t="shared" si="26"/>
        <v>8.3590709391807122E-36</v>
      </c>
      <c r="T112" s="1">
        <f t="shared" si="26"/>
        <v>1.0281959999999563E-2</v>
      </c>
      <c r="V112">
        <v>25.676500000000001</v>
      </c>
      <c r="W112">
        <v>25</v>
      </c>
      <c r="X112">
        <v>25.3</v>
      </c>
    </row>
    <row r="113" spans="1:24" x14ac:dyDescent="0.3">
      <c r="A113">
        <v>26.153400000000001</v>
      </c>
      <c r="B113">
        <v>25</v>
      </c>
      <c r="C113">
        <v>25.4</v>
      </c>
      <c r="D113">
        <f t="shared" si="23"/>
        <v>0.95664668550622867</v>
      </c>
      <c r="E113">
        <f t="shared" si="23"/>
        <v>0.99601593625497997</v>
      </c>
      <c r="F113">
        <f t="shared" si="23"/>
        <v>0.9784735812133073</v>
      </c>
      <c r="G113">
        <f t="shared" si="24"/>
        <v>-4.2753506200000631E-2</v>
      </c>
      <c r="H113">
        <f t="shared" si="24"/>
        <v>0.20079999999999931</v>
      </c>
      <c r="I113">
        <f t="shared" si="24"/>
        <v>0.30660000000000071</v>
      </c>
      <c r="J113" s="1">
        <f t="shared" si="22"/>
        <v>1.9635781975401666E-3</v>
      </c>
      <c r="K113" s="1">
        <f t="shared" si="22"/>
        <v>4.0159999999999724E-2</v>
      </c>
      <c r="L113" s="1">
        <f t="shared" si="22"/>
        <v>9.1980000000000423E-2</v>
      </c>
      <c r="N113" s="1">
        <f t="shared" si="25"/>
        <v>1.9686373569673858</v>
      </c>
      <c r="O113" s="1">
        <f t="shared" si="25"/>
        <v>0.53514673552487257</v>
      </c>
      <c r="P113" s="1">
        <f t="shared" si="25"/>
        <v>2.6266349583830357E-2</v>
      </c>
      <c r="R113" s="1">
        <f t="shared" si="26"/>
        <v>2.052563634296292E-3</v>
      </c>
      <c r="S113" s="1">
        <f t="shared" si="26"/>
        <v>4.0320639999999727E-2</v>
      </c>
      <c r="T113" s="1">
        <f t="shared" si="26"/>
        <v>9.400356000000043E-2</v>
      </c>
      <c r="V113">
        <v>26.153400000000001</v>
      </c>
      <c r="W113">
        <v>25</v>
      </c>
      <c r="X113">
        <v>25.4</v>
      </c>
    </row>
    <row r="114" spans="1:24" x14ac:dyDescent="0.3">
      <c r="A114">
        <v>26.112500000000001</v>
      </c>
      <c r="B114">
        <v>25.2</v>
      </c>
      <c r="C114">
        <v>25.7</v>
      </c>
      <c r="D114">
        <f t="shared" si="23"/>
        <v>0.95396544355577251</v>
      </c>
      <c r="E114">
        <f t="shared" si="23"/>
        <v>0.99206349206349209</v>
      </c>
      <c r="F114">
        <f t="shared" si="23"/>
        <v>0.970873786407767</v>
      </c>
      <c r="G114">
        <f t="shared" si="24"/>
        <v>0.1968624767999993</v>
      </c>
      <c r="H114">
        <f t="shared" si="24"/>
        <v>0</v>
      </c>
      <c r="I114">
        <f t="shared" si="24"/>
        <v>0.10300000000000147</v>
      </c>
      <c r="J114" s="1">
        <f t="shared" si="22"/>
        <v>3.6018558178929169E-2</v>
      </c>
      <c r="K114" s="1">
        <f t="shared" si="22"/>
        <v>8.2927291063300717E-36</v>
      </c>
      <c r="L114" s="1">
        <f t="shared" si="22"/>
        <v>1.0300000000000293E-2</v>
      </c>
      <c r="N114" s="1">
        <f t="shared" si="25"/>
        <v>1.855538110139799</v>
      </c>
      <c r="O114" s="1">
        <f t="shared" si="25"/>
        <v>0.28253183897314343</v>
      </c>
      <c r="P114" s="1">
        <f t="shared" si="25"/>
        <v>1.9024970273482798E-2</v>
      </c>
      <c r="R114" s="1">
        <f t="shared" si="26"/>
        <v>3.7756669722411582E-2</v>
      </c>
      <c r="S114" s="1">
        <f t="shared" si="26"/>
        <v>8.3590709391807122E-36</v>
      </c>
      <c r="T114" s="1">
        <f t="shared" si="26"/>
        <v>1.0609000000000302E-2</v>
      </c>
      <c r="V114">
        <v>26.112500000000001</v>
      </c>
      <c r="W114">
        <v>25.2</v>
      </c>
      <c r="X114">
        <v>25.7</v>
      </c>
    </row>
    <row r="115" spans="1:24" x14ac:dyDescent="0.3">
      <c r="A115">
        <v>26.3003</v>
      </c>
      <c r="B115">
        <v>25.2</v>
      </c>
      <c r="C115">
        <v>25.8</v>
      </c>
      <c r="D115">
        <f t="shared" si="23"/>
        <v>0.94605231290869463</v>
      </c>
      <c r="E115">
        <f t="shared" si="23"/>
        <v>0.99206349206349209</v>
      </c>
      <c r="F115">
        <f t="shared" si="23"/>
        <v>0.96711798839458407</v>
      </c>
      <c r="G115">
        <f t="shared" si="24"/>
        <v>0.26489021439999849</v>
      </c>
      <c r="H115">
        <f t="shared" si="24"/>
        <v>0</v>
      </c>
      <c r="I115">
        <f t="shared" si="24"/>
        <v>0.1033999999999978</v>
      </c>
      <c r="J115" s="1">
        <f t="shared" si="22"/>
        <v>6.5108725050908769E-2</v>
      </c>
      <c r="K115" s="1">
        <f t="shared" si="22"/>
        <v>8.2927291063300717E-36</v>
      </c>
      <c r="L115" s="1">
        <f t="shared" si="22"/>
        <v>1.033999999999956E-2</v>
      </c>
      <c r="N115" s="1">
        <f t="shared" si="25"/>
        <v>2.4024422762087574</v>
      </c>
      <c r="O115" s="1">
        <f t="shared" si="25"/>
        <v>0.28253183897314343</v>
      </c>
      <c r="P115" s="1">
        <f t="shared" si="25"/>
        <v>5.6611177170034367E-2</v>
      </c>
      <c r="R115" s="1">
        <f t="shared" si="26"/>
        <v>6.8821484988211792E-2</v>
      </c>
      <c r="S115" s="1">
        <f t="shared" si="26"/>
        <v>8.3590709391807122E-36</v>
      </c>
      <c r="T115" s="1">
        <f t="shared" si="26"/>
        <v>1.0691559999999545E-2</v>
      </c>
      <c r="V115">
        <v>26.3003</v>
      </c>
      <c r="W115">
        <v>25.2</v>
      </c>
      <c r="X115">
        <v>25.8</v>
      </c>
    </row>
    <row r="116" spans="1:24" x14ac:dyDescent="0.3">
      <c r="A116">
        <v>26.550899999999999</v>
      </c>
      <c r="B116">
        <v>25.2</v>
      </c>
      <c r="C116">
        <v>25.9</v>
      </c>
      <c r="D116">
        <f t="shared" si="23"/>
        <v>0.94051434848690052</v>
      </c>
      <c r="E116">
        <f t="shared" si="23"/>
        <v>0.98619329388560151</v>
      </c>
      <c r="F116">
        <f t="shared" si="23"/>
        <v>0.95969289827255289</v>
      </c>
      <c r="G116">
        <f t="shared" si="24"/>
        <v>6.4432828800000924E-2</v>
      </c>
      <c r="H116">
        <f t="shared" si="24"/>
        <v>0.30420000000000075</v>
      </c>
      <c r="I116">
        <f t="shared" si="24"/>
        <v>0.31260000000000071</v>
      </c>
      <c r="J116" s="1">
        <f t="shared" si="22"/>
        <v>3.6014847633052492E-3</v>
      </c>
      <c r="K116" s="1">
        <f t="shared" si="22"/>
        <v>9.1260000000000438E-2</v>
      </c>
      <c r="L116" s="1">
        <f t="shared" si="22"/>
        <v>9.3780000000000432E-2</v>
      </c>
      <c r="N116" s="1">
        <f t="shared" si="25"/>
        <v>3.2420933035190904</v>
      </c>
      <c r="O116" s="1">
        <f t="shared" si="25"/>
        <v>0.28253183897314343</v>
      </c>
      <c r="P116" s="1">
        <f t="shared" si="25"/>
        <v>0.1141973840665841</v>
      </c>
      <c r="R116" s="1">
        <f t="shared" si="26"/>
        <v>3.8292714716147798E-3</v>
      </c>
      <c r="S116" s="1">
        <f t="shared" si="26"/>
        <v>9.2537640000000448E-2</v>
      </c>
      <c r="T116" s="1">
        <f t="shared" si="26"/>
        <v>9.7718760000000446E-2</v>
      </c>
      <c r="V116">
        <v>26.550899999999999</v>
      </c>
      <c r="W116">
        <v>25.2</v>
      </c>
      <c r="X116">
        <v>25.9</v>
      </c>
    </row>
    <row r="117" spans="1:24" x14ac:dyDescent="0.3">
      <c r="A117">
        <v>26.611499999999999</v>
      </c>
      <c r="B117">
        <v>25.5</v>
      </c>
      <c r="C117">
        <v>26.2</v>
      </c>
      <c r="D117">
        <f t="shared" si="23"/>
        <v>0.94129341245218223</v>
      </c>
      <c r="E117">
        <f t="shared" si="23"/>
        <v>0.97465886939571156</v>
      </c>
      <c r="F117">
        <f t="shared" si="23"/>
        <v>0.95057034220532333</v>
      </c>
      <c r="G117">
        <f t="shared" si="24"/>
        <v>-0.11112369279999768</v>
      </c>
      <c r="H117">
        <f t="shared" si="24"/>
        <v>0.30780000000000068</v>
      </c>
      <c r="I117">
        <f t="shared" si="24"/>
        <v>0.21039999999999923</v>
      </c>
      <c r="J117" s="1">
        <f t="shared" si="22"/>
        <v>1.2163487378609306E-2</v>
      </c>
      <c r="K117" s="1">
        <f t="shared" si="22"/>
        <v>9.2340000000000422E-2</v>
      </c>
      <c r="L117" s="1">
        <f t="shared" si="22"/>
        <v>4.2079999999999694E-2</v>
      </c>
      <c r="N117" s="1">
        <f t="shared" si="25"/>
        <v>3.463996126691506</v>
      </c>
      <c r="O117" s="1">
        <f t="shared" si="25"/>
        <v>5.3609494145547741E-2</v>
      </c>
      <c r="P117" s="1">
        <f t="shared" si="25"/>
        <v>0.40695600475623728</v>
      </c>
      <c r="R117" s="1">
        <f t="shared" si="26"/>
        <v>1.2922099759438413E-2</v>
      </c>
      <c r="S117" s="1">
        <f t="shared" si="26"/>
        <v>9.4740840000000423E-2</v>
      </c>
      <c r="T117" s="1">
        <f t="shared" si="26"/>
        <v>4.4268159999999675E-2</v>
      </c>
      <c r="V117">
        <v>26.611499999999999</v>
      </c>
      <c r="W117">
        <v>25.5</v>
      </c>
      <c r="X117">
        <v>26.2</v>
      </c>
    </row>
    <row r="118" spans="1:24" x14ac:dyDescent="0.3">
      <c r="A118">
        <v>26.506900000000002</v>
      </c>
      <c r="B118">
        <v>25.8</v>
      </c>
      <c r="C118">
        <v>26.4</v>
      </c>
      <c r="D118">
        <f t="shared" si="23"/>
        <v>0.9424555490840274</v>
      </c>
      <c r="E118">
        <f t="shared" si="23"/>
        <v>0.96899224806201545</v>
      </c>
      <c r="F118">
        <f t="shared" si="23"/>
        <v>0.94517958412098302</v>
      </c>
      <c r="G118">
        <f t="shared" si="24"/>
        <v>4.1487367799997552E-2</v>
      </c>
      <c r="H118">
        <f t="shared" si="24"/>
        <v>0</v>
      </c>
      <c r="I118">
        <f t="shared" si="24"/>
        <v>0.1058000000000015</v>
      </c>
      <c r="J118" s="1">
        <f t="shared" si="22"/>
        <v>1.4287480724581834E-3</v>
      </c>
      <c r="K118" s="1">
        <f t="shared" si="22"/>
        <v>8.0998749410665813E-36</v>
      </c>
      <c r="L118" s="1">
        <f t="shared" si="22"/>
        <v>1.0580000000000301E-2</v>
      </c>
      <c r="N118" s="1">
        <f t="shared" si="25"/>
        <v>3.0855781421397923</v>
      </c>
      <c r="O118" s="1">
        <f t="shared" si="25"/>
        <v>4.687149317952926E-3</v>
      </c>
      <c r="P118" s="1">
        <f t="shared" si="25"/>
        <v>0.70212841854933783</v>
      </c>
      <c r="R118" s="1">
        <f t="shared" si="26"/>
        <v>1.5159845722663352E-3</v>
      </c>
      <c r="S118" s="1">
        <f t="shared" si="26"/>
        <v>8.3590709391807122E-36</v>
      </c>
      <c r="T118" s="1">
        <f t="shared" si="26"/>
        <v>1.1193640000000319E-2</v>
      </c>
      <c r="V118">
        <v>26.506900000000002</v>
      </c>
      <c r="W118">
        <v>25.8</v>
      </c>
      <c r="X118">
        <v>26.4</v>
      </c>
    </row>
    <row r="119" spans="1:24" x14ac:dyDescent="0.3">
      <c r="A119">
        <v>26.545999999999999</v>
      </c>
      <c r="B119">
        <v>25.8</v>
      </c>
      <c r="C119">
        <v>26.5</v>
      </c>
      <c r="D119">
        <f t="shared" si="23"/>
        <v>0.94013237063778587</v>
      </c>
      <c r="E119">
        <f t="shared" si="23"/>
        <v>0.97276264591439676</v>
      </c>
      <c r="F119">
        <f t="shared" si="23"/>
        <v>0.94161958568738224</v>
      </c>
      <c r="G119">
        <f t="shared" si="24"/>
        <v>9.785856000000244E-2</v>
      </c>
      <c r="H119">
        <f t="shared" si="24"/>
        <v>-0.20559999999999928</v>
      </c>
      <c r="I119">
        <f t="shared" si="24"/>
        <v>0.10620000000000152</v>
      </c>
      <c r="J119" s="1">
        <f t="shared" si="22"/>
        <v>8.5395922763603378E-3</v>
      </c>
      <c r="K119" s="1">
        <f t="shared" si="22"/>
        <v>4.1119999999999705E-2</v>
      </c>
      <c r="L119" s="1">
        <f t="shared" si="22"/>
        <v>1.0620000000000303E-2</v>
      </c>
      <c r="N119" s="1">
        <f t="shared" si="25"/>
        <v>3.2244716160018521</v>
      </c>
      <c r="O119" s="1">
        <f t="shared" si="25"/>
        <v>4.687149317952926E-3</v>
      </c>
      <c r="P119" s="1">
        <f t="shared" si="25"/>
        <v>0.8797146254458913</v>
      </c>
      <c r="R119" s="1">
        <f t="shared" si="26"/>
        <v>9.0833935125189634E-3</v>
      </c>
      <c r="S119" s="1">
        <f t="shared" si="26"/>
        <v>4.2271359999999703E-2</v>
      </c>
      <c r="T119" s="1">
        <f t="shared" si="26"/>
        <v>1.1278440000000322E-2</v>
      </c>
      <c r="V119">
        <v>26.545999999999999</v>
      </c>
      <c r="W119">
        <v>25.8</v>
      </c>
      <c r="X119">
        <v>26.5</v>
      </c>
    </row>
    <row r="120" spans="1:24" x14ac:dyDescent="0.3">
      <c r="A120">
        <v>26.638000000000002</v>
      </c>
      <c r="B120">
        <v>25.6</v>
      </c>
      <c r="C120">
        <v>26.6</v>
      </c>
      <c r="D120">
        <f t="shared" si="23"/>
        <v>0.94233476631040114</v>
      </c>
      <c r="E120">
        <f t="shared" si="23"/>
        <v>0.98039215686274506</v>
      </c>
      <c r="F120">
        <f t="shared" si="23"/>
        <v>0.94339622641509435</v>
      </c>
      <c r="G120">
        <f t="shared" si="24"/>
        <v>-0.22953626220000045</v>
      </c>
      <c r="H120">
        <f t="shared" si="24"/>
        <v>-0.2040000000000029</v>
      </c>
      <c r="I120">
        <f t="shared" si="24"/>
        <v>-0.21200000000000302</v>
      </c>
      <c r="J120" s="1">
        <f t="shared" si="22"/>
        <v>5.0758703933387932E-2</v>
      </c>
      <c r="K120" s="1">
        <f t="shared" si="22"/>
        <v>4.0800000000001162E-2</v>
      </c>
      <c r="L120" s="1">
        <f t="shared" si="22"/>
        <v>4.2400000000001208E-2</v>
      </c>
      <c r="N120" s="1">
        <f t="shared" si="25"/>
        <v>3.5633409897949617</v>
      </c>
      <c r="O120" s="1">
        <f t="shared" si="25"/>
        <v>1.7302045869682398E-2</v>
      </c>
      <c r="P120" s="1">
        <f t="shared" si="25"/>
        <v>1.0773008323424453</v>
      </c>
      <c r="R120" s="1">
        <f t="shared" si="26"/>
        <v>5.3864832061887684E-2</v>
      </c>
      <c r="S120" s="1">
        <f t="shared" si="26"/>
        <v>4.1616000000001187E-2</v>
      </c>
      <c r="T120" s="1">
        <f t="shared" si="26"/>
        <v>4.4944000000001282E-2</v>
      </c>
      <c r="V120">
        <v>26.638000000000002</v>
      </c>
      <c r="W120">
        <v>25.6</v>
      </c>
      <c r="X120">
        <v>26.6</v>
      </c>
    </row>
    <row r="121" spans="1:24" x14ac:dyDescent="0.3">
      <c r="A121">
        <v>26.421700000000001</v>
      </c>
      <c r="B121">
        <v>25.4</v>
      </c>
      <c r="C121">
        <v>26.4</v>
      </c>
      <c r="D121">
        <f t="shared" si="23"/>
        <v>0.94160185307244681</v>
      </c>
      <c r="E121">
        <f t="shared" si="23"/>
        <v>0.98814229249011865</v>
      </c>
      <c r="F121">
        <f t="shared" si="23"/>
        <v>0.94696969696969702</v>
      </c>
      <c r="G121">
        <f t="shared" si="24"/>
        <v>0.27357635200000008</v>
      </c>
      <c r="H121">
        <f t="shared" si="24"/>
        <v>-0.20239999999999927</v>
      </c>
      <c r="I121">
        <f t="shared" si="24"/>
        <v>0</v>
      </c>
      <c r="J121" s="1">
        <f t="shared" si="22"/>
        <v>6.9164752521773482E-2</v>
      </c>
      <c r="K121" s="1">
        <f t="shared" si="22"/>
        <v>4.0479999999999711E-2</v>
      </c>
      <c r="L121" s="1">
        <f t="shared" si="22"/>
        <v>1.1398733098882789E-35</v>
      </c>
      <c r="N121" s="1">
        <f t="shared" si="25"/>
        <v>2.7935157151053103</v>
      </c>
      <c r="O121" s="1">
        <f t="shared" si="25"/>
        <v>0.10991694242141366</v>
      </c>
      <c r="P121" s="1">
        <f t="shared" si="25"/>
        <v>0.70212841854933783</v>
      </c>
      <c r="R121" s="1">
        <f t="shared" si="26"/>
        <v>7.3454350473173877E-2</v>
      </c>
      <c r="S121" s="1">
        <f t="shared" si="26"/>
        <v>4.0965759999999705E-2</v>
      </c>
      <c r="T121" s="1">
        <f t="shared" si="26"/>
        <v>1.2037062152420224E-35</v>
      </c>
      <c r="V121">
        <v>26.421700000000001</v>
      </c>
      <c r="W121">
        <v>25.4</v>
      </c>
      <c r="X121">
        <v>26.4</v>
      </c>
    </row>
    <row r="122" spans="1:24" x14ac:dyDescent="0.3">
      <c r="A122">
        <v>26.679300000000001</v>
      </c>
      <c r="B122">
        <v>25.2</v>
      </c>
      <c r="C122">
        <v>26.4</v>
      </c>
      <c r="D122">
        <f t="shared" si="23"/>
        <v>0.93283582089552242</v>
      </c>
      <c r="E122">
        <f t="shared" si="23"/>
        <v>0.98619329388560151</v>
      </c>
      <c r="F122">
        <f t="shared" si="23"/>
        <v>0.94339622641509435</v>
      </c>
      <c r="G122">
        <f t="shared" si="24"/>
        <v>0.25878079999999865</v>
      </c>
      <c r="H122">
        <f t="shared" si="24"/>
        <v>0.30420000000000075</v>
      </c>
      <c r="I122">
        <f t="shared" si="24"/>
        <v>0.21200000000000302</v>
      </c>
      <c r="J122" s="1">
        <f t="shared" si="22"/>
        <v>6.1243788056971081E-2</v>
      </c>
      <c r="K122" s="1">
        <f t="shared" si="22"/>
        <v>9.1260000000000438E-2</v>
      </c>
      <c r="L122" s="1">
        <f t="shared" si="22"/>
        <v>4.2400000000001208E-2</v>
      </c>
      <c r="N122" s="1">
        <f t="shared" si="25"/>
        <v>3.7209691617259937</v>
      </c>
      <c r="O122" s="1">
        <f t="shared" si="25"/>
        <v>0.28253183897314343</v>
      </c>
      <c r="P122" s="1">
        <f t="shared" si="25"/>
        <v>0.70212841854933783</v>
      </c>
      <c r="R122" s="1">
        <f t="shared" si="26"/>
        <v>6.5653340797072995E-2</v>
      </c>
      <c r="S122" s="1">
        <f t="shared" si="26"/>
        <v>9.2537640000000448E-2</v>
      </c>
      <c r="T122" s="1">
        <f t="shared" si="26"/>
        <v>4.4944000000001282E-2</v>
      </c>
      <c r="V122">
        <v>26.679300000000001</v>
      </c>
      <c r="W122">
        <v>25.2</v>
      </c>
      <c r="X122">
        <v>26.4</v>
      </c>
    </row>
    <row r="123" spans="1:24" x14ac:dyDescent="0.3">
      <c r="A123">
        <v>26.9207</v>
      </c>
      <c r="B123">
        <v>25.5</v>
      </c>
      <c r="C123">
        <v>26.6</v>
      </c>
      <c r="D123">
        <f t="shared" si="23"/>
        <v>0.93373297104494046</v>
      </c>
      <c r="E123">
        <f t="shared" si="23"/>
        <v>0.97465886939571156</v>
      </c>
      <c r="F123">
        <f t="shared" si="23"/>
        <v>0.93632958801498123</v>
      </c>
      <c r="G123">
        <f t="shared" si="24"/>
        <v>-0.31368711299999952</v>
      </c>
      <c r="H123">
        <f t="shared" si="24"/>
        <v>0.30780000000000068</v>
      </c>
      <c r="I123">
        <f t="shared" si="24"/>
        <v>0.21359999999999926</v>
      </c>
      <c r="J123" s="1">
        <f t="shared" si="22"/>
        <v>9.3379833504018489E-2</v>
      </c>
      <c r="K123" s="1">
        <f t="shared" si="22"/>
        <v>9.2340000000000422E-2</v>
      </c>
      <c r="L123" s="1">
        <f t="shared" si="22"/>
        <v>4.2719999999999703E-2</v>
      </c>
      <c r="N123" s="1">
        <f t="shared" si="25"/>
        <v>4.7105553316570168</v>
      </c>
      <c r="O123" s="1">
        <f t="shared" si="25"/>
        <v>5.3609494145547741E-2</v>
      </c>
      <c r="P123" s="1">
        <f t="shared" si="25"/>
        <v>1.0773008323424453</v>
      </c>
      <c r="R123" s="1">
        <f t="shared" si="26"/>
        <v>0.10000700028779869</v>
      </c>
      <c r="S123" s="1">
        <f t="shared" si="26"/>
        <v>9.4740840000000423E-2</v>
      </c>
      <c r="T123" s="1">
        <f t="shared" si="26"/>
        <v>4.5624959999999687E-2</v>
      </c>
      <c r="V123">
        <v>26.9207</v>
      </c>
      <c r="W123">
        <v>25.5</v>
      </c>
      <c r="X123">
        <v>26.6</v>
      </c>
    </row>
    <row r="124" spans="1:24" x14ac:dyDescent="0.3">
      <c r="A124">
        <v>26.627800000000001</v>
      </c>
      <c r="B124">
        <v>25.8</v>
      </c>
      <c r="C124">
        <v>26.8</v>
      </c>
      <c r="D124">
        <f t="shared" si="23"/>
        <v>0.94653586803018308</v>
      </c>
      <c r="E124">
        <f t="shared" si="23"/>
        <v>0.97276264591439676</v>
      </c>
      <c r="F124">
        <f t="shared" si="23"/>
        <v>0.92936802973977695</v>
      </c>
      <c r="G124">
        <f t="shared" si="24"/>
        <v>-0.45576719760000001</v>
      </c>
      <c r="H124">
        <f t="shared" si="24"/>
        <v>-0.20559999999999928</v>
      </c>
      <c r="I124">
        <f t="shared" si="24"/>
        <v>0.21519999999999923</v>
      </c>
      <c r="J124" s="1">
        <f t="shared" si="22"/>
        <v>0.198825757300473</v>
      </c>
      <c r="K124" s="1">
        <f t="shared" si="22"/>
        <v>4.1119999999999705E-2</v>
      </c>
      <c r="L124" s="1">
        <f t="shared" si="22"/>
        <v>4.303999999999969E-2</v>
      </c>
      <c r="N124" s="1">
        <f t="shared" si="25"/>
        <v>3.5249363296570269</v>
      </c>
      <c r="O124" s="1">
        <f t="shared" si="25"/>
        <v>4.687149317952926E-3</v>
      </c>
      <c r="P124" s="1">
        <f t="shared" si="25"/>
        <v>1.5324732461355461</v>
      </c>
      <c r="R124" s="1">
        <f t="shared" si="26"/>
        <v>0.21005623137583293</v>
      </c>
      <c r="S124" s="1">
        <f t="shared" si="26"/>
        <v>4.2271359999999703E-2</v>
      </c>
      <c r="T124" s="1">
        <f t="shared" si="26"/>
        <v>4.6311039999999665E-2</v>
      </c>
      <c r="V124">
        <v>26.627800000000001</v>
      </c>
      <c r="W124">
        <v>25.8</v>
      </c>
      <c r="X124">
        <v>26.8</v>
      </c>
    </row>
    <row r="125" spans="1:24" x14ac:dyDescent="0.3">
      <c r="A125">
        <v>26.196400000000001</v>
      </c>
      <c r="B125">
        <v>25.6</v>
      </c>
      <c r="C125">
        <v>27</v>
      </c>
      <c r="D125">
        <f t="shared" si="23"/>
        <v>0.96258064019313216</v>
      </c>
      <c r="E125">
        <f t="shared" si="23"/>
        <v>0.98039215686274506</v>
      </c>
      <c r="F125">
        <f t="shared" si="23"/>
        <v>0.92250922509225086</v>
      </c>
      <c r="G125">
        <f t="shared" si="24"/>
        <v>-0.46655831340000142</v>
      </c>
      <c r="H125">
        <f t="shared" si="24"/>
        <v>-0.2040000000000029</v>
      </c>
      <c r="I125">
        <f t="shared" si="24"/>
        <v>0.21679999999999924</v>
      </c>
      <c r="J125" s="1">
        <f t="shared" si="22"/>
        <v>0.21182956220804983</v>
      </c>
      <c r="K125" s="1">
        <f t="shared" si="22"/>
        <v>4.0800000000001162E-2</v>
      </c>
      <c r="L125" s="1">
        <f t="shared" si="22"/>
        <v>4.3359999999999697E-2</v>
      </c>
      <c r="N125" s="1">
        <f t="shared" si="25"/>
        <v>2.0911513555880723</v>
      </c>
      <c r="O125" s="1">
        <f t="shared" si="25"/>
        <v>1.7302045869682398E-2</v>
      </c>
      <c r="P125" s="1">
        <f t="shared" si="25"/>
        <v>2.0676456599286466</v>
      </c>
      <c r="R125" s="1">
        <f t="shared" si="26"/>
        <v>0.22006422460932556</v>
      </c>
      <c r="S125" s="1">
        <f t="shared" si="26"/>
        <v>4.1616000000001187E-2</v>
      </c>
      <c r="T125" s="1">
        <f t="shared" si="26"/>
        <v>4.7002239999999675E-2</v>
      </c>
      <c r="V125">
        <v>26.196400000000001</v>
      </c>
      <c r="W125">
        <v>25.6</v>
      </c>
      <c r="X125">
        <v>27</v>
      </c>
    </row>
    <row r="126" spans="1:24" x14ac:dyDescent="0.3">
      <c r="A126">
        <v>25.747299999999999</v>
      </c>
      <c r="B126">
        <v>25.4</v>
      </c>
      <c r="C126">
        <v>27.2</v>
      </c>
      <c r="D126">
        <f t="shared" si="23"/>
        <v>0.98194015663909373</v>
      </c>
      <c r="E126">
        <f t="shared" si="23"/>
        <v>0.98814229249011865</v>
      </c>
      <c r="F126">
        <f t="shared" si="23"/>
        <v>0.92250922509225086</v>
      </c>
      <c r="G126">
        <f t="shared" si="24"/>
        <v>-0.5855753999999993</v>
      </c>
      <c r="H126">
        <f t="shared" si="24"/>
        <v>-0.20239999999999927</v>
      </c>
      <c r="I126">
        <f t="shared" si="24"/>
        <v>-0.21679999999999924</v>
      </c>
      <c r="J126" s="1">
        <f t="shared" si="22"/>
        <v>0.33964672812611585</v>
      </c>
      <c r="K126" s="1">
        <f t="shared" si="22"/>
        <v>4.0479999999999711E-2</v>
      </c>
      <c r="L126" s="1">
        <f t="shared" si="22"/>
        <v>4.3359999999999697E-2</v>
      </c>
      <c r="N126" s="1">
        <f t="shared" si="25"/>
        <v>0.99397187069152926</v>
      </c>
      <c r="O126" s="1">
        <f t="shared" si="25"/>
        <v>0.10991694242141366</v>
      </c>
      <c r="P126" s="1">
        <f t="shared" si="25"/>
        <v>2.6828180737217462</v>
      </c>
      <c r="R126" s="1">
        <f t="shared" si="26"/>
        <v>0.34589351074981139</v>
      </c>
      <c r="S126" s="1">
        <f t="shared" si="26"/>
        <v>4.0965759999999705E-2</v>
      </c>
      <c r="T126" s="1">
        <f t="shared" si="26"/>
        <v>4.7002239999999675E-2</v>
      </c>
      <c r="V126">
        <v>25.747299999999999</v>
      </c>
      <c r="W126">
        <v>25.4</v>
      </c>
      <c r="X126">
        <v>27.2</v>
      </c>
    </row>
    <row r="127" spans="1:24" x14ac:dyDescent="0.3">
      <c r="A127">
        <v>25.1723</v>
      </c>
      <c r="B127">
        <v>25.2</v>
      </c>
      <c r="C127">
        <v>27</v>
      </c>
      <c r="D127">
        <f t="shared" si="23"/>
        <v>0.99939636459578418</v>
      </c>
      <c r="E127">
        <f t="shared" si="23"/>
        <v>0.99601593625497997</v>
      </c>
      <c r="F127">
        <f t="shared" si="23"/>
        <v>0.92250922509225086</v>
      </c>
      <c r="G127">
        <f t="shared" si="24"/>
        <v>-0.31458989759999911</v>
      </c>
      <c r="H127">
        <f t="shared" si="24"/>
        <v>-0.20079999999999931</v>
      </c>
      <c r="I127">
        <f t="shared" si="24"/>
        <v>0.21679999999999924</v>
      </c>
      <c r="J127" s="1">
        <f t="shared" si="22"/>
        <v>0.10051809347833722</v>
      </c>
      <c r="K127" s="1">
        <f t="shared" si="22"/>
        <v>4.0159999999999724E-2</v>
      </c>
      <c r="L127" s="1">
        <f t="shared" si="22"/>
        <v>4.3359999999999697E-2</v>
      </c>
      <c r="N127" s="1">
        <f t="shared" si="25"/>
        <v>0.1780682844846497</v>
      </c>
      <c r="O127" s="1">
        <f t="shared" si="25"/>
        <v>0.28253183897314343</v>
      </c>
      <c r="P127" s="1">
        <f t="shared" si="25"/>
        <v>2.0676456599286466</v>
      </c>
      <c r="R127" s="1">
        <f t="shared" si="26"/>
        <v>0.10057880640679813</v>
      </c>
      <c r="S127" s="1">
        <f t="shared" si="26"/>
        <v>4.0320639999999727E-2</v>
      </c>
      <c r="T127" s="1">
        <f t="shared" si="26"/>
        <v>4.7002239999999675E-2</v>
      </c>
      <c r="V127">
        <v>25.1723</v>
      </c>
      <c r="W127">
        <v>25.2</v>
      </c>
      <c r="X127">
        <v>27</v>
      </c>
    </row>
    <row r="128" spans="1:24" x14ac:dyDescent="0.3">
      <c r="A128">
        <v>24.857900000000001</v>
      </c>
      <c r="B128">
        <v>25</v>
      </c>
      <c r="C128">
        <v>27.2</v>
      </c>
      <c r="D128">
        <f t="shared" si="23"/>
        <v>1.0038568178943501</v>
      </c>
      <c r="E128">
        <f t="shared" si="23"/>
        <v>0.99403578528827041</v>
      </c>
      <c r="F128">
        <f t="shared" si="23"/>
        <v>0.92250922509225086</v>
      </c>
      <c r="G128">
        <f t="shared" si="24"/>
        <v>9.1746151799998524E-2</v>
      </c>
      <c r="H128">
        <f t="shared" si="24"/>
        <v>0.30180000000000068</v>
      </c>
      <c r="I128">
        <f t="shared" si="24"/>
        <v>-0.21679999999999924</v>
      </c>
      <c r="J128" s="1">
        <f t="shared" si="22"/>
        <v>7.9863299206938132E-3</v>
      </c>
      <c r="K128" s="1">
        <f t="shared" si="22"/>
        <v>9.0540000000000412E-2</v>
      </c>
      <c r="L128" s="1">
        <f t="shared" si="22"/>
        <v>4.3359999999999697E-2</v>
      </c>
      <c r="N128" s="1">
        <f t="shared" si="25"/>
        <v>1.157375317431357E-2</v>
      </c>
      <c r="O128" s="1">
        <f t="shared" si="25"/>
        <v>0.53514673552487257</v>
      </c>
      <c r="P128" s="1">
        <f t="shared" si="25"/>
        <v>2.6828180737217462</v>
      </c>
      <c r="R128" s="1">
        <f t="shared" si="26"/>
        <v>7.9556464411385079E-3</v>
      </c>
      <c r="S128" s="1">
        <f t="shared" si="26"/>
        <v>9.1083240000000412E-2</v>
      </c>
      <c r="T128" s="1">
        <f t="shared" si="26"/>
        <v>4.7002239999999675E-2</v>
      </c>
      <c r="V128">
        <v>24.857900000000001</v>
      </c>
      <c r="W128">
        <v>25</v>
      </c>
      <c r="X128">
        <v>27.2</v>
      </c>
    </row>
    <row r="129" spans="1:24" x14ac:dyDescent="0.3">
      <c r="A129">
        <v>24.95</v>
      </c>
      <c r="B129">
        <v>25.3</v>
      </c>
      <c r="C129">
        <v>27</v>
      </c>
      <c r="D129">
        <f t="shared" si="23"/>
        <v>1.0013879236621959</v>
      </c>
      <c r="E129">
        <f t="shared" si="23"/>
        <v>0.98231827111984271</v>
      </c>
      <c r="F129">
        <f t="shared" si="23"/>
        <v>0.92250922509225086</v>
      </c>
      <c r="G129">
        <f t="shared" si="24"/>
        <v>3.0657449799999504E-2</v>
      </c>
      <c r="H129">
        <f t="shared" si="24"/>
        <v>0.30540000000000078</v>
      </c>
      <c r="I129">
        <f t="shared" si="24"/>
        <v>0.21679999999999924</v>
      </c>
      <c r="J129" s="1">
        <f t="shared" si="22"/>
        <v>7.9102834260911289E-4</v>
      </c>
      <c r="K129" s="1">
        <f t="shared" si="22"/>
        <v>9.1620000000000451E-2</v>
      </c>
      <c r="L129" s="1">
        <f t="shared" si="22"/>
        <v>4.3359999999999697E-2</v>
      </c>
      <c r="N129" s="1">
        <f t="shared" si="25"/>
        <v>3.9872653243276164E-2</v>
      </c>
      <c r="O129" s="1">
        <f t="shared" si="25"/>
        <v>0.18622439069727706</v>
      </c>
      <c r="P129" s="1">
        <f t="shared" si="25"/>
        <v>2.0676456599286466</v>
      </c>
      <c r="R129" s="1">
        <f t="shared" si="26"/>
        <v>7.8993197732625661E-4</v>
      </c>
      <c r="S129" s="1">
        <f t="shared" si="26"/>
        <v>9.3269160000000476E-2</v>
      </c>
      <c r="T129" s="1">
        <f t="shared" si="26"/>
        <v>4.7002239999999675E-2</v>
      </c>
      <c r="V129">
        <v>24.95</v>
      </c>
      <c r="W129">
        <v>25.3</v>
      </c>
      <c r="X129">
        <v>27</v>
      </c>
    </row>
    <row r="130" spans="1:24" x14ac:dyDescent="0.3">
      <c r="A130">
        <v>24.980699999999999</v>
      </c>
      <c r="B130">
        <v>25.6</v>
      </c>
      <c r="C130">
        <v>27.2</v>
      </c>
      <c r="D130">
        <f t="shared" si="23"/>
        <v>1.002683180190189</v>
      </c>
      <c r="E130">
        <f t="shared" si="23"/>
        <v>0.98231827111984271</v>
      </c>
      <c r="F130">
        <f t="shared" si="23"/>
        <v>0.92250922509225086</v>
      </c>
      <c r="G130">
        <f t="shared" si="24"/>
        <v>-9.4945244799998399E-2</v>
      </c>
      <c r="H130">
        <f t="shared" si="24"/>
        <v>-0.30540000000000078</v>
      </c>
      <c r="I130">
        <f t="shared" si="24"/>
        <v>-0.21679999999999924</v>
      </c>
      <c r="J130" s="1">
        <f t="shared" si="22"/>
        <v>9.5311637832384884E-3</v>
      </c>
      <c r="K130" s="1">
        <f t="shared" si="22"/>
        <v>9.1620000000000451E-2</v>
      </c>
      <c r="L130" s="1">
        <f t="shared" si="22"/>
        <v>4.3359999999999697E-2</v>
      </c>
      <c r="N130" s="1">
        <f t="shared" si="25"/>
        <v>5.3075579932930245E-2</v>
      </c>
      <c r="O130" s="1">
        <f t="shared" si="25"/>
        <v>1.7302045869682398E-2</v>
      </c>
      <c r="P130" s="1">
        <f t="shared" si="25"/>
        <v>2.6828180737217462</v>
      </c>
      <c r="R130" s="1">
        <f t="shared" si="26"/>
        <v>9.5056583889545423E-3</v>
      </c>
      <c r="S130" s="1">
        <f t="shared" si="26"/>
        <v>9.3269160000000476E-2</v>
      </c>
      <c r="T130" s="1">
        <f t="shared" si="26"/>
        <v>4.7002239999999675E-2</v>
      </c>
      <c r="V130">
        <v>24.980699999999999</v>
      </c>
      <c r="W130">
        <v>25.6</v>
      </c>
      <c r="X130">
        <v>27.2</v>
      </c>
    </row>
    <row r="131" spans="1:24" x14ac:dyDescent="0.3">
      <c r="A131">
        <v>24.8855</v>
      </c>
      <c r="B131">
        <v>25.3</v>
      </c>
      <c r="C131">
        <v>27</v>
      </c>
      <c r="D131">
        <f t="shared" si="23"/>
        <v>1.0073536818777071</v>
      </c>
      <c r="E131">
        <f t="shared" si="23"/>
        <v>0.99206349206349198</v>
      </c>
      <c r="F131">
        <f t="shared" si="23"/>
        <v>0.92250922509225086</v>
      </c>
      <c r="G131">
        <f t="shared" si="24"/>
        <v>-0.13500719999999924</v>
      </c>
      <c r="H131">
        <f t="shared" si="24"/>
        <v>-0.20159999999999931</v>
      </c>
      <c r="I131">
        <f t="shared" si="24"/>
        <v>0.21679999999999924</v>
      </c>
      <c r="J131" s="1">
        <f t="shared" si="22"/>
        <v>1.9061606543229061E-2</v>
      </c>
      <c r="K131" s="1">
        <f t="shared" si="22"/>
        <v>4.0319999999999724E-2</v>
      </c>
      <c r="L131" s="1">
        <f t="shared" si="22"/>
        <v>4.3359999999999697E-2</v>
      </c>
      <c r="N131" s="1">
        <f t="shared" si="25"/>
        <v>1.8274005312243803E-2</v>
      </c>
      <c r="O131" s="1">
        <f t="shared" si="25"/>
        <v>0.18622439069727706</v>
      </c>
      <c r="P131" s="1">
        <f t="shared" si="25"/>
        <v>2.0676456599286466</v>
      </c>
      <c r="R131" s="1">
        <f t="shared" si="26"/>
        <v>1.8922456815463493E-2</v>
      </c>
      <c r="S131" s="1">
        <f t="shared" si="26"/>
        <v>4.0642559999999724E-2</v>
      </c>
      <c r="T131" s="1">
        <f t="shared" si="26"/>
        <v>4.7002239999999675E-2</v>
      </c>
      <c r="V131">
        <v>24.8855</v>
      </c>
      <c r="W131">
        <v>25.3</v>
      </c>
      <c r="X131">
        <v>27</v>
      </c>
    </row>
    <row r="132" spans="1:24" x14ac:dyDescent="0.3">
      <c r="A132">
        <v>24.749500000000001</v>
      </c>
      <c r="B132">
        <v>25.1</v>
      </c>
      <c r="C132">
        <v>27.2</v>
      </c>
      <c r="D132">
        <f t="shared" si="23"/>
        <v>1.0061070699143804</v>
      </c>
      <c r="E132">
        <f t="shared" si="23"/>
        <v>0.99800399201596801</v>
      </c>
      <c r="F132">
        <f t="shared" si="23"/>
        <v>0.92250922509225086</v>
      </c>
      <c r="G132">
        <f t="shared" si="24"/>
        <v>0.196301174999998</v>
      </c>
      <c r="H132">
        <f t="shared" si="24"/>
        <v>-0.10020000000000143</v>
      </c>
      <c r="I132">
        <f t="shared" si="24"/>
        <v>-0.21679999999999924</v>
      </c>
      <c r="J132" s="1">
        <f t="shared" si="22"/>
        <v>3.7768103214937288E-2</v>
      </c>
      <c r="K132" s="1">
        <f t="shared" si="22"/>
        <v>1.0020000000000286E-2</v>
      </c>
      <c r="L132" s="1">
        <f t="shared" si="22"/>
        <v>4.3359999999999697E-2</v>
      </c>
      <c r="N132" s="1">
        <f t="shared" si="25"/>
        <v>6.7013983355157284E-7</v>
      </c>
      <c r="O132" s="1">
        <f t="shared" si="25"/>
        <v>0.3988392872490058</v>
      </c>
      <c r="P132" s="1">
        <f t="shared" si="25"/>
        <v>2.6828180737217462</v>
      </c>
      <c r="R132" s="1">
        <f t="shared" si="26"/>
        <v>3.7538850828422614E-2</v>
      </c>
      <c r="S132" s="1">
        <f t="shared" si="26"/>
        <v>1.0040040000000286E-2</v>
      </c>
      <c r="T132" s="1">
        <f t="shared" si="26"/>
        <v>4.7002239999999675E-2</v>
      </c>
      <c r="V132">
        <v>24.749500000000001</v>
      </c>
      <c r="W132">
        <v>25.1</v>
      </c>
      <c r="X132">
        <v>27.2</v>
      </c>
    </row>
    <row r="133" spans="1:24" x14ac:dyDescent="0.3">
      <c r="A133">
        <v>24.946999999999999</v>
      </c>
      <c r="B133">
        <v>25</v>
      </c>
      <c r="C133">
        <v>27</v>
      </c>
      <c r="D133">
        <f t="shared" si="23"/>
        <v>1.0043185698503565</v>
      </c>
      <c r="E133">
        <f t="shared" si="23"/>
        <v>1</v>
      </c>
      <c r="F133">
        <f t="shared" si="23"/>
        <v>0.92250922509225086</v>
      </c>
      <c r="G133">
        <f t="shared" si="24"/>
        <v>-0.10853129999999822</v>
      </c>
      <c r="H133">
        <f t="shared" si="24"/>
        <v>0</v>
      </c>
      <c r="I133">
        <f t="shared" si="24"/>
        <v>0.21679999999999924</v>
      </c>
      <c r="J133" s="1">
        <f t="shared" si="22"/>
        <v>1.239272633326058E-2</v>
      </c>
      <c r="K133" s="1">
        <f t="shared" si="22"/>
        <v>8.3590709391807122E-36</v>
      </c>
      <c r="L133" s="1">
        <f t="shared" si="22"/>
        <v>4.3359999999999697E-2</v>
      </c>
      <c r="N133" s="1">
        <f t="shared" si="25"/>
        <v>3.8683564967414139E-2</v>
      </c>
      <c r="O133" s="1">
        <f t="shared" si="25"/>
        <v>0.53514673552487257</v>
      </c>
      <c r="P133" s="1">
        <f t="shared" si="25"/>
        <v>2.0676456599286466</v>
      </c>
      <c r="R133" s="1">
        <f t="shared" si="26"/>
        <v>1.233943761002756E-2</v>
      </c>
      <c r="S133" s="1">
        <f t="shared" si="26"/>
        <v>8.3590709391807122E-36</v>
      </c>
      <c r="T133" s="1">
        <f t="shared" si="26"/>
        <v>4.7002239999999675E-2</v>
      </c>
      <c r="V133">
        <v>24.946999999999999</v>
      </c>
      <c r="W133">
        <v>25</v>
      </c>
      <c r="X133">
        <v>27</v>
      </c>
    </row>
    <row r="134" spans="1:24" x14ac:dyDescent="0.3">
      <c r="A134">
        <v>24.838000000000001</v>
      </c>
      <c r="B134">
        <v>25</v>
      </c>
      <c r="C134">
        <v>27.2</v>
      </c>
      <c r="D134">
        <f t="shared" si="23"/>
        <v>1.0107769033434477</v>
      </c>
      <c r="E134">
        <f t="shared" si="23"/>
        <v>1</v>
      </c>
      <c r="F134">
        <f t="shared" si="23"/>
        <v>0.92250922509225086</v>
      </c>
      <c r="G134">
        <f t="shared" si="24"/>
        <v>-0.20687057579999943</v>
      </c>
      <c r="H134">
        <f t="shared" si="24"/>
        <v>0</v>
      </c>
      <c r="I134">
        <f t="shared" si="24"/>
        <v>-0.21679999999999924</v>
      </c>
      <c r="J134" s="1">
        <f t="shared" si="22"/>
        <v>4.4330348679317073E-2</v>
      </c>
      <c r="K134" s="1">
        <f t="shared" si="22"/>
        <v>8.3590709391807122E-36</v>
      </c>
      <c r="L134" s="1">
        <f t="shared" si="22"/>
        <v>4.3359999999999697E-2</v>
      </c>
      <c r="N134" s="1">
        <f t="shared" si="25"/>
        <v>7.6880242777623824E-3</v>
      </c>
      <c r="O134" s="1">
        <f t="shared" si="25"/>
        <v>0.53514673552487257</v>
      </c>
      <c r="P134" s="1">
        <f t="shared" si="25"/>
        <v>2.6828180737217462</v>
      </c>
      <c r="R134" s="1">
        <f t="shared" si="26"/>
        <v>4.3857698501698197E-2</v>
      </c>
      <c r="S134" s="1">
        <f t="shared" si="26"/>
        <v>8.3590709391807122E-36</v>
      </c>
      <c r="T134" s="1">
        <f t="shared" si="26"/>
        <v>4.7002239999999675E-2</v>
      </c>
      <c r="V134">
        <v>24.838000000000001</v>
      </c>
      <c r="W134">
        <v>25</v>
      </c>
      <c r="X134">
        <v>27.2</v>
      </c>
    </row>
    <row r="135" spans="1:24" x14ac:dyDescent="0.3">
      <c r="A135">
        <v>24.628900000000002</v>
      </c>
      <c r="B135">
        <v>25</v>
      </c>
      <c r="C135">
        <v>27</v>
      </c>
      <c r="D135">
        <f t="shared" si="23"/>
        <v>1.0201957959771639</v>
      </c>
      <c r="E135">
        <f t="shared" si="23"/>
        <v>1</v>
      </c>
      <c r="F135">
        <f t="shared" si="23"/>
        <v>0.92936802973977695</v>
      </c>
      <c r="G135">
        <f t="shared" si="24"/>
        <v>-0.24269851040000201</v>
      </c>
      <c r="H135">
        <f t="shared" si="24"/>
        <v>0</v>
      </c>
      <c r="I135">
        <f t="shared" si="24"/>
        <v>-0.21519999999999923</v>
      </c>
      <c r="J135" s="1">
        <f t="shared" si="22"/>
        <v>6.1362406319888152E-2</v>
      </c>
      <c r="K135" s="1">
        <f t="shared" si="22"/>
        <v>8.3590709391807122E-36</v>
      </c>
      <c r="L135" s="1">
        <f t="shared" si="22"/>
        <v>4.303999999999969E-2</v>
      </c>
      <c r="N135" s="1">
        <f t="shared" si="25"/>
        <v>1.4742481450181236E-2</v>
      </c>
      <c r="O135" s="1">
        <f t="shared" si="25"/>
        <v>0.53514673552487257</v>
      </c>
      <c r="P135" s="1">
        <f t="shared" si="25"/>
        <v>2.0676456599286466</v>
      </c>
      <c r="R135" s="1">
        <f t="shared" si="26"/>
        <v>6.014767612437965E-2</v>
      </c>
      <c r="S135" s="1">
        <f t="shared" si="26"/>
        <v>8.3590709391807122E-36</v>
      </c>
      <c r="T135" s="1">
        <f t="shared" si="26"/>
        <v>4.6311039999999665E-2</v>
      </c>
      <c r="V135">
        <v>24.628900000000002</v>
      </c>
      <c r="W135">
        <v>25</v>
      </c>
      <c r="X135">
        <v>27</v>
      </c>
    </row>
    <row r="136" spans="1:24" x14ac:dyDescent="0.3">
      <c r="A136">
        <v>24.3813</v>
      </c>
      <c r="B136">
        <v>25</v>
      </c>
      <c r="C136">
        <v>26.8</v>
      </c>
      <c r="D136">
        <f t="shared" si="23"/>
        <v>1.0373874434623844</v>
      </c>
      <c r="E136">
        <f t="shared" si="23"/>
        <v>1</v>
      </c>
      <c r="F136">
        <f t="shared" si="23"/>
        <v>0.93632958801498123</v>
      </c>
      <c r="G136">
        <f t="shared" si="24"/>
        <v>-0.54425181599999861</v>
      </c>
      <c r="H136">
        <f t="shared" si="24"/>
        <v>0</v>
      </c>
      <c r="I136">
        <f t="shared" si="24"/>
        <v>-0.21359999999999926</v>
      </c>
      <c r="J136" s="1">
        <f t="shared" si="22"/>
        <v>0.31017273367059911</v>
      </c>
      <c r="K136" s="1">
        <f t="shared" si="22"/>
        <v>8.3590709391807122E-36</v>
      </c>
      <c r="L136" s="1">
        <f t="shared" si="22"/>
        <v>4.2719999999999703E-2</v>
      </c>
      <c r="N136" s="1">
        <f t="shared" si="25"/>
        <v>0.13617474241570585</v>
      </c>
      <c r="O136" s="1">
        <f t="shared" si="25"/>
        <v>0.53514673552487257</v>
      </c>
      <c r="P136" s="1">
        <f t="shared" si="25"/>
        <v>1.5324732461355461</v>
      </c>
      <c r="R136" s="1">
        <f t="shared" si="26"/>
        <v>0.29899410834911067</v>
      </c>
      <c r="S136" s="1">
        <f t="shared" si="26"/>
        <v>8.3590709391807122E-36</v>
      </c>
      <c r="T136" s="1">
        <f t="shared" si="26"/>
        <v>4.5624959999999687E-2</v>
      </c>
      <c r="V136">
        <v>24.3813</v>
      </c>
      <c r="W136">
        <v>25</v>
      </c>
      <c r="X136">
        <v>26.8</v>
      </c>
    </row>
    <row r="137" spans="1:24" x14ac:dyDescent="0.3">
      <c r="A137">
        <v>23.816700000000001</v>
      </c>
      <c r="B137">
        <v>25</v>
      </c>
      <c r="C137">
        <v>26.6</v>
      </c>
      <c r="D137">
        <f t="shared" si="23"/>
        <v>1.0605083652899854</v>
      </c>
      <c r="E137">
        <f t="shared" si="23"/>
        <v>0.99403578528827041</v>
      </c>
      <c r="F137">
        <f t="shared" si="23"/>
        <v>0.94339622641509435</v>
      </c>
      <c r="G137">
        <f t="shared" si="24"/>
        <v>-0.45845937280000021</v>
      </c>
      <c r="H137">
        <f t="shared" si="24"/>
        <v>0.30180000000000068</v>
      </c>
      <c r="I137">
        <f t="shared" si="24"/>
        <v>-0.21200000000000302</v>
      </c>
      <c r="J137" s="1">
        <f t="shared" si="22"/>
        <v>0.22539114606718763</v>
      </c>
      <c r="K137" s="1">
        <f t="shared" si="22"/>
        <v>9.0540000000000412E-2</v>
      </c>
      <c r="L137" s="1">
        <f t="shared" si="22"/>
        <v>4.2400000000001208E-2</v>
      </c>
      <c r="N137" s="1">
        <f t="shared" si="25"/>
        <v>0.87164372889847763</v>
      </c>
      <c r="O137" s="1">
        <f t="shared" si="25"/>
        <v>0.53514673552487257</v>
      </c>
      <c r="P137" s="1">
        <f t="shared" si="25"/>
        <v>1.0773008323424453</v>
      </c>
      <c r="R137" s="1">
        <f t="shared" si="26"/>
        <v>0.21253122883717818</v>
      </c>
      <c r="S137" s="1">
        <f t="shared" si="26"/>
        <v>9.1083240000000412E-2</v>
      </c>
      <c r="T137" s="1">
        <f t="shared" si="26"/>
        <v>4.4944000000001282E-2</v>
      </c>
      <c r="V137">
        <v>23.816700000000001</v>
      </c>
      <c r="W137">
        <v>25</v>
      </c>
      <c r="X137">
        <v>26.6</v>
      </c>
    </row>
    <row r="138" spans="1:24" x14ac:dyDescent="0.3">
      <c r="A138">
        <v>23.330500000000001</v>
      </c>
      <c r="B138">
        <v>25.3</v>
      </c>
      <c r="C138">
        <v>26.4</v>
      </c>
      <c r="D138">
        <f t="shared" si="23"/>
        <v>1.0740238734026579</v>
      </c>
      <c r="E138">
        <f t="shared" si="23"/>
        <v>0.98814229249011853</v>
      </c>
      <c r="F138">
        <f t="shared" si="23"/>
        <v>0.95057034220532333</v>
      </c>
      <c r="G138">
        <f t="shared" si="24"/>
        <v>-9.9718453799999149E-2</v>
      </c>
      <c r="H138">
        <f t="shared" si="24"/>
        <v>0</v>
      </c>
      <c r="I138">
        <f t="shared" si="24"/>
        <v>-0.21039999999999923</v>
      </c>
      <c r="J138" s="1">
        <f t="shared" si="22"/>
        <v>1.1233418365332948E-2</v>
      </c>
      <c r="K138" s="1">
        <f t="shared" si="22"/>
        <v>8.2599515209295572E-36</v>
      </c>
      <c r="L138" s="1">
        <f t="shared" si="22"/>
        <v>4.2079999999999694E-2</v>
      </c>
      <c r="N138" s="1">
        <f t="shared" si="25"/>
        <v>2.0158849156571113</v>
      </c>
      <c r="O138" s="1">
        <f t="shared" si="25"/>
        <v>0.18622439069727706</v>
      </c>
      <c r="P138" s="1">
        <f t="shared" si="25"/>
        <v>0.70212841854933783</v>
      </c>
      <c r="R138" s="1">
        <f t="shared" si="26"/>
        <v>1.0459188704757471E-2</v>
      </c>
      <c r="S138" s="1">
        <f t="shared" si="26"/>
        <v>8.3590709391807122E-36</v>
      </c>
      <c r="T138" s="1">
        <f t="shared" si="26"/>
        <v>4.4268159999999675E-2</v>
      </c>
      <c r="V138">
        <v>23.330500000000001</v>
      </c>
      <c r="W138">
        <v>25.3</v>
      </c>
      <c r="X138">
        <v>26.4</v>
      </c>
    </row>
    <row r="139" spans="1:24" x14ac:dyDescent="0.3">
      <c r="A139">
        <v>23.223400000000002</v>
      </c>
      <c r="B139">
        <v>25.3</v>
      </c>
      <c r="C139">
        <v>26.2</v>
      </c>
      <c r="D139">
        <f t="shared" si="23"/>
        <v>1.0672586394586863</v>
      </c>
      <c r="E139">
        <f t="shared" si="23"/>
        <v>0.98814229249011853</v>
      </c>
      <c r="F139">
        <f t="shared" si="23"/>
        <v>0.95785440613026818</v>
      </c>
      <c r="G139">
        <f t="shared" si="24"/>
        <v>0.37685335599999725</v>
      </c>
      <c r="H139">
        <f t="shared" si="24"/>
        <v>0</v>
      </c>
      <c r="I139">
        <f t="shared" si="24"/>
        <v>-0.20879999999999926</v>
      </c>
      <c r="J139" s="1">
        <f t="shared" si="22"/>
        <v>0.14952476443095938</v>
      </c>
      <c r="K139" s="1">
        <f t="shared" si="22"/>
        <v>8.2599515209295572E-36</v>
      </c>
      <c r="L139" s="1">
        <f t="shared" si="22"/>
        <v>4.1759999999999707E-2</v>
      </c>
      <c r="N139" s="1">
        <f t="shared" si="25"/>
        <v>2.3314804742088353</v>
      </c>
      <c r="O139" s="1">
        <f t="shared" si="25"/>
        <v>0.18622439069727706</v>
      </c>
      <c r="P139" s="1">
        <f t="shared" si="25"/>
        <v>0.40695600475623728</v>
      </c>
      <c r="R139" s="1">
        <f t="shared" si="26"/>
        <v>0.14010171377652034</v>
      </c>
      <c r="S139" s="1">
        <f t="shared" si="26"/>
        <v>8.3590709391807122E-36</v>
      </c>
      <c r="T139" s="1">
        <f t="shared" si="26"/>
        <v>4.3597439999999696E-2</v>
      </c>
      <c r="V139">
        <v>23.223400000000002</v>
      </c>
      <c r="W139">
        <v>25.3</v>
      </c>
      <c r="X139">
        <v>26.2</v>
      </c>
    </row>
    <row r="140" spans="1:24" x14ac:dyDescent="0.3">
      <c r="A140">
        <v>23.625599999999999</v>
      </c>
      <c r="B140">
        <v>25.3</v>
      </c>
      <c r="C140">
        <v>26</v>
      </c>
      <c r="D140">
        <f t="shared" si="23"/>
        <v>1.0459113234543522</v>
      </c>
      <c r="E140">
        <f t="shared" si="23"/>
        <v>0.98814229249011853</v>
      </c>
      <c r="F140">
        <f t="shared" si="23"/>
        <v>0.96525096525096532</v>
      </c>
      <c r="G140">
        <f t="shared" si="24"/>
        <v>0.52968161600000196</v>
      </c>
      <c r="H140">
        <f t="shared" si="24"/>
        <v>0</v>
      </c>
      <c r="I140">
        <f t="shared" si="24"/>
        <v>-0.20719999999999925</v>
      </c>
      <c r="J140" s="1">
        <f t="shared" si="22"/>
        <v>0.29062311834188342</v>
      </c>
      <c r="K140" s="1">
        <f t="shared" si="22"/>
        <v>8.2599515209295572E-36</v>
      </c>
      <c r="L140" s="1">
        <f t="shared" si="22"/>
        <v>4.1439999999999699E-2</v>
      </c>
      <c r="N140" s="1">
        <f t="shared" si="25"/>
        <v>1.2649919757260737</v>
      </c>
      <c r="O140" s="1">
        <f t="shared" si="25"/>
        <v>0.18622439069727706</v>
      </c>
      <c r="P140" s="1">
        <f t="shared" si="25"/>
        <v>0.1917835909631361</v>
      </c>
      <c r="R140" s="1">
        <f t="shared" si="26"/>
        <v>0.27786592593914811</v>
      </c>
      <c r="S140" s="1">
        <f t="shared" si="26"/>
        <v>8.3590709391807122E-36</v>
      </c>
      <c r="T140" s="1">
        <f t="shared" si="26"/>
        <v>4.2931839999999687E-2</v>
      </c>
      <c r="V140">
        <v>23.625599999999999</v>
      </c>
      <c r="W140">
        <v>25.3</v>
      </c>
      <c r="X140">
        <v>26</v>
      </c>
    </row>
    <row r="141" spans="1:24" x14ac:dyDescent="0.3">
      <c r="A141">
        <v>24.179600000000001</v>
      </c>
      <c r="B141">
        <v>25.3</v>
      </c>
      <c r="C141">
        <v>25.8</v>
      </c>
      <c r="D141">
        <f t="shared" si="23"/>
        <v>1.0308598195582972</v>
      </c>
      <c r="E141">
        <f t="shared" si="23"/>
        <v>0.98814229249011853</v>
      </c>
      <c r="F141">
        <f t="shared" si="23"/>
        <v>0.97276264591439676</v>
      </c>
      <c r="G141">
        <f t="shared" si="24"/>
        <v>0.1396892159999984</v>
      </c>
      <c r="H141">
        <f t="shared" si="24"/>
        <v>0</v>
      </c>
      <c r="I141">
        <f t="shared" si="24"/>
        <v>-0.20559999999999928</v>
      </c>
      <c r="J141" s="1">
        <f t="shared" si="22"/>
        <v>1.9387063602304425E-2</v>
      </c>
      <c r="K141" s="1">
        <f t="shared" si="22"/>
        <v>8.2599515209295572E-36</v>
      </c>
      <c r="L141" s="1">
        <f t="shared" si="22"/>
        <v>4.1119999999999705E-2</v>
      </c>
      <c r="N141" s="1">
        <f t="shared" si="25"/>
        <v>0.32571974400191706</v>
      </c>
      <c r="O141" s="1">
        <f t="shared" si="25"/>
        <v>0.18622439069727706</v>
      </c>
      <c r="P141" s="1">
        <f t="shared" si="25"/>
        <v>5.6611177170034367E-2</v>
      </c>
      <c r="R141" s="1">
        <f t="shared" si="26"/>
        <v>1.8806692466305838E-2</v>
      </c>
      <c r="S141" s="1">
        <f t="shared" si="26"/>
        <v>8.3590709391807122E-36</v>
      </c>
      <c r="T141" s="1">
        <f t="shared" si="26"/>
        <v>4.2271359999999703E-2</v>
      </c>
      <c r="V141">
        <v>24.179600000000001</v>
      </c>
      <c r="W141">
        <v>25.3</v>
      </c>
      <c r="X141">
        <v>25.8</v>
      </c>
    </row>
    <row r="142" spans="1:24" x14ac:dyDescent="0.3">
      <c r="A142">
        <v>24.323599999999999</v>
      </c>
      <c r="B142">
        <v>25.3</v>
      </c>
      <c r="C142">
        <v>25.6</v>
      </c>
      <c r="D142">
        <f t="shared" si="23"/>
        <v>1.0266139397747198</v>
      </c>
      <c r="E142">
        <f t="shared" si="23"/>
        <v>0.98814229249011853</v>
      </c>
      <c r="F142">
        <f t="shared" si="23"/>
        <v>0.98231827111984271</v>
      </c>
      <c r="G142">
        <f t="shared" si="24"/>
        <v>5.5132701599999549E-2</v>
      </c>
      <c r="H142">
        <f t="shared" si="24"/>
        <v>0</v>
      </c>
      <c r="I142">
        <f t="shared" si="24"/>
        <v>-0.30540000000000078</v>
      </c>
      <c r="J142" s="1">
        <f t="shared" si="22"/>
        <v>2.8383406372470294E-3</v>
      </c>
      <c r="K142" s="1">
        <f t="shared" si="22"/>
        <v>8.2599515209295572E-36</v>
      </c>
      <c r="L142" s="1">
        <f t="shared" si="22"/>
        <v>9.1620000000000451E-2</v>
      </c>
      <c r="N142" s="1">
        <f t="shared" si="25"/>
        <v>0.18208878124329411</v>
      </c>
      <c r="O142" s="1">
        <f t="shared" si="25"/>
        <v>0.18622439069727706</v>
      </c>
      <c r="P142" s="1">
        <f t="shared" si="25"/>
        <v>1.4387633769320693E-3</v>
      </c>
      <c r="R142" s="1">
        <f t="shared" si="26"/>
        <v>2.7647594945670374E-3</v>
      </c>
      <c r="S142" s="1">
        <f t="shared" si="26"/>
        <v>8.3590709391807122E-36</v>
      </c>
      <c r="T142" s="1">
        <f t="shared" si="26"/>
        <v>9.3269160000000476E-2</v>
      </c>
      <c r="V142">
        <v>24.323599999999999</v>
      </c>
      <c r="W142">
        <v>25.3</v>
      </c>
      <c r="X142">
        <v>25.6</v>
      </c>
    </row>
    <row r="143" spans="1:24" x14ac:dyDescent="0.3">
      <c r="A143">
        <v>24.380199999999999</v>
      </c>
      <c r="B143">
        <v>25.3</v>
      </c>
      <c r="C143">
        <v>25.3</v>
      </c>
      <c r="D143">
        <f t="shared" si="23"/>
        <v>1.025119528937074</v>
      </c>
      <c r="E143">
        <f t="shared" si="23"/>
        <v>0.98814229249011853</v>
      </c>
      <c r="F143">
        <f t="shared" si="23"/>
        <v>0.99403578528827041</v>
      </c>
      <c r="G143">
        <f t="shared" si="24"/>
        <v>1.4047142400001919E-2</v>
      </c>
      <c r="H143">
        <f t="shared" si="24"/>
        <v>0</v>
      </c>
      <c r="I143">
        <f t="shared" si="24"/>
        <v>-0.30180000000000068</v>
      </c>
      <c r="J143" s="1">
        <f t="shared" si="22"/>
        <v>1.3546412021772639E-4</v>
      </c>
      <c r="K143" s="1">
        <f t="shared" si="22"/>
        <v>8.2599515209295572E-36</v>
      </c>
      <c r="L143" s="1">
        <f t="shared" si="22"/>
        <v>9.0540000000000412E-2</v>
      </c>
      <c r="N143" s="1">
        <f t="shared" si="25"/>
        <v>0.13698779338122385</v>
      </c>
      <c r="O143" s="1">
        <f t="shared" si="25"/>
        <v>0.18622439069727706</v>
      </c>
      <c r="P143" s="1">
        <f t="shared" si="25"/>
        <v>6.8680142687278484E-2</v>
      </c>
      <c r="R143" s="1">
        <f t="shared" si="26"/>
        <v>1.3214470741591122E-4</v>
      </c>
      <c r="S143" s="1">
        <f t="shared" si="26"/>
        <v>8.3590709391807122E-36</v>
      </c>
      <c r="T143" s="1">
        <f t="shared" si="26"/>
        <v>9.1083240000000412E-2</v>
      </c>
      <c r="V143">
        <v>24.380199999999999</v>
      </c>
      <c r="W143">
        <v>25.3</v>
      </c>
      <c r="X143">
        <v>25.3</v>
      </c>
    </row>
    <row r="144" spans="1:24" x14ac:dyDescent="0.3">
      <c r="A144">
        <v>24.394600000000001</v>
      </c>
      <c r="B144">
        <v>25.3</v>
      </c>
      <c r="C144">
        <v>25</v>
      </c>
      <c r="D144">
        <f t="shared" si="23"/>
        <v>1.0396934152057242</v>
      </c>
      <c r="E144">
        <f t="shared" si="23"/>
        <v>0.98814229249011853</v>
      </c>
      <c r="F144">
        <f t="shared" si="23"/>
        <v>1</v>
      </c>
      <c r="G144">
        <f t="shared" si="24"/>
        <v>-0.67144793820000015</v>
      </c>
      <c r="H144">
        <f t="shared" si="24"/>
        <v>0</v>
      </c>
      <c r="I144">
        <f t="shared" si="24"/>
        <v>0</v>
      </c>
      <c r="J144" s="1">
        <f t="shared" ref="J144:L159" si="27">(G144-G$12)^2*D144</f>
        <v>0.47230728860300164</v>
      </c>
      <c r="K144" s="1">
        <f t="shared" si="27"/>
        <v>8.2599515209295572E-36</v>
      </c>
      <c r="L144" s="1">
        <f t="shared" si="27"/>
        <v>1.2037062152420224E-35</v>
      </c>
      <c r="N144" s="1">
        <f t="shared" si="25"/>
        <v>0.12653573710535995</v>
      </c>
      <c r="O144" s="1">
        <f t="shared" si="25"/>
        <v>0.18622439069727706</v>
      </c>
      <c r="P144" s="1">
        <f t="shared" si="25"/>
        <v>0.31592152199762574</v>
      </c>
      <c r="R144" s="1">
        <f t="shared" si="26"/>
        <v>0.45427554093871619</v>
      </c>
      <c r="S144" s="1">
        <f t="shared" si="26"/>
        <v>8.3590709391807122E-36</v>
      </c>
      <c r="T144" s="1">
        <f t="shared" si="26"/>
        <v>1.2037062152420224E-35</v>
      </c>
      <c r="V144">
        <v>24.394600000000001</v>
      </c>
      <c r="W144">
        <v>25.3</v>
      </c>
      <c r="X144">
        <v>25</v>
      </c>
    </row>
    <row r="145" spans="1:24" x14ac:dyDescent="0.3">
      <c r="A145">
        <v>23.6965</v>
      </c>
      <c r="B145">
        <v>25.3</v>
      </c>
      <c r="C145">
        <v>25</v>
      </c>
      <c r="D145">
        <f t="shared" ref="D145:F159" si="28">50/(A145+A146)</f>
        <v>1.0637415193207371</v>
      </c>
      <c r="E145">
        <f t="shared" si="28"/>
        <v>0.98814229249011853</v>
      </c>
      <c r="F145">
        <f t="shared" si="28"/>
        <v>1</v>
      </c>
      <c r="G145">
        <f t="shared" ref="G145:I159" si="29">(A146-A145)/D145</f>
        <v>-0.36578434979999919</v>
      </c>
      <c r="H145">
        <f t="shared" si="29"/>
        <v>0</v>
      </c>
      <c r="I145">
        <f t="shared" si="29"/>
        <v>0</v>
      </c>
      <c r="J145" s="1">
        <f t="shared" si="27"/>
        <v>0.14431936630423228</v>
      </c>
      <c r="K145" s="1">
        <f t="shared" si="27"/>
        <v>8.2599515209295572E-36</v>
      </c>
      <c r="L145" s="1">
        <f t="shared" si="27"/>
        <v>1.2037062152420224E-35</v>
      </c>
      <c r="N145" s="1">
        <f t="shared" ref="N145:P160" si="30">(A145-A$12)^2</f>
        <v>1.1105336853122749</v>
      </c>
      <c r="O145" s="1">
        <f t="shared" si="30"/>
        <v>0.18622439069727706</v>
      </c>
      <c r="P145" s="1">
        <f t="shared" si="30"/>
        <v>0.31592152199762574</v>
      </c>
      <c r="R145" s="1">
        <f t="shared" ref="R145:T160" si="31">(G145-G$12)^2</f>
        <v>0.13567146123655008</v>
      </c>
      <c r="S145" s="1">
        <f t="shared" si="31"/>
        <v>8.3590709391807122E-36</v>
      </c>
      <c r="T145" s="1">
        <f t="shared" si="31"/>
        <v>1.2037062152420224E-35</v>
      </c>
      <c r="V145">
        <v>23.6965</v>
      </c>
      <c r="W145">
        <v>25.3</v>
      </c>
      <c r="X145">
        <v>25</v>
      </c>
    </row>
    <row r="146" spans="1:24" x14ac:dyDescent="0.3">
      <c r="A146">
        <v>23.307400000000001</v>
      </c>
      <c r="B146">
        <v>25.3</v>
      </c>
      <c r="C146">
        <v>25</v>
      </c>
      <c r="D146">
        <f t="shared" si="28"/>
        <v>1.0755070477976842</v>
      </c>
      <c r="E146">
        <f t="shared" si="28"/>
        <v>0.98814229249011853</v>
      </c>
      <c r="F146">
        <f t="shared" si="28"/>
        <v>0.99800399201596801</v>
      </c>
      <c r="G146">
        <f t="shared" si="29"/>
        <v>-0.11631722939999978</v>
      </c>
      <c r="H146">
        <f t="shared" si="29"/>
        <v>0</v>
      </c>
      <c r="I146">
        <f t="shared" si="29"/>
        <v>0.10020000000000143</v>
      </c>
      <c r="J146" s="1">
        <f t="shared" si="27"/>
        <v>1.5196728983658838E-2</v>
      </c>
      <c r="K146" s="1">
        <f t="shared" si="27"/>
        <v>8.2599515209295572E-36</v>
      </c>
      <c r="L146" s="1">
        <f t="shared" si="27"/>
        <v>1.0020000000000286E-2</v>
      </c>
      <c r="N146" s="1">
        <f t="shared" si="30"/>
        <v>2.082014145932972</v>
      </c>
      <c r="O146" s="1">
        <f t="shared" si="30"/>
        <v>0.18622439069727706</v>
      </c>
      <c r="P146" s="1">
        <f t="shared" si="30"/>
        <v>0.31592152199762574</v>
      </c>
      <c r="R146" s="1">
        <f t="shared" si="31"/>
        <v>1.4129827428632086E-2</v>
      </c>
      <c r="S146" s="1">
        <f t="shared" si="31"/>
        <v>8.3590709391807122E-36</v>
      </c>
      <c r="T146" s="1">
        <f t="shared" si="31"/>
        <v>1.0040040000000286E-2</v>
      </c>
      <c r="V146">
        <v>23.307400000000001</v>
      </c>
      <c r="W146">
        <v>25.3</v>
      </c>
      <c r="X146">
        <v>25</v>
      </c>
    </row>
    <row r="147" spans="1:24" x14ac:dyDescent="0.3">
      <c r="A147">
        <v>23.182300000000001</v>
      </c>
      <c r="B147">
        <v>25.3</v>
      </c>
      <c r="C147">
        <v>25.1</v>
      </c>
      <c r="D147">
        <f t="shared" si="28"/>
        <v>1.0710628799595567</v>
      </c>
      <c r="E147">
        <f t="shared" si="28"/>
        <v>0.98814229249011853</v>
      </c>
      <c r="F147">
        <f t="shared" si="28"/>
        <v>0.99800399201596801</v>
      </c>
      <c r="G147">
        <f t="shared" si="29"/>
        <v>0.29690133599999796</v>
      </c>
      <c r="H147">
        <f t="shared" si="29"/>
        <v>0</v>
      </c>
      <c r="I147">
        <f t="shared" si="29"/>
        <v>-0.10020000000000143</v>
      </c>
      <c r="J147" s="1">
        <f t="shared" si="27"/>
        <v>9.2798704124740491E-2</v>
      </c>
      <c r="K147" s="1">
        <f t="shared" si="27"/>
        <v>8.2599515209295572E-36</v>
      </c>
      <c r="L147" s="1">
        <f t="shared" si="27"/>
        <v>1.0020000000000286E-2</v>
      </c>
      <c r="N147" s="1">
        <f t="shared" si="30"/>
        <v>2.458682394829526</v>
      </c>
      <c r="O147" s="1">
        <f t="shared" si="30"/>
        <v>0.18622439069727706</v>
      </c>
      <c r="P147" s="1">
        <f t="shared" si="30"/>
        <v>0.21350772889417549</v>
      </c>
      <c r="R147" s="1">
        <f t="shared" si="31"/>
        <v>8.6641695703472202E-2</v>
      </c>
      <c r="S147" s="1">
        <f t="shared" si="31"/>
        <v>8.3590709391807122E-36</v>
      </c>
      <c r="T147" s="1">
        <f t="shared" si="31"/>
        <v>1.0040040000000286E-2</v>
      </c>
      <c r="V147">
        <v>23.182300000000001</v>
      </c>
      <c r="W147">
        <v>25.3</v>
      </c>
      <c r="X147">
        <v>25.1</v>
      </c>
    </row>
    <row r="148" spans="1:24" x14ac:dyDescent="0.3">
      <c r="A148">
        <v>23.500299999999999</v>
      </c>
      <c r="B148">
        <v>25.3</v>
      </c>
      <c r="C148">
        <v>25</v>
      </c>
      <c r="D148">
        <f t="shared" si="28"/>
        <v>1.0664164142814487</v>
      </c>
      <c r="E148">
        <f t="shared" si="28"/>
        <v>0.98814229249011853</v>
      </c>
      <c r="F148">
        <f t="shared" si="28"/>
        <v>1</v>
      </c>
      <c r="G148">
        <f t="shared" si="29"/>
        <v>-0.10746271199999939</v>
      </c>
      <c r="H148">
        <f t="shared" si="29"/>
        <v>0</v>
      </c>
      <c r="I148">
        <f t="shared" si="29"/>
        <v>0</v>
      </c>
      <c r="J148" s="1">
        <f t="shared" si="27"/>
        <v>1.2907025042996392E-2</v>
      </c>
      <c r="K148" s="1">
        <f t="shared" si="27"/>
        <v>8.2599515209295572E-36</v>
      </c>
      <c r="L148" s="1">
        <f t="shared" si="27"/>
        <v>1.2037062152420224E-35</v>
      </c>
      <c r="N148" s="1">
        <f t="shared" si="30"/>
        <v>1.5625465520709032</v>
      </c>
      <c r="O148" s="1">
        <f t="shared" si="30"/>
        <v>0.18622439069727706</v>
      </c>
      <c r="P148" s="1">
        <f t="shared" si="30"/>
        <v>0.31592152199762574</v>
      </c>
      <c r="R148" s="1">
        <f t="shared" si="31"/>
        <v>1.2103175523318575E-2</v>
      </c>
      <c r="S148" s="1">
        <f t="shared" si="31"/>
        <v>8.3590709391807122E-36</v>
      </c>
      <c r="T148" s="1">
        <f t="shared" si="31"/>
        <v>1.2037062152420224E-35</v>
      </c>
      <c r="V148">
        <v>23.500299999999999</v>
      </c>
      <c r="W148">
        <v>25.3</v>
      </c>
      <c r="X148">
        <v>25</v>
      </c>
    </row>
    <row r="149" spans="1:24" x14ac:dyDescent="0.3">
      <c r="A149">
        <v>23.3857</v>
      </c>
      <c r="B149">
        <v>25.3</v>
      </c>
      <c r="C149">
        <v>25</v>
      </c>
      <c r="D149">
        <f t="shared" si="28"/>
        <v>1.0665847529576395</v>
      </c>
      <c r="E149">
        <f t="shared" si="28"/>
        <v>0.98814229249011853</v>
      </c>
      <c r="F149">
        <f t="shared" si="28"/>
        <v>1</v>
      </c>
      <c r="G149">
        <f t="shared" si="29"/>
        <v>0.10050771839999892</v>
      </c>
      <c r="H149">
        <f t="shared" si="29"/>
        <v>0</v>
      </c>
      <c r="I149">
        <f t="shared" si="29"/>
        <v>0</v>
      </c>
      <c r="J149" s="1">
        <f t="shared" si="27"/>
        <v>1.0234283209876781E-2</v>
      </c>
      <c r="K149" s="1">
        <f t="shared" si="27"/>
        <v>8.2599515209295572E-36</v>
      </c>
      <c r="L149" s="1">
        <f t="shared" si="27"/>
        <v>1.2037062152420224E-35</v>
      </c>
      <c r="N149" s="1">
        <f t="shared" si="30"/>
        <v>1.8621839799329738</v>
      </c>
      <c r="O149" s="1">
        <f t="shared" si="30"/>
        <v>0.18622439069727706</v>
      </c>
      <c r="P149" s="1">
        <f t="shared" si="30"/>
        <v>0.31592152199762574</v>
      </c>
      <c r="R149" s="1">
        <f t="shared" si="31"/>
        <v>9.5953773776505935E-3</v>
      </c>
      <c r="S149" s="1">
        <f t="shared" si="31"/>
        <v>8.3590709391807122E-36</v>
      </c>
      <c r="T149" s="1">
        <f t="shared" si="31"/>
        <v>1.2037062152420224E-35</v>
      </c>
      <c r="V149">
        <v>23.3857</v>
      </c>
      <c r="W149">
        <v>25.3</v>
      </c>
      <c r="X149">
        <v>25</v>
      </c>
    </row>
    <row r="150" spans="1:24" x14ac:dyDescent="0.3">
      <c r="A150">
        <v>23.492899999999999</v>
      </c>
      <c r="B150">
        <v>25.3</v>
      </c>
      <c r="C150">
        <v>25</v>
      </c>
      <c r="D150">
        <f t="shared" si="28"/>
        <v>1.060045200327342</v>
      </c>
      <c r="E150">
        <f t="shared" si="28"/>
        <v>0.98814229249011853</v>
      </c>
      <c r="F150">
        <f t="shared" si="28"/>
        <v>1</v>
      </c>
      <c r="G150">
        <f t="shared" si="29"/>
        <v>0.17169079200000203</v>
      </c>
      <c r="H150">
        <f t="shared" si="29"/>
        <v>0</v>
      </c>
      <c r="I150">
        <f t="shared" si="29"/>
        <v>0</v>
      </c>
      <c r="J150" s="1">
        <f t="shared" si="27"/>
        <v>3.0325799861530743E-2</v>
      </c>
      <c r="K150" s="1">
        <f t="shared" si="27"/>
        <v>8.2599515209295572E-36</v>
      </c>
      <c r="L150" s="1">
        <f t="shared" si="27"/>
        <v>1.2037062152420224E-35</v>
      </c>
      <c r="N150" s="1">
        <f t="shared" si="30"/>
        <v>1.5811015876571117</v>
      </c>
      <c r="O150" s="1">
        <f t="shared" si="30"/>
        <v>0.18622439069727706</v>
      </c>
      <c r="P150" s="1">
        <f t="shared" si="30"/>
        <v>0.31592152199762574</v>
      </c>
      <c r="R150" s="1">
        <f t="shared" si="31"/>
        <v>2.8608025254174194E-2</v>
      </c>
      <c r="S150" s="1">
        <f t="shared" si="31"/>
        <v>8.3590709391807122E-36</v>
      </c>
      <c r="T150" s="1">
        <f t="shared" si="31"/>
        <v>1.2037062152420224E-35</v>
      </c>
      <c r="V150">
        <v>23.492899999999999</v>
      </c>
      <c r="W150">
        <v>25.3</v>
      </c>
      <c r="X150">
        <v>25</v>
      </c>
    </row>
    <row r="151" spans="1:24" x14ac:dyDescent="0.3">
      <c r="A151">
        <v>23.674900000000001</v>
      </c>
      <c r="B151">
        <v>25.3</v>
      </c>
      <c r="C151">
        <v>25</v>
      </c>
      <c r="D151">
        <f t="shared" si="28"/>
        <v>1.0595734581087037</v>
      </c>
      <c r="E151">
        <f t="shared" si="28"/>
        <v>0.98814229249011853</v>
      </c>
      <c r="F151">
        <f t="shared" si="28"/>
        <v>1</v>
      </c>
      <c r="G151">
        <f t="shared" si="29"/>
        <v>-0.15194793600000128</v>
      </c>
      <c r="H151">
        <f t="shared" si="29"/>
        <v>0</v>
      </c>
      <c r="I151">
        <f t="shared" si="29"/>
        <v>0</v>
      </c>
      <c r="J151" s="1">
        <f t="shared" si="27"/>
        <v>2.5292171119384126E-2</v>
      </c>
      <c r="K151" s="1">
        <f t="shared" si="27"/>
        <v>8.2599515209295572E-36</v>
      </c>
      <c r="L151" s="1">
        <f t="shared" si="27"/>
        <v>1.2037062152420224E-35</v>
      </c>
      <c r="N151" s="1">
        <f t="shared" si="30"/>
        <v>1.1565252097260672</v>
      </c>
      <c r="O151" s="1">
        <f t="shared" si="30"/>
        <v>0.18622439069727706</v>
      </c>
      <c r="P151" s="1">
        <f t="shared" si="30"/>
        <v>0.31592152199762574</v>
      </c>
      <c r="R151" s="1">
        <f t="shared" si="31"/>
        <v>2.3870144090367872E-2</v>
      </c>
      <c r="S151" s="1">
        <f t="shared" si="31"/>
        <v>8.3590709391807122E-36</v>
      </c>
      <c r="T151" s="1">
        <f t="shared" si="31"/>
        <v>1.2037062152420224E-35</v>
      </c>
      <c r="V151">
        <v>23.674900000000001</v>
      </c>
      <c r="W151">
        <v>25.3</v>
      </c>
      <c r="X151">
        <v>25</v>
      </c>
    </row>
    <row r="152" spans="1:24" x14ac:dyDescent="0.3">
      <c r="A152">
        <v>23.5139</v>
      </c>
      <c r="B152">
        <v>25.3</v>
      </c>
      <c r="C152">
        <v>25</v>
      </c>
      <c r="D152">
        <f t="shared" si="28"/>
        <v>1.0656572760947498</v>
      </c>
      <c r="E152">
        <f t="shared" si="28"/>
        <v>0.98814229249011853</v>
      </c>
      <c r="F152">
        <f t="shared" si="28"/>
        <v>1</v>
      </c>
      <c r="G152">
        <f t="shared" si="29"/>
        <v>-0.10172125919999962</v>
      </c>
      <c r="H152">
        <f t="shared" si="29"/>
        <v>0</v>
      </c>
      <c r="I152">
        <f t="shared" si="29"/>
        <v>0</v>
      </c>
      <c r="J152" s="1">
        <f t="shared" si="27"/>
        <v>1.1586736458614142E-2</v>
      </c>
      <c r="K152" s="1">
        <f t="shared" si="27"/>
        <v>8.2599515209295572E-36</v>
      </c>
      <c r="L152" s="1">
        <f t="shared" si="27"/>
        <v>1.2037062152420224E-35</v>
      </c>
      <c r="N152" s="1">
        <f t="shared" si="30"/>
        <v>1.5287310055881436</v>
      </c>
      <c r="O152" s="1">
        <f t="shared" si="30"/>
        <v>0.18622439069727706</v>
      </c>
      <c r="P152" s="1">
        <f t="shared" si="30"/>
        <v>0.31592152199762574</v>
      </c>
      <c r="R152" s="1">
        <f t="shared" si="31"/>
        <v>1.0872854451926007E-2</v>
      </c>
      <c r="S152" s="1">
        <f t="shared" si="31"/>
        <v>8.3590709391807122E-36</v>
      </c>
      <c r="T152" s="1">
        <f t="shared" si="31"/>
        <v>1.2037062152420224E-35</v>
      </c>
      <c r="V152">
        <v>23.5139</v>
      </c>
      <c r="W152">
        <v>25.3</v>
      </c>
      <c r="X152">
        <v>25</v>
      </c>
    </row>
    <row r="153" spans="1:24" x14ac:dyDescent="0.3">
      <c r="A153">
        <v>23.4055</v>
      </c>
      <c r="B153">
        <v>25.3</v>
      </c>
      <c r="C153">
        <v>25</v>
      </c>
      <c r="D153">
        <f t="shared" si="28"/>
        <v>1.0585931297305879</v>
      </c>
      <c r="E153">
        <f t="shared" si="28"/>
        <v>0.98814229249011853</v>
      </c>
      <c r="F153">
        <f t="shared" si="28"/>
        <v>1</v>
      </c>
      <c r="G153">
        <f t="shared" si="29"/>
        <v>0.39816997500000173</v>
      </c>
      <c r="H153">
        <f t="shared" si="29"/>
        <v>0</v>
      </c>
      <c r="I153">
        <f t="shared" si="29"/>
        <v>0</v>
      </c>
      <c r="J153" s="1">
        <f t="shared" si="27"/>
        <v>0.16568443624644125</v>
      </c>
      <c r="K153" s="1">
        <f t="shared" si="27"/>
        <v>8.2599515209295572E-36</v>
      </c>
      <c r="L153" s="1">
        <f t="shared" si="27"/>
        <v>1.2037062152420224E-35</v>
      </c>
      <c r="N153" s="1">
        <f t="shared" si="30"/>
        <v>1.8085371225536628</v>
      </c>
      <c r="O153" s="1">
        <f t="shared" si="30"/>
        <v>0.18622439069727706</v>
      </c>
      <c r="P153" s="1">
        <f t="shared" si="30"/>
        <v>0.31592152199762574</v>
      </c>
      <c r="R153" s="1">
        <f t="shared" si="31"/>
        <v>0.15651380270020074</v>
      </c>
      <c r="S153" s="1">
        <f t="shared" si="31"/>
        <v>8.3590709391807122E-36</v>
      </c>
      <c r="T153" s="1">
        <f t="shared" si="31"/>
        <v>1.2037062152420224E-35</v>
      </c>
      <c r="V153">
        <v>23.4055</v>
      </c>
      <c r="W153">
        <v>25.3</v>
      </c>
      <c r="X153">
        <v>25</v>
      </c>
    </row>
    <row r="154" spans="1:24" x14ac:dyDescent="0.3">
      <c r="A154">
        <v>23.827000000000002</v>
      </c>
      <c r="B154">
        <v>25.3</v>
      </c>
      <c r="C154">
        <v>25</v>
      </c>
      <c r="D154">
        <f t="shared" si="28"/>
        <v>1.0371141676017979</v>
      </c>
      <c r="E154">
        <f t="shared" si="28"/>
        <v>0.99009900990099009</v>
      </c>
      <c r="F154">
        <f t="shared" si="28"/>
        <v>1</v>
      </c>
      <c r="G154">
        <f t="shared" si="29"/>
        <v>0.53677793379999938</v>
      </c>
      <c r="H154">
        <f t="shared" si="29"/>
        <v>-0.10100000000000144</v>
      </c>
      <c r="I154">
        <f t="shared" si="29"/>
        <v>0</v>
      </c>
      <c r="J154" s="1">
        <f t="shared" si="27"/>
        <v>0.29598994224883385</v>
      </c>
      <c r="K154" s="1">
        <f t="shared" si="27"/>
        <v>1.0100000000000288E-2</v>
      </c>
      <c r="L154" s="1">
        <f t="shared" si="27"/>
        <v>1.2037062152420224E-35</v>
      </c>
      <c r="N154" s="1">
        <f t="shared" si="30"/>
        <v>0.85251727531226895</v>
      </c>
      <c r="O154" s="1">
        <f t="shared" si="30"/>
        <v>0.18622439069727706</v>
      </c>
      <c r="P154" s="1">
        <f t="shared" si="30"/>
        <v>0.31592152199762574</v>
      </c>
      <c r="R154" s="1">
        <f t="shared" si="31"/>
        <v>0.28539764617551711</v>
      </c>
      <c r="S154" s="1">
        <f t="shared" si="31"/>
        <v>1.020100000000029E-2</v>
      </c>
      <c r="T154" s="1">
        <f t="shared" si="31"/>
        <v>1.2037062152420224E-35</v>
      </c>
      <c r="V154">
        <v>23.827000000000002</v>
      </c>
      <c r="W154">
        <v>25.3</v>
      </c>
      <c r="X154">
        <v>25</v>
      </c>
    </row>
    <row r="155" spans="1:24" x14ac:dyDescent="0.3">
      <c r="A155">
        <v>24.383700000000001</v>
      </c>
      <c r="B155">
        <v>25.2</v>
      </c>
      <c r="C155">
        <v>25</v>
      </c>
      <c r="D155">
        <f t="shared" si="28"/>
        <v>1.0125556905629809</v>
      </c>
      <c r="E155">
        <f t="shared" si="28"/>
        <v>0.99206349206349209</v>
      </c>
      <c r="F155">
        <f t="shared" si="28"/>
        <v>1</v>
      </c>
      <c r="G155">
        <f t="shared" si="29"/>
        <v>0.60500376000000056</v>
      </c>
      <c r="H155">
        <f t="shared" si="29"/>
        <v>0</v>
      </c>
      <c r="I155">
        <f t="shared" si="29"/>
        <v>0</v>
      </c>
      <c r="J155" s="1">
        <f t="shared" si="27"/>
        <v>0.367505527535472</v>
      </c>
      <c r="K155" s="1">
        <f t="shared" si="27"/>
        <v>8.2927291063300717E-36</v>
      </c>
      <c r="L155" s="1">
        <f t="shared" si="27"/>
        <v>1.2037062152420224E-35</v>
      </c>
      <c r="N155" s="1">
        <f t="shared" si="30"/>
        <v>0.13440921303639433</v>
      </c>
      <c r="O155" s="1">
        <f t="shared" si="30"/>
        <v>0.28253183897314343</v>
      </c>
      <c r="P155" s="1">
        <f t="shared" si="30"/>
        <v>0.31592152199762574</v>
      </c>
      <c r="R155" s="1">
        <f t="shared" si="31"/>
        <v>0.36294845899403216</v>
      </c>
      <c r="S155" s="1">
        <f t="shared" si="31"/>
        <v>8.3590709391807122E-36</v>
      </c>
      <c r="T155" s="1">
        <f t="shared" si="31"/>
        <v>1.2037062152420224E-35</v>
      </c>
      <c r="V155">
        <v>24.383700000000001</v>
      </c>
      <c r="W155">
        <v>25.2</v>
      </c>
      <c r="X155">
        <v>25</v>
      </c>
    </row>
    <row r="156" spans="1:24" x14ac:dyDescent="0.3">
      <c r="A156">
        <v>24.996300000000002</v>
      </c>
      <c r="B156">
        <v>25.2</v>
      </c>
      <c r="C156">
        <v>25</v>
      </c>
      <c r="D156">
        <f t="shared" si="28"/>
        <v>0.98877346606628336</v>
      </c>
      <c r="E156">
        <f t="shared" si="28"/>
        <v>0.99403578528827041</v>
      </c>
      <c r="F156">
        <f t="shared" si="28"/>
        <v>1</v>
      </c>
      <c r="G156">
        <f t="shared" si="29"/>
        <v>0.58162968539999904</v>
      </c>
      <c r="H156">
        <f t="shared" si="29"/>
        <v>-0.10059999999999786</v>
      </c>
      <c r="I156">
        <f t="shared" si="29"/>
        <v>0</v>
      </c>
      <c r="J156" s="1">
        <f t="shared" si="27"/>
        <v>0.33156668047400567</v>
      </c>
      <c r="K156" s="1">
        <f t="shared" si="27"/>
        <v>1.0059999999999571E-2</v>
      </c>
      <c r="L156" s="1">
        <f t="shared" si="27"/>
        <v>1.2037062152420224E-35</v>
      </c>
      <c r="N156" s="1">
        <f t="shared" si="30"/>
        <v>6.0506838967413885E-2</v>
      </c>
      <c r="O156" s="1">
        <f t="shared" si="30"/>
        <v>0.28253183897314343</v>
      </c>
      <c r="P156" s="1">
        <f t="shared" si="30"/>
        <v>0.31592152199762574</v>
      </c>
      <c r="R156" s="1">
        <f t="shared" si="31"/>
        <v>0.33533128856410754</v>
      </c>
      <c r="S156" s="1">
        <f t="shared" si="31"/>
        <v>1.0120359999999568E-2</v>
      </c>
      <c r="T156" s="1">
        <f t="shared" si="31"/>
        <v>1.2037062152420224E-35</v>
      </c>
      <c r="V156">
        <v>24.996300000000002</v>
      </c>
      <c r="W156">
        <v>25.2</v>
      </c>
      <c r="X156">
        <v>25</v>
      </c>
    </row>
    <row r="157" spans="1:24" x14ac:dyDescent="0.3">
      <c r="A157">
        <v>25.571400000000001</v>
      </c>
      <c r="B157">
        <v>25.1</v>
      </c>
      <c r="C157">
        <v>25</v>
      </c>
      <c r="D157">
        <f t="shared" si="28"/>
        <v>0.96755404273105683</v>
      </c>
      <c r="E157">
        <f t="shared" si="28"/>
        <v>0.99800399201596801</v>
      </c>
      <c r="F157">
        <f t="shared" si="28"/>
        <v>1</v>
      </c>
      <c r="G157">
        <f t="shared" si="29"/>
        <v>0.55180380259999906</v>
      </c>
      <c r="H157">
        <f t="shared" si="29"/>
        <v>-0.10020000000000143</v>
      </c>
      <c r="I157">
        <f t="shared" si="29"/>
        <v>0</v>
      </c>
      <c r="J157" s="1">
        <f t="shared" si="27"/>
        <v>0.29188962227397069</v>
      </c>
      <c r="K157" s="1">
        <f t="shared" si="27"/>
        <v>1.0020000000000286E-2</v>
      </c>
      <c r="L157" s="1">
        <f t="shared" si="27"/>
        <v>1.2037062152420224E-35</v>
      </c>
      <c r="N157" s="1">
        <f t="shared" si="30"/>
        <v>0.67417463145015721</v>
      </c>
      <c r="O157" s="1">
        <f t="shared" si="30"/>
        <v>0.3988392872490058</v>
      </c>
      <c r="P157" s="1">
        <f t="shared" si="30"/>
        <v>0.31592152199762574</v>
      </c>
      <c r="R157" s="1">
        <f t="shared" si="31"/>
        <v>0.30167784886730598</v>
      </c>
      <c r="S157" s="1">
        <f t="shared" si="31"/>
        <v>1.0040040000000286E-2</v>
      </c>
      <c r="T157" s="1">
        <f t="shared" si="31"/>
        <v>1.2037062152420224E-35</v>
      </c>
      <c r="V157">
        <v>25.571400000000001</v>
      </c>
      <c r="W157">
        <v>25.1</v>
      </c>
      <c r="X157">
        <v>25</v>
      </c>
    </row>
    <row r="158" spans="1:24" x14ac:dyDescent="0.3">
      <c r="A158">
        <v>26.1053</v>
      </c>
      <c r="B158">
        <v>25</v>
      </c>
      <c r="C158">
        <v>25</v>
      </c>
      <c r="D158">
        <f t="shared" si="28"/>
        <v>0.95496025455420552</v>
      </c>
      <c r="E158">
        <f t="shared" si="28"/>
        <v>1</v>
      </c>
      <c r="F158">
        <f t="shared" si="28"/>
        <v>1</v>
      </c>
      <c r="G158">
        <f t="shared" si="29"/>
        <v>0.15456140640000063</v>
      </c>
      <c r="H158">
        <f t="shared" si="29"/>
        <v>0</v>
      </c>
      <c r="I158">
        <f t="shared" si="29"/>
        <v>0</v>
      </c>
      <c r="J158" s="1">
        <f t="shared" si="27"/>
        <v>2.2066213486523909E-2</v>
      </c>
      <c r="K158" s="1">
        <f t="shared" si="27"/>
        <v>8.3590709391807122E-36</v>
      </c>
      <c r="L158" s="1">
        <f t="shared" si="27"/>
        <v>1.2037062152420224E-35</v>
      </c>
      <c r="N158" s="1">
        <f t="shared" si="30"/>
        <v>1.8359745382777275</v>
      </c>
      <c r="O158" s="1">
        <f t="shared" si="30"/>
        <v>0.53514673552487257</v>
      </c>
      <c r="P158" s="1">
        <f t="shared" si="30"/>
        <v>0.31592152199762574</v>
      </c>
      <c r="R158" s="1">
        <f t="shared" si="31"/>
        <v>2.3106944379402323E-2</v>
      </c>
      <c r="S158" s="1">
        <f t="shared" si="31"/>
        <v>8.3590709391807122E-36</v>
      </c>
      <c r="T158" s="1">
        <f t="shared" si="31"/>
        <v>1.2037062152420224E-35</v>
      </c>
      <c r="V158">
        <v>26.1053</v>
      </c>
      <c r="W158">
        <v>25</v>
      </c>
      <c r="X158">
        <v>25</v>
      </c>
    </row>
    <row r="159" spans="1:24" x14ac:dyDescent="0.3">
      <c r="A159">
        <v>26.2529</v>
      </c>
      <c r="B159">
        <v>25</v>
      </c>
      <c r="C159">
        <v>25</v>
      </c>
      <c r="D159">
        <f t="shared" si="28"/>
        <v>0.95057214937670975</v>
      </c>
      <c r="E159">
        <f t="shared" si="28"/>
        <v>1</v>
      </c>
      <c r="F159">
        <f t="shared" si="28"/>
        <v>1</v>
      </c>
      <c r="G159">
        <f t="shared" si="29"/>
        <v>9.8993011800001016E-2</v>
      </c>
      <c r="H159">
        <f t="shared" si="29"/>
        <v>0</v>
      </c>
      <c r="I159">
        <f t="shared" si="29"/>
        <v>0</v>
      </c>
      <c r="J159" s="1">
        <f t="shared" si="27"/>
        <v>8.8411979138265581E-3</v>
      </c>
      <c r="K159" s="1">
        <f t="shared" si="27"/>
        <v>8.3590709391807122E-36</v>
      </c>
      <c r="L159" s="1">
        <f t="shared" si="27"/>
        <v>1.2037062152420224E-35</v>
      </c>
      <c r="N159" s="1">
        <f t="shared" si="30"/>
        <v>2.2577508014501393</v>
      </c>
      <c r="O159" s="1">
        <f t="shared" si="30"/>
        <v>0.53514673552487257</v>
      </c>
      <c r="P159" s="1">
        <f t="shared" si="30"/>
        <v>0.31592152199762574</v>
      </c>
      <c r="R159" s="1">
        <f t="shared" si="31"/>
        <v>9.3009225229497127E-3</v>
      </c>
      <c r="S159" s="1">
        <f t="shared" si="31"/>
        <v>8.3590709391807122E-36</v>
      </c>
      <c r="T159" s="1">
        <f t="shared" si="31"/>
        <v>1.2037062152420224E-35</v>
      </c>
      <c r="V159">
        <v>26.2529</v>
      </c>
      <c r="W159">
        <v>25</v>
      </c>
      <c r="X159">
        <v>25</v>
      </c>
    </row>
    <row r="160" spans="1:24" x14ac:dyDescent="0.3">
      <c r="A160">
        <v>26.347000000000001</v>
      </c>
      <c r="B160">
        <v>25</v>
      </c>
      <c r="C160">
        <v>25</v>
      </c>
      <c r="D160"/>
      <c r="E160"/>
      <c r="F160"/>
      <c r="G160"/>
      <c r="H160"/>
      <c r="I160"/>
      <c r="N160" s="1">
        <f t="shared" si="30"/>
        <v>2.5493914270363467</v>
      </c>
      <c r="O160" s="1">
        <f t="shared" si="30"/>
        <v>0.53514673552487257</v>
      </c>
      <c r="P160" s="1">
        <f t="shared" si="30"/>
        <v>0.31592152199762574</v>
      </c>
      <c r="R160" s="1">
        <f t="shared" si="31"/>
        <v>6.5112813377016188E-6</v>
      </c>
      <c r="S160" s="1">
        <f t="shared" si="31"/>
        <v>8.3590709391807122E-36</v>
      </c>
      <c r="T160" s="1">
        <f t="shared" si="31"/>
        <v>1.2037062152420224E-35</v>
      </c>
      <c r="V160">
        <v>26.347000000000001</v>
      </c>
      <c r="W160">
        <v>25</v>
      </c>
      <c r="X160">
        <v>25</v>
      </c>
    </row>
    <row r="161" spans="1:9" x14ac:dyDescent="0.3">
      <c r="A161" s="13"/>
      <c r="B161"/>
      <c r="C161"/>
      <c r="D161"/>
      <c r="E161"/>
      <c r="F161"/>
      <c r="G161"/>
      <c r="H161"/>
      <c r="I161"/>
    </row>
    <row r="162" spans="1:9" x14ac:dyDescent="0.3">
      <c r="A162" s="13"/>
      <c r="B162"/>
      <c r="C162"/>
      <c r="D162"/>
      <c r="E162"/>
      <c r="F162"/>
      <c r="G162"/>
      <c r="H162"/>
      <c r="I162"/>
    </row>
    <row r="163" spans="1:9" x14ac:dyDescent="0.3">
      <c r="A163" s="13"/>
      <c r="B163"/>
      <c r="C163"/>
      <c r="D163"/>
      <c r="E163"/>
      <c r="F163"/>
      <c r="G163"/>
      <c r="H163"/>
      <c r="I163"/>
    </row>
    <row r="164" spans="1:9" x14ac:dyDescent="0.3">
      <c r="A164" s="13"/>
      <c r="B164"/>
      <c r="C164"/>
      <c r="D164"/>
      <c r="E164"/>
      <c r="F164"/>
      <c r="G164"/>
      <c r="H164"/>
      <c r="I164"/>
    </row>
    <row r="165" spans="1:9" x14ac:dyDescent="0.3">
      <c r="A165" s="13"/>
      <c r="B165"/>
      <c r="C165"/>
      <c r="D165"/>
      <c r="E165"/>
      <c r="F165"/>
      <c r="G165"/>
      <c r="H165"/>
      <c r="I165"/>
    </row>
    <row r="166" spans="1:9" x14ac:dyDescent="0.3">
      <c r="A166" s="13"/>
      <c r="B166"/>
      <c r="C166"/>
      <c r="D166"/>
      <c r="E166"/>
      <c r="F166"/>
      <c r="G166"/>
      <c r="H166"/>
      <c r="I166"/>
    </row>
    <row r="167" spans="1:9" x14ac:dyDescent="0.3">
      <c r="A167" s="13"/>
      <c r="B167"/>
      <c r="C167"/>
      <c r="D167"/>
      <c r="E167"/>
      <c r="F167"/>
      <c r="G167"/>
      <c r="H167"/>
      <c r="I167"/>
    </row>
    <row r="168" spans="1:9" x14ac:dyDescent="0.3">
      <c r="A168" s="13"/>
      <c r="B168"/>
      <c r="C168"/>
      <c r="D168"/>
      <c r="E168"/>
      <c r="F168"/>
      <c r="G168"/>
      <c r="H168"/>
      <c r="I168"/>
    </row>
    <row r="169" spans="1:9" x14ac:dyDescent="0.3">
      <c r="A169" s="13"/>
      <c r="B169"/>
      <c r="C169"/>
      <c r="D169"/>
      <c r="E169"/>
      <c r="F169"/>
      <c r="G169"/>
      <c r="H169"/>
      <c r="I169"/>
    </row>
    <row r="170" spans="1:9" x14ac:dyDescent="0.3">
      <c r="A170" s="13"/>
      <c r="B170"/>
      <c r="C170"/>
      <c r="D170"/>
      <c r="E170"/>
      <c r="F170"/>
      <c r="G170"/>
      <c r="H170"/>
      <c r="I170"/>
    </row>
    <row r="171" spans="1:9" x14ac:dyDescent="0.3">
      <c r="A171" s="13"/>
      <c r="B171"/>
      <c r="C171"/>
      <c r="D171"/>
      <c r="E171"/>
      <c r="F171"/>
      <c r="G171"/>
      <c r="H171"/>
      <c r="I171"/>
    </row>
    <row r="172" spans="1:9" x14ac:dyDescent="0.3">
      <c r="A172" s="13"/>
      <c r="B172"/>
      <c r="C172"/>
      <c r="D172"/>
      <c r="E172"/>
      <c r="F172"/>
      <c r="G172"/>
      <c r="H172"/>
      <c r="I172"/>
    </row>
    <row r="173" spans="1:9" x14ac:dyDescent="0.3">
      <c r="A173" s="13"/>
      <c r="B173"/>
      <c r="C173"/>
      <c r="D173"/>
      <c r="E173"/>
      <c r="F173"/>
      <c r="G173"/>
      <c r="H173"/>
      <c r="I173"/>
    </row>
    <row r="174" spans="1:9" x14ac:dyDescent="0.3">
      <c r="A174" s="13"/>
      <c r="B174"/>
      <c r="C174"/>
      <c r="D174"/>
      <c r="E174"/>
      <c r="F174"/>
      <c r="G174"/>
      <c r="H174"/>
      <c r="I174"/>
    </row>
    <row r="175" spans="1:9" x14ac:dyDescent="0.3">
      <c r="A175" s="13"/>
      <c r="B175"/>
      <c r="C175"/>
      <c r="D175"/>
      <c r="E175"/>
      <c r="F175"/>
      <c r="G175"/>
      <c r="H175"/>
      <c r="I175"/>
    </row>
    <row r="176" spans="1:9" x14ac:dyDescent="0.3">
      <c r="A176" s="13"/>
      <c r="B176"/>
      <c r="C176"/>
      <c r="D176"/>
      <c r="E176"/>
      <c r="F176"/>
      <c r="G176"/>
      <c r="H176"/>
      <c r="I176"/>
    </row>
    <row r="177" spans="1:9" x14ac:dyDescent="0.3">
      <c r="A177" s="13"/>
      <c r="B177"/>
      <c r="C177"/>
      <c r="D177"/>
      <c r="E177"/>
      <c r="F177"/>
      <c r="G177"/>
      <c r="H177"/>
      <c r="I177"/>
    </row>
    <row r="178" spans="1:9" x14ac:dyDescent="0.3">
      <c r="A178" s="13"/>
      <c r="B178"/>
      <c r="C178"/>
      <c r="D178"/>
      <c r="E178"/>
      <c r="F178"/>
      <c r="G178"/>
      <c r="H178"/>
      <c r="I178"/>
    </row>
    <row r="179" spans="1:9" x14ac:dyDescent="0.3">
      <c r="A179" s="13"/>
      <c r="B179"/>
      <c r="C179"/>
      <c r="D179"/>
      <c r="E179"/>
      <c r="F179"/>
      <c r="G179"/>
      <c r="H179"/>
      <c r="I179"/>
    </row>
    <row r="180" spans="1:9" x14ac:dyDescent="0.3">
      <c r="A180" s="13"/>
      <c r="B180"/>
      <c r="C180"/>
      <c r="D180"/>
      <c r="E180"/>
      <c r="F180"/>
      <c r="G180"/>
      <c r="H180"/>
      <c r="I180"/>
    </row>
    <row r="181" spans="1:9" x14ac:dyDescent="0.3">
      <c r="A181" s="13"/>
      <c r="B181"/>
      <c r="C181"/>
      <c r="D181"/>
      <c r="E181"/>
      <c r="F181"/>
      <c r="G181"/>
      <c r="H181"/>
      <c r="I181"/>
    </row>
    <row r="182" spans="1:9" x14ac:dyDescent="0.3">
      <c r="A182" s="13"/>
      <c r="B182"/>
      <c r="C182"/>
      <c r="D182"/>
      <c r="E182"/>
      <c r="F182"/>
      <c r="G182"/>
      <c r="H182"/>
      <c r="I182"/>
    </row>
    <row r="183" spans="1:9" x14ac:dyDescent="0.3">
      <c r="A183" s="13"/>
      <c r="B183"/>
      <c r="C183"/>
      <c r="D183"/>
      <c r="E183"/>
      <c r="F183"/>
      <c r="G183"/>
      <c r="H183"/>
      <c r="I183"/>
    </row>
    <row r="184" spans="1:9" x14ac:dyDescent="0.3">
      <c r="A184" s="13"/>
      <c r="B184"/>
      <c r="C184"/>
      <c r="D184"/>
      <c r="E184"/>
      <c r="F184"/>
      <c r="G184"/>
      <c r="H184"/>
      <c r="I184"/>
    </row>
    <row r="185" spans="1:9" x14ac:dyDescent="0.3">
      <c r="A185" s="13"/>
      <c r="B185"/>
      <c r="C185"/>
      <c r="D185"/>
      <c r="E185"/>
      <c r="F185"/>
      <c r="G185"/>
      <c r="H185"/>
      <c r="I185"/>
    </row>
    <row r="186" spans="1:9" x14ac:dyDescent="0.3">
      <c r="A186" s="13"/>
      <c r="B186"/>
      <c r="C186"/>
      <c r="D186"/>
      <c r="E186"/>
      <c r="F186"/>
      <c r="G186"/>
      <c r="H186"/>
      <c r="I186"/>
    </row>
    <row r="187" spans="1:9" x14ac:dyDescent="0.3">
      <c r="A187" s="13"/>
      <c r="B187"/>
      <c r="C187"/>
      <c r="D187"/>
      <c r="E187"/>
      <c r="F187"/>
      <c r="G187"/>
      <c r="H187"/>
      <c r="I187"/>
    </row>
    <row r="188" spans="1:9" x14ac:dyDescent="0.3">
      <c r="A188" s="13"/>
      <c r="B188"/>
      <c r="C188"/>
      <c r="D188"/>
      <c r="E188"/>
      <c r="F188"/>
      <c r="G188"/>
      <c r="H188"/>
      <c r="I188"/>
    </row>
    <row r="189" spans="1:9" x14ac:dyDescent="0.3">
      <c r="A189" s="13"/>
      <c r="B189"/>
      <c r="C189"/>
      <c r="D189"/>
      <c r="E189"/>
      <c r="F189"/>
      <c r="G189"/>
      <c r="H189"/>
      <c r="I189"/>
    </row>
    <row r="190" spans="1:9" x14ac:dyDescent="0.3">
      <c r="A190" s="13"/>
      <c r="B190"/>
      <c r="C190"/>
      <c r="D190"/>
      <c r="E190"/>
      <c r="F190"/>
      <c r="G190"/>
      <c r="H190"/>
      <c r="I190"/>
    </row>
    <row r="191" spans="1:9" x14ac:dyDescent="0.3">
      <c r="A191" s="13"/>
      <c r="B191"/>
      <c r="C191"/>
      <c r="D191"/>
      <c r="E191"/>
      <c r="F191"/>
      <c r="G191"/>
      <c r="H191"/>
      <c r="I191"/>
    </row>
    <row r="192" spans="1:9" x14ac:dyDescent="0.3">
      <c r="A192" s="13"/>
      <c r="B192"/>
      <c r="C192"/>
      <c r="D192"/>
      <c r="E192"/>
      <c r="F192"/>
      <c r="G192"/>
      <c r="H192"/>
      <c r="I192"/>
    </row>
    <row r="193" spans="1:9" x14ac:dyDescent="0.3">
      <c r="A193" s="13"/>
      <c r="B193"/>
      <c r="C193"/>
      <c r="D193"/>
      <c r="E193"/>
      <c r="F193"/>
      <c r="G193"/>
      <c r="H193"/>
      <c r="I193"/>
    </row>
    <row r="194" spans="1:9" x14ac:dyDescent="0.3">
      <c r="A194" s="13"/>
      <c r="B194"/>
      <c r="C194"/>
      <c r="D194"/>
      <c r="E194"/>
      <c r="F194"/>
      <c r="G194"/>
      <c r="H194"/>
      <c r="I194"/>
    </row>
    <row r="195" spans="1:9" x14ac:dyDescent="0.3">
      <c r="A195" s="13"/>
      <c r="B195"/>
      <c r="C195"/>
      <c r="D195"/>
      <c r="E195"/>
      <c r="F195"/>
      <c r="G195"/>
      <c r="H195"/>
      <c r="I195"/>
    </row>
    <row r="196" spans="1:9" x14ac:dyDescent="0.3">
      <c r="A196" s="13"/>
      <c r="B196"/>
      <c r="C196"/>
      <c r="D196"/>
      <c r="E196"/>
      <c r="F196"/>
      <c r="G196"/>
      <c r="H196"/>
      <c r="I196"/>
    </row>
    <row r="197" spans="1:9" x14ac:dyDescent="0.3">
      <c r="A197" s="13"/>
      <c r="B197"/>
      <c r="C197"/>
      <c r="D197"/>
      <c r="E197"/>
      <c r="F197"/>
      <c r="G197"/>
      <c r="H197"/>
      <c r="I197"/>
    </row>
    <row r="198" spans="1:9" x14ac:dyDescent="0.3">
      <c r="A198" s="13"/>
      <c r="B198"/>
      <c r="C198"/>
      <c r="D198"/>
      <c r="E198"/>
      <c r="F198"/>
      <c r="G198"/>
      <c r="H198"/>
      <c r="I198"/>
    </row>
    <row r="199" spans="1:9" x14ac:dyDescent="0.3">
      <c r="A199" s="13"/>
      <c r="B199"/>
      <c r="C199"/>
      <c r="D199"/>
      <c r="E199"/>
      <c r="F199"/>
      <c r="G199"/>
      <c r="H199"/>
      <c r="I199"/>
    </row>
    <row r="200" spans="1:9" x14ac:dyDescent="0.3">
      <c r="A200" s="13"/>
      <c r="B200"/>
      <c r="C200"/>
      <c r="D200"/>
      <c r="E200"/>
      <c r="F200"/>
      <c r="G200"/>
      <c r="H200"/>
      <c r="I200"/>
    </row>
    <row r="201" spans="1:9" x14ac:dyDescent="0.3">
      <c r="A201" s="13"/>
      <c r="B201"/>
      <c r="C201"/>
      <c r="D201"/>
      <c r="E201"/>
      <c r="F201"/>
      <c r="G201"/>
      <c r="H201"/>
      <c r="I201"/>
    </row>
    <row r="202" spans="1:9" x14ac:dyDescent="0.3">
      <c r="A202" s="13"/>
      <c r="B202"/>
      <c r="C202"/>
      <c r="D202"/>
      <c r="E202"/>
      <c r="F202"/>
      <c r="G202"/>
      <c r="H202"/>
      <c r="I202"/>
    </row>
    <row r="203" spans="1:9" x14ac:dyDescent="0.3">
      <c r="A203" s="13"/>
      <c r="B203"/>
      <c r="C203"/>
      <c r="D203"/>
      <c r="E203"/>
      <c r="F203"/>
      <c r="G203"/>
      <c r="H203"/>
      <c r="I203"/>
    </row>
    <row r="204" spans="1:9" x14ac:dyDescent="0.3">
      <c r="A204" s="13"/>
      <c r="B204"/>
      <c r="C204"/>
      <c r="D204"/>
      <c r="E204"/>
      <c r="F204"/>
      <c r="G204"/>
      <c r="H204"/>
      <c r="I204"/>
    </row>
    <row r="205" spans="1:9" x14ac:dyDescent="0.3">
      <c r="A205" s="13"/>
      <c r="B205"/>
      <c r="C205"/>
      <c r="D205"/>
      <c r="E205"/>
      <c r="F205"/>
      <c r="G205"/>
      <c r="H205"/>
      <c r="I205"/>
    </row>
    <row r="206" spans="1:9" x14ac:dyDescent="0.3">
      <c r="A206" s="13"/>
      <c r="B206"/>
      <c r="C206"/>
      <c r="D206"/>
      <c r="E206"/>
      <c r="F206"/>
      <c r="G206"/>
      <c r="H206"/>
      <c r="I206"/>
    </row>
    <row r="207" spans="1:9" x14ac:dyDescent="0.3">
      <c r="A207" s="13"/>
      <c r="B207"/>
      <c r="C207"/>
      <c r="D207"/>
      <c r="E207"/>
      <c r="F207"/>
      <c r="G207"/>
      <c r="H207"/>
      <c r="I207"/>
    </row>
    <row r="208" spans="1:9" x14ac:dyDescent="0.3">
      <c r="A208" s="13"/>
      <c r="B208"/>
      <c r="C208"/>
      <c r="D208"/>
      <c r="E208"/>
      <c r="F208"/>
      <c r="G208"/>
      <c r="H208"/>
      <c r="I208"/>
    </row>
    <row r="209" spans="1:9" x14ac:dyDescent="0.3">
      <c r="A209" s="13"/>
      <c r="B209"/>
      <c r="C209"/>
      <c r="D209"/>
      <c r="E209"/>
      <c r="F209"/>
      <c r="G209"/>
      <c r="H209"/>
      <c r="I209"/>
    </row>
    <row r="210" spans="1:9" x14ac:dyDescent="0.3">
      <c r="A210" s="13"/>
      <c r="B210"/>
      <c r="C210"/>
      <c r="D210"/>
      <c r="E210"/>
      <c r="F210"/>
      <c r="G210"/>
      <c r="H210"/>
      <c r="I210"/>
    </row>
    <row r="211" spans="1:9" x14ac:dyDescent="0.3">
      <c r="A211" s="13"/>
      <c r="B211"/>
      <c r="C211"/>
      <c r="D211"/>
      <c r="E211"/>
      <c r="F211"/>
      <c r="G211"/>
      <c r="H211"/>
      <c r="I211"/>
    </row>
    <row r="212" spans="1:9" x14ac:dyDescent="0.3">
      <c r="A212" s="13"/>
      <c r="B212"/>
      <c r="C212"/>
      <c r="D212"/>
      <c r="E212"/>
      <c r="F212"/>
      <c r="G212"/>
      <c r="H212"/>
      <c r="I212"/>
    </row>
    <row r="213" spans="1:9" x14ac:dyDescent="0.3">
      <c r="A213" s="13"/>
      <c r="B213"/>
      <c r="C213"/>
      <c r="D213"/>
      <c r="E213"/>
      <c r="F213"/>
      <c r="G213"/>
      <c r="H213"/>
      <c r="I213"/>
    </row>
    <row r="214" spans="1:9" x14ac:dyDescent="0.3">
      <c r="A214" s="13"/>
      <c r="B214"/>
      <c r="C214"/>
      <c r="D214"/>
      <c r="E214"/>
      <c r="F214"/>
      <c r="G214"/>
      <c r="H214"/>
      <c r="I214"/>
    </row>
    <row r="215" spans="1:9" x14ac:dyDescent="0.3">
      <c r="A215" s="13"/>
      <c r="B215"/>
      <c r="C215"/>
      <c r="D215"/>
      <c r="E215"/>
      <c r="F215"/>
      <c r="G215"/>
      <c r="H215"/>
      <c r="I215"/>
    </row>
    <row r="216" spans="1:9" x14ac:dyDescent="0.3">
      <c r="A216" s="13"/>
      <c r="B216"/>
      <c r="C216"/>
      <c r="D216"/>
      <c r="E216"/>
      <c r="F216"/>
      <c r="G216"/>
      <c r="H216"/>
      <c r="I216"/>
    </row>
    <row r="217" spans="1:9" x14ac:dyDescent="0.3">
      <c r="A217" s="13"/>
      <c r="B217"/>
      <c r="C217"/>
      <c r="D217"/>
      <c r="E217"/>
      <c r="F217"/>
      <c r="G217"/>
      <c r="H217"/>
      <c r="I217"/>
    </row>
    <row r="218" spans="1:9" x14ac:dyDescent="0.3">
      <c r="A218" s="13"/>
      <c r="B218"/>
      <c r="C218"/>
      <c r="D218"/>
      <c r="E218"/>
      <c r="F218"/>
      <c r="G218"/>
      <c r="H218"/>
      <c r="I218"/>
    </row>
    <row r="219" spans="1:9" x14ac:dyDescent="0.3">
      <c r="A219" s="13"/>
      <c r="B219"/>
      <c r="C219"/>
      <c r="D219"/>
      <c r="E219"/>
      <c r="F219"/>
      <c r="G219"/>
      <c r="H219"/>
      <c r="I219"/>
    </row>
    <row r="220" spans="1:9" x14ac:dyDescent="0.3">
      <c r="A220" s="13"/>
      <c r="B220"/>
      <c r="C220"/>
      <c r="D220"/>
      <c r="E220"/>
      <c r="F220"/>
      <c r="G220"/>
      <c r="H220"/>
      <c r="I220"/>
    </row>
    <row r="221" spans="1:9" x14ac:dyDescent="0.3">
      <c r="A221" s="13"/>
      <c r="B221"/>
      <c r="C221"/>
      <c r="D221"/>
      <c r="E221"/>
      <c r="F221"/>
      <c r="G221"/>
      <c r="H221"/>
      <c r="I221"/>
    </row>
    <row r="222" spans="1:9" x14ac:dyDescent="0.3">
      <c r="A222" s="13"/>
      <c r="B222"/>
      <c r="C222"/>
      <c r="D222"/>
      <c r="E222"/>
      <c r="F222"/>
      <c r="G222"/>
      <c r="H222"/>
      <c r="I222"/>
    </row>
    <row r="223" spans="1:9" x14ac:dyDescent="0.3">
      <c r="A223" s="13"/>
      <c r="B223"/>
      <c r="C223"/>
      <c r="D223"/>
      <c r="E223"/>
      <c r="F223"/>
      <c r="G223"/>
      <c r="H223"/>
      <c r="I223"/>
    </row>
    <row r="224" spans="1:9" x14ac:dyDescent="0.3">
      <c r="A224" s="13"/>
      <c r="B224"/>
      <c r="C224"/>
      <c r="D224"/>
      <c r="E224"/>
      <c r="F224"/>
      <c r="G224"/>
      <c r="H224"/>
      <c r="I224"/>
    </row>
    <row r="225" spans="1:9" x14ac:dyDescent="0.3">
      <c r="A225" s="13"/>
      <c r="B225"/>
      <c r="C225"/>
      <c r="D225"/>
      <c r="E225"/>
      <c r="F225"/>
      <c r="G225"/>
      <c r="H225"/>
      <c r="I225"/>
    </row>
    <row r="226" spans="1:9" x14ac:dyDescent="0.3">
      <c r="A226" s="13"/>
      <c r="B226"/>
      <c r="C226"/>
      <c r="D226"/>
      <c r="E226"/>
      <c r="F226"/>
      <c r="G226"/>
      <c r="H226"/>
      <c r="I226"/>
    </row>
    <row r="227" spans="1:9" x14ac:dyDescent="0.3">
      <c r="A227" s="13"/>
      <c r="B227"/>
      <c r="C227"/>
      <c r="D227"/>
      <c r="E227"/>
      <c r="F227"/>
      <c r="G227"/>
      <c r="H227"/>
      <c r="I227"/>
    </row>
    <row r="228" spans="1:9" x14ac:dyDescent="0.3">
      <c r="A228" s="13"/>
      <c r="B228"/>
      <c r="C228"/>
      <c r="D228"/>
      <c r="E228"/>
      <c r="F228"/>
      <c r="G228"/>
      <c r="H228"/>
      <c r="I228"/>
    </row>
    <row r="229" spans="1:9" x14ac:dyDescent="0.3">
      <c r="A229" s="13"/>
      <c r="B229"/>
      <c r="C229"/>
      <c r="D229"/>
      <c r="E229"/>
      <c r="F229"/>
      <c r="G229"/>
      <c r="H229"/>
      <c r="I229"/>
    </row>
    <row r="230" spans="1:9" x14ac:dyDescent="0.3">
      <c r="A230" s="13"/>
      <c r="B230"/>
      <c r="C230"/>
      <c r="D230"/>
      <c r="E230"/>
      <c r="F230"/>
      <c r="G230"/>
      <c r="H230"/>
      <c r="I230"/>
    </row>
    <row r="231" spans="1:9" x14ac:dyDescent="0.3">
      <c r="A231" s="13"/>
      <c r="B231"/>
      <c r="C231"/>
      <c r="D231"/>
      <c r="E231"/>
      <c r="F231"/>
      <c r="G231"/>
      <c r="H231"/>
      <c r="I231"/>
    </row>
    <row r="232" spans="1:9" x14ac:dyDescent="0.3">
      <c r="A232" s="13"/>
      <c r="B232"/>
      <c r="C232"/>
      <c r="D232"/>
      <c r="E232"/>
      <c r="F232"/>
      <c r="G232"/>
      <c r="H232"/>
      <c r="I232"/>
    </row>
    <row r="233" spans="1:9" x14ac:dyDescent="0.3">
      <c r="A233" s="13"/>
      <c r="B233"/>
      <c r="C233"/>
      <c r="D233"/>
      <c r="E233"/>
      <c r="F233"/>
      <c r="G233"/>
      <c r="H233"/>
      <c r="I233"/>
    </row>
    <row r="234" spans="1:9" x14ac:dyDescent="0.3">
      <c r="A234" s="13"/>
      <c r="B234"/>
      <c r="C234"/>
      <c r="D234"/>
      <c r="E234"/>
      <c r="F234"/>
      <c r="G234"/>
      <c r="H234"/>
      <c r="I234"/>
    </row>
    <row r="235" spans="1:9" x14ac:dyDescent="0.3">
      <c r="A235" s="13"/>
      <c r="B235"/>
      <c r="C235"/>
      <c r="D235"/>
      <c r="E235"/>
      <c r="F235"/>
      <c r="G235"/>
      <c r="H235"/>
      <c r="I235"/>
    </row>
    <row r="236" spans="1:9" x14ac:dyDescent="0.3">
      <c r="A236" s="13"/>
      <c r="B236"/>
      <c r="C236"/>
      <c r="D236"/>
      <c r="E236"/>
      <c r="F236"/>
      <c r="G236"/>
      <c r="H236"/>
      <c r="I236"/>
    </row>
    <row r="237" spans="1:9" x14ac:dyDescent="0.3">
      <c r="A237" s="13"/>
      <c r="B237"/>
      <c r="C237"/>
      <c r="D237"/>
      <c r="E237"/>
      <c r="F237"/>
      <c r="G237"/>
      <c r="H237"/>
      <c r="I237"/>
    </row>
    <row r="238" spans="1:9" x14ac:dyDescent="0.3">
      <c r="A238" s="13"/>
      <c r="B238"/>
      <c r="C238"/>
      <c r="D238"/>
      <c r="E238"/>
      <c r="F238"/>
      <c r="G238"/>
      <c r="H238"/>
      <c r="I238"/>
    </row>
    <row r="239" spans="1:9" x14ac:dyDescent="0.3">
      <c r="A239" s="13"/>
      <c r="B239"/>
      <c r="C239"/>
      <c r="D239"/>
      <c r="E239"/>
      <c r="F239"/>
      <c r="G239"/>
      <c r="H239"/>
      <c r="I239"/>
    </row>
    <row r="240" spans="1:9" x14ac:dyDescent="0.3">
      <c r="A240" s="13"/>
      <c r="B240"/>
      <c r="C240"/>
      <c r="D240"/>
      <c r="E240"/>
      <c r="F240"/>
      <c r="G240"/>
      <c r="H240"/>
      <c r="I240"/>
    </row>
    <row r="241" spans="1:9" x14ac:dyDescent="0.3">
      <c r="A241" s="13"/>
      <c r="B241"/>
      <c r="C241"/>
      <c r="D241"/>
      <c r="E241"/>
      <c r="F241"/>
      <c r="G241"/>
      <c r="H241"/>
      <c r="I241"/>
    </row>
    <row r="242" spans="1:9" x14ac:dyDescent="0.3">
      <c r="A242" s="13"/>
      <c r="B242"/>
      <c r="C242"/>
      <c r="D242"/>
      <c r="E242"/>
      <c r="F242"/>
      <c r="G242"/>
      <c r="H242"/>
      <c r="I242"/>
    </row>
    <row r="243" spans="1:9" x14ac:dyDescent="0.3">
      <c r="A243" s="13"/>
      <c r="B243"/>
      <c r="C243"/>
      <c r="D243"/>
      <c r="E243"/>
      <c r="F243"/>
      <c r="G243"/>
      <c r="H243"/>
      <c r="I243"/>
    </row>
    <row r="244" spans="1:9" x14ac:dyDescent="0.3">
      <c r="A244" s="13"/>
      <c r="B244"/>
      <c r="C244"/>
      <c r="D244"/>
      <c r="E244"/>
      <c r="F244"/>
      <c r="G244"/>
      <c r="H244"/>
      <c r="I244"/>
    </row>
    <row r="245" spans="1:9" x14ac:dyDescent="0.3">
      <c r="A245" s="13"/>
      <c r="B245"/>
      <c r="C245"/>
      <c r="D245"/>
      <c r="E245"/>
      <c r="F245"/>
      <c r="G245"/>
      <c r="H245"/>
      <c r="I245"/>
    </row>
    <row r="246" spans="1:9" x14ac:dyDescent="0.3">
      <c r="A246" s="13"/>
      <c r="B246"/>
      <c r="C246"/>
      <c r="D246"/>
      <c r="E246"/>
      <c r="F246"/>
      <c r="G246"/>
      <c r="H246"/>
      <c r="I246"/>
    </row>
    <row r="247" spans="1:9" x14ac:dyDescent="0.3">
      <c r="A247" s="13"/>
      <c r="B247"/>
      <c r="C247"/>
      <c r="D247"/>
      <c r="E247"/>
      <c r="F247"/>
      <c r="G247"/>
      <c r="H247"/>
      <c r="I247"/>
    </row>
    <row r="248" spans="1:9" x14ac:dyDescent="0.3">
      <c r="A248" s="13"/>
      <c r="B248"/>
      <c r="C248"/>
      <c r="D248"/>
      <c r="E248"/>
      <c r="F248"/>
      <c r="G248"/>
      <c r="H248"/>
      <c r="I248"/>
    </row>
    <row r="249" spans="1:9" x14ac:dyDescent="0.3">
      <c r="A249" s="13"/>
      <c r="B249"/>
      <c r="C249"/>
      <c r="D249"/>
      <c r="E249"/>
      <c r="F249"/>
      <c r="G249"/>
      <c r="H249"/>
      <c r="I249"/>
    </row>
    <row r="250" spans="1:9" x14ac:dyDescent="0.3">
      <c r="A250" s="13"/>
      <c r="B250"/>
      <c r="C250"/>
      <c r="D250"/>
      <c r="E250"/>
      <c r="F250"/>
      <c r="G250"/>
      <c r="H250"/>
      <c r="I250"/>
    </row>
    <row r="251" spans="1:9" x14ac:dyDescent="0.3">
      <c r="A251" s="13"/>
      <c r="B251"/>
      <c r="C251"/>
      <c r="D251"/>
      <c r="E251"/>
      <c r="F251"/>
      <c r="G251"/>
      <c r="H251"/>
      <c r="I251"/>
    </row>
    <row r="252" spans="1:9" x14ac:dyDescent="0.3">
      <c r="A252" s="13"/>
      <c r="B252"/>
      <c r="C252"/>
      <c r="D252"/>
      <c r="E252"/>
      <c r="F252"/>
      <c r="G252"/>
      <c r="H252"/>
      <c r="I252"/>
    </row>
    <row r="253" spans="1:9" x14ac:dyDescent="0.3">
      <c r="A253" s="13"/>
      <c r="B253"/>
      <c r="C253"/>
      <c r="D253"/>
      <c r="E253"/>
      <c r="F253"/>
      <c r="G253"/>
      <c r="H253"/>
      <c r="I253"/>
    </row>
    <row r="254" spans="1:9" x14ac:dyDescent="0.3">
      <c r="A254" s="13"/>
      <c r="B254"/>
      <c r="C254"/>
      <c r="D254"/>
      <c r="E254"/>
      <c r="F254"/>
      <c r="G254"/>
      <c r="H254"/>
      <c r="I254"/>
    </row>
    <row r="255" spans="1:9" x14ac:dyDescent="0.3">
      <c r="A255" s="13"/>
      <c r="B255"/>
      <c r="C255"/>
      <c r="D255"/>
      <c r="E255"/>
      <c r="F255"/>
      <c r="G255"/>
      <c r="H255"/>
      <c r="I255"/>
    </row>
    <row r="256" spans="1:9" x14ac:dyDescent="0.3">
      <c r="A256" s="13"/>
      <c r="B256"/>
      <c r="C256"/>
      <c r="D256"/>
      <c r="E256"/>
      <c r="F256"/>
      <c r="G256"/>
      <c r="H256"/>
      <c r="I256"/>
    </row>
    <row r="257" spans="1:9" x14ac:dyDescent="0.3">
      <c r="A257" s="13"/>
      <c r="B257"/>
      <c r="C257"/>
      <c r="D257"/>
      <c r="E257"/>
      <c r="F257"/>
      <c r="G257"/>
      <c r="H257"/>
      <c r="I257"/>
    </row>
    <row r="258" spans="1:9" x14ac:dyDescent="0.3">
      <c r="A258" s="13"/>
      <c r="B258"/>
      <c r="C258"/>
      <c r="D258"/>
      <c r="E258"/>
      <c r="F258"/>
      <c r="G258"/>
      <c r="H258"/>
      <c r="I258"/>
    </row>
    <row r="259" spans="1:9" x14ac:dyDescent="0.3">
      <c r="A259" s="13"/>
      <c r="B259"/>
      <c r="C259"/>
      <c r="D259"/>
      <c r="E259"/>
      <c r="F259"/>
      <c r="G259"/>
      <c r="H259"/>
      <c r="I259"/>
    </row>
    <row r="260" spans="1:9" x14ac:dyDescent="0.3">
      <c r="A260" s="13"/>
      <c r="B260"/>
      <c r="C260"/>
      <c r="D260"/>
      <c r="E260"/>
      <c r="F260"/>
      <c r="G260"/>
      <c r="H260"/>
      <c r="I260"/>
    </row>
    <row r="261" spans="1:9" x14ac:dyDescent="0.3">
      <c r="A261" s="13"/>
      <c r="B261"/>
      <c r="C261"/>
      <c r="D261"/>
      <c r="E261"/>
      <c r="F261"/>
      <c r="G261"/>
      <c r="H261"/>
      <c r="I261"/>
    </row>
    <row r="262" spans="1:9" x14ac:dyDescent="0.3">
      <c r="A262" s="13"/>
      <c r="B262"/>
      <c r="C262"/>
      <c r="D262"/>
      <c r="E262"/>
      <c r="F262"/>
      <c r="G262"/>
      <c r="H262"/>
      <c r="I262"/>
    </row>
    <row r="263" spans="1:9" x14ac:dyDescent="0.3">
      <c r="A263" s="13"/>
      <c r="B263"/>
      <c r="C263"/>
      <c r="D263"/>
      <c r="E263"/>
      <c r="F263"/>
      <c r="G263"/>
      <c r="H263"/>
      <c r="I263"/>
    </row>
    <row r="264" spans="1:9" x14ac:dyDescent="0.3">
      <c r="A264" s="13"/>
      <c r="B264"/>
      <c r="C264"/>
      <c r="D264"/>
      <c r="E264"/>
      <c r="F264"/>
      <c r="G264"/>
      <c r="H264"/>
      <c r="I264"/>
    </row>
    <row r="265" spans="1:9" x14ac:dyDescent="0.3">
      <c r="A265" s="13"/>
      <c r="B265"/>
      <c r="C265"/>
      <c r="D265"/>
      <c r="E265"/>
      <c r="F265"/>
      <c r="G265"/>
      <c r="H265"/>
      <c r="I265"/>
    </row>
    <row r="266" spans="1:9" x14ac:dyDescent="0.3">
      <c r="A266" s="13"/>
      <c r="B266"/>
      <c r="C266"/>
      <c r="D266"/>
      <c r="E266"/>
      <c r="F266"/>
      <c r="G266"/>
      <c r="H266"/>
      <c r="I266"/>
    </row>
    <row r="267" spans="1:9" x14ac:dyDescent="0.3">
      <c r="A267" s="13"/>
      <c r="B267"/>
      <c r="C267"/>
      <c r="D267"/>
      <c r="E267"/>
      <c r="F267"/>
      <c r="G267"/>
      <c r="H267"/>
      <c r="I267"/>
    </row>
    <row r="268" spans="1:9" x14ac:dyDescent="0.3">
      <c r="A268" s="13"/>
      <c r="B268"/>
      <c r="C268"/>
      <c r="D268"/>
      <c r="E268"/>
      <c r="F268"/>
      <c r="G268"/>
      <c r="H268"/>
      <c r="I268"/>
    </row>
    <row r="269" spans="1:9" x14ac:dyDescent="0.3">
      <c r="A269" s="13"/>
      <c r="B269"/>
      <c r="C269"/>
      <c r="D269"/>
      <c r="E269"/>
      <c r="F269"/>
      <c r="G269"/>
      <c r="H269"/>
      <c r="I269"/>
    </row>
    <row r="270" spans="1:9" x14ac:dyDescent="0.3">
      <c r="A270" s="13"/>
      <c r="B270"/>
      <c r="C270"/>
      <c r="D270"/>
      <c r="E270"/>
      <c r="F270"/>
      <c r="G270"/>
      <c r="H270"/>
      <c r="I270"/>
    </row>
    <row r="271" spans="1:9" x14ac:dyDescent="0.3">
      <c r="A271" s="13"/>
      <c r="B271"/>
      <c r="C271"/>
      <c r="D271"/>
      <c r="E271"/>
      <c r="F271"/>
      <c r="G271"/>
      <c r="H271"/>
      <c r="I271"/>
    </row>
    <row r="272" spans="1:9" x14ac:dyDescent="0.3">
      <c r="A272" s="13"/>
      <c r="B272"/>
      <c r="C272"/>
      <c r="D272"/>
      <c r="E272"/>
      <c r="F272"/>
      <c r="G272"/>
      <c r="H272"/>
      <c r="I272"/>
    </row>
    <row r="273" spans="1:9" x14ac:dyDescent="0.3">
      <c r="A273" s="13"/>
      <c r="B273"/>
      <c r="C273"/>
      <c r="D273"/>
      <c r="E273"/>
      <c r="F273"/>
      <c r="G273"/>
      <c r="H273"/>
      <c r="I273"/>
    </row>
    <row r="274" spans="1:9" x14ac:dyDescent="0.3">
      <c r="A274" s="13"/>
      <c r="B274"/>
      <c r="C274"/>
      <c r="D274"/>
      <c r="E274"/>
      <c r="F274"/>
      <c r="G274"/>
      <c r="H274"/>
      <c r="I274"/>
    </row>
    <row r="275" spans="1:9" x14ac:dyDescent="0.3">
      <c r="A275" s="13"/>
      <c r="B275"/>
      <c r="C275"/>
      <c r="D275"/>
      <c r="E275"/>
      <c r="F275"/>
      <c r="G275"/>
      <c r="H275"/>
      <c r="I275"/>
    </row>
    <row r="276" spans="1:9" x14ac:dyDescent="0.3">
      <c r="A276" s="13"/>
      <c r="B276"/>
      <c r="C276"/>
      <c r="D276"/>
      <c r="E276"/>
      <c r="F276"/>
      <c r="G276"/>
      <c r="H276"/>
      <c r="I276"/>
    </row>
    <row r="277" spans="1:9" x14ac:dyDescent="0.3">
      <c r="A277" s="13"/>
      <c r="B277"/>
      <c r="C277"/>
      <c r="D277"/>
      <c r="E277"/>
      <c r="F277"/>
      <c r="G277"/>
      <c r="H277"/>
      <c r="I277"/>
    </row>
    <row r="278" spans="1:9" x14ac:dyDescent="0.3">
      <c r="A278" s="13"/>
      <c r="B278"/>
      <c r="C278"/>
      <c r="D278"/>
      <c r="E278"/>
      <c r="F278"/>
      <c r="G278"/>
      <c r="H278"/>
      <c r="I278"/>
    </row>
    <row r="279" spans="1:9" x14ac:dyDescent="0.3">
      <c r="A279" s="13"/>
      <c r="B279"/>
      <c r="C279"/>
      <c r="D279"/>
      <c r="E279"/>
      <c r="F279"/>
      <c r="G279"/>
      <c r="H279"/>
      <c r="I279"/>
    </row>
    <row r="280" spans="1:9" x14ac:dyDescent="0.3">
      <c r="A280" s="13"/>
      <c r="B280"/>
      <c r="C280"/>
      <c r="D280"/>
      <c r="E280"/>
      <c r="F280"/>
      <c r="G280"/>
      <c r="H280"/>
      <c r="I280"/>
    </row>
    <row r="281" spans="1:9" x14ac:dyDescent="0.3">
      <c r="A281" s="13"/>
      <c r="B281"/>
      <c r="C281"/>
      <c r="D281"/>
      <c r="E281"/>
      <c r="F281"/>
      <c r="G281"/>
      <c r="H281"/>
      <c r="I281"/>
    </row>
    <row r="282" spans="1:9" x14ac:dyDescent="0.3">
      <c r="A282" s="13"/>
      <c r="B282"/>
      <c r="C282"/>
      <c r="D282"/>
      <c r="E282"/>
      <c r="F282"/>
      <c r="G282"/>
      <c r="H282"/>
      <c r="I282"/>
    </row>
    <row r="283" spans="1:9" x14ac:dyDescent="0.3">
      <c r="A283" s="13"/>
      <c r="B283"/>
      <c r="C283"/>
      <c r="D283"/>
      <c r="E283"/>
      <c r="F283"/>
      <c r="G283"/>
      <c r="H283"/>
      <c r="I283"/>
    </row>
    <row r="284" spans="1:9" x14ac:dyDescent="0.3">
      <c r="A284" s="13"/>
      <c r="B284"/>
      <c r="C284"/>
      <c r="D284"/>
      <c r="E284"/>
      <c r="F284"/>
      <c r="G284"/>
      <c r="H284"/>
      <c r="I284"/>
    </row>
    <row r="285" spans="1:9" x14ac:dyDescent="0.3">
      <c r="A285" s="13"/>
      <c r="B285"/>
      <c r="C285"/>
      <c r="D285"/>
      <c r="E285"/>
      <c r="F285"/>
      <c r="G285"/>
      <c r="H285"/>
      <c r="I285"/>
    </row>
    <row r="286" spans="1:9" x14ac:dyDescent="0.3">
      <c r="A286" s="13"/>
      <c r="B286"/>
      <c r="C286"/>
      <c r="D286"/>
      <c r="E286"/>
      <c r="F286"/>
      <c r="G286"/>
      <c r="H286"/>
      <c r="I286"/>
    </row>
    <row r="287" spans="1:9" x14ac:dyDescent="0.3">
      <c r="A287" s="13"/>
      <c r="B287"/>
      <c r="C287"/>
      <c r="D287"/>
      <c r="E287"/>
      <c r="F287"/>
      <c r="G287"/>
      <c r="H287"/>
      <c r="I287"/>
    </row>
    <row r="288" spans="1:9" x14ac:dyDescent="0.3">
      <c r="A288" s="13"/>
      <c r="B288"/>
      <c r="C288"/>
      <c r="D288"/>
      <c r="E288"/>
      <c r="F288"/>
      <c r="G288"/>
      <c r="H288"/>
      <c r="I288"/>
    </row>
    <row r="289" spans="1:9" x14ac:dyDescent="0.3">
      <c r="A289" s="13"/>
      <c r="B289"/>
      <c r="C289"/>
      <c r="D289"/>
      <c r="E289"/>
      <c r="F289"/>
      <c r="G289"/>
      <c r="H289"/>
      <c r="I289"/>
    </row>
    <row r="290" spans="1:9" x14ac:dyDescent="0.3">
      <c r="A290" s="13"/>
      <c r="B290"/>
      <c r="C290"/>
      <c r="D290"/>
      <c r="E290"/>
      <c r="F290"/>
      <c r="G290"/>
      <c r="H290"/>
      <c r="I290"/>
    </row>
    <row r="291" spans="1:9" x14ac:dyDescent="0.3">
      <c r="A291" s="13"/>
      <c r="B291"/>
      <c r="C291"/>
      <c r="D291"/>
      <c r="E291"/>
      <c r="F291"/>
      <c r="G291"/>
      <c r="H291"/>
      <c r="I291"/>
    </row>
    <row r="292" spans="1:9" x14ac:dyDescent="0.3">
      <c r="A292" s="13"/>
      <c r="B292"/>
      <c r="C292"/>
      <c r="D292"/>
      <c r="E292"/>
      <c r="F292"/>
      <c r="G292"/>
      <c r="H292"/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模拟图</vt:lpstr>
      <vt:lpstr>迈腾0519</vt:lpstr>
      <vt:lpstr>迈腾0531</vt:lpstr>
      <vt:lpstr>朗逸0625</vt:lpstr>
      <vt:lpstr>高度图</vt:lpstr>
      <vt:lpstr>图8</vt:lpstr>
      <vt:lpstr>图7</vt:lpstr>
      <vt:lpstr>合并油耗平滑</vt:lpstr>
      <vt:lpstr>图9</vt:lpstr>
      <vt:lpstr>Sheet6</vt:lpstr>
      <vt:lpstr>弧度规划</vt:lpstr>
      <vt:lpstr>弧度回归速度分析</vt:lpstr>
      <vt:lpstr>弧度随机速度分析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振宇 邹</cp:lastModifiedBy>
  <dcterms:created xsi:type="dcterms:W3CDTF">2023-03-25T02:10:28Z</dcterms:created>
  <dcterms:modified xsi:type="dcterms:W3CDTF">2023-11-29T11:45:29Z</dcterms:modified>
</cp:coreProperties>
</file>